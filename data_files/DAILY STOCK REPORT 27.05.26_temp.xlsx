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shboard-inventory\data_files\"/>
    </mc:Choice>
  </mc:AlternateContent>
  <xr:revisionPtr revIDLastSave="0" documentId="8_{E742F32A-70D7-4E14-B71E-E7ACD132DC58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17-05-23" sheetId="1" state="hidden" r:id="rId1"/>
    <sheet name="27-05-2026" sheetId="2" state="hidden" r:id="rId2"/>
    <sheet name="27-05-2026 (2)" sheetId="4" r:id="rId3"/>
    <sheet name="17-05-23 (3)" sheetId="3" state="hidden" r:id="rId4"/>
  </sheets>
  <definedNames>
    <definedName name="_xlnm._FilterDatabase" localSheetId="0" hidden="1">'17-05-23'!$A$6:$N$208</definedName>
    <definedName name="_xlnm._FilterDatabase" localSheetId="3" hidden="1">'17-05-23 (3)'!$A$6:$N$208</definedName>
    <definedName name="_xlnm._FilterDatabase" localSheetId="1" hidden="1">'27-05-2026'!$A$2:$O$191</definedName>
    <definedName name="_xlnm._FilterDatabase" localSheetId="2" hidden="1">'27-05-2026 (2)'!$A$2:$M$76</definedName>
    <definedName name="_xlnm.Print_Area" localSheetId="1">'27-05-2026'!$B$1:$M$190</definedName>
    <definedName name="_xlnm.Print_Area" localSheetId="2">'27-05-2026 (2)'!$A$1:$K$75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3" i="4"/>
  <c r="G81" i="4"/>
  <c r="H78" i="4"/>
  <c r="G76" i="4"/>
  <c r="F76" i="4"/>
  <c r="E76" i="4"/>
  <c r="H76" i="4"/>
  <c r="M53" i="4"/>
  <c r="M52" i="4"/>
  <c r="M38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N53" i="4"/>
  <c r="N52" i="4"/>
  <c r="P77" i="4"/>
  <c r="P76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3" i="4"/>
  <c r="F75" i="4"/>
  <c r="F74" i="4"/>
  <c r="F73" i="4"/>
  <c r="F72" i="4"/>
  <c r="E71" i="4"/>
  <c r="F71" i="4" s="1"/>
  <c r="F70" i="4"/>
  <c r="F69" i="4"/>
  <c r="F68" i="4"/>
  <c r="F67" i="4"/>
  <c r="E66" i="4"/>
  <c r="F66" i="4" s="1"/>
  <c r="F65" i="4"/>
  <c r="F64" i="4"/>
  <c r="F63" i="4"/>
  <c r="F62" i="4"/>
  <c r="F61" i="4"/>
  <c r="F60" i="4"/>
  <c r="F59" i="4"/>
  <c r="E58" i="4"/>
  <c r="F58" i="4" s="1"/>
  <c r="E57" i="4"/>
  <c r="F57" i="4" s="1"/>
  <c r="E56" i="4"/>
  <c r="F56" i="4" s="1"/>
  <c r="G55" i="4"/>
  <c r="F55" i="4" s="1"/>
  <c r="F54" i="4"/>
  <c r="F53" i="4"/>
  <c r="F52" i="4"/>
  <c r="F51" i="4"/>
  <c r="E50" i="4"/>
  <c r="F50" i="4" s="1"/>
  <c r="F49" i="4"/>
  <c r="F48" i="4"/>
  <c r="E47" i="4"/>
  <c r="F47" i="4" s="1"/>
  <c r="E46" i="4"/>
  <c r="F46" i="4" s="1"/>
  <c r="F45" i="4"/>
  <c r="F44" i="4"/>
  <c r="F43" i="4"/>
  <c r="F42" i="4"/>
  <c r="G41" i="4"/>
  <c r="E41" i="4"/>
  <c r="F40" i="4"/>
  <c r="F39" i="4"/>
  <c r="G38" i="4"/>
  <c r="E38" i="4"/>
  <c r="E37" i="4"/>
  <c r="F37" i="4" s="1"/>
  <c r="F36" i="4"/>
  <c r="E35" i="4"/>
  <c r="F35" i="4" s="1"/>
  <c r="F34" i="4"/>
  <c r="E33" i="4"/>
  <c r="F33" i="4" s="1"/>
  <c r="E32" i="4"/>
  <c r="F32" i="4" s="1"/>
  <c r="F31" i="4"/>
  <c r="F30" i="4"/>
  <c r="E29" i="4"/>
  <c r="F29" i="4" s="1"/>
  <c r="F28" i="4"/>
  <c r="F27" i="4"/>
  <c r="F26" i="4"/>
  <c r="E25" i="4"/>
  <c r="F25" i="4" s="1"/>
  <c r="E24" i="4"/>
  <c r="F24" i="4" s="1"/>
  <c r="F23" i="4"/>
  <c r="F22" i="4"/>
  <c r="F21" i="4"/>
  <c r="F20" i="4"/>
  <c r="F19" i="4"/>
  <c r="E18" i="4"/>
  <c r="F18" i="4" s="1"/>
  <c r="F17" i="4"/>
  <c r="E16" i="4"/>
  <c r="F16" i="4" s="1"/>
  <c r="F15" i="4"/>
  <c r="E14" i="4"/>
  <c r="F14" i="4" s="1"/>
  <c r="F13" i="4"/>
  <c r="E12" i="4"/>
  <c r="F12" i="4" s="1"/>
  <c r="F11" i="4"/>
  <c r="E10" i="4"/>
  <c r="F10" i="4" s="1"/>
  <c r="E9" i="4"/>
  <c r="F9" i="4" s="1"/>
  <c r="F8" i="4"/>
  <c r="F7" i="4"/>
  <c r="E6" i="4"/>
  <c r="F6" i="4" s="1"/>
  <c r="F5" i="4"/>
  <c r="F4" i="4"/>
  <c r="F3" i="4"/>
  <c r="R76" i="4" l="1"/>
  <c r="R77" i="4" s="1"/>
  <c r="N38" i="4"/>
  <c r="Q38" i="4" s="1"/>
  <c r="Q76" i="4" s="1"/>
  <c r="Q77" i="4" s="1"/>
  <c r="F38" i="4"/>
  <c r="F41" i="4"/>
  <c r="F171" i="2" l="1"/>
  <c r="F23" i="2" l="1"/>
  <c r="F27" i="2"/>
  <c r="F147" i="2" l="1"/>
  <c r="F151" i="2"/>
  <c r="F129" i="2" l="1"/>
  <c r="I95" i="2" l="1"/>
  <c r="F135" i="2" l="1"/>
  <c r="F95" i="2" l="1"/>
  <c r="F112" i="2"/>
  <c r="F76" i="2"/>
  <c r="F117" i="2"/>
  <c r="F26" i="2"/>
  <c r="F10" i="2"/>
  <c r="F46" i="2" l="1"/>
  <c r="F48" i="2"/>
  <c r="H133" i="2" l="1"/>
  <c r="M133" i="2"/>
  <c r="F92" i="2" l="1"/>
  <c r="F87" i="2"/>
  <c r="F175" i="2" l="1"/>
  <c r="F180" i="2"/>
  <c r="F183" i="2"/>
  <c r="F104" i="2"/>
  <c r="F39" i="2" l="1"/>
  <c r="F38" i="2"/>
  <c r="F165" i="2" l="1"/>
  <c r="H165" i="2" s="1"/>
  <c r="M165" i="2"/>
  <c r="M39" i="2" l="1"/>
  <c r="H39" i="2" l="1"/>
  <c r="H132" i="2" l="1"/>
  <c r="H131" i="2" l="1"/>
  <c r="M132" i="2" l="1"/>
  <c r="M131" i="2"/>
  <c r="H137" i="2" l="1"/>
  <c r="H136" i="2" l="1"/>
  <c r="M137" i="2" l="1"/>
  <c r="M136" i="2"/>
  <c r="H149" i="2" l="1"/>
  <c r="M149" i="2"/>
  <c r="M152" i="2"/>
  <c r="M151" i="2"/>
  <c r="H152" i="2" l="1"/>
  <c r="H151" i="2"/>
  <c r="H150" i="2"/>
  <c r="M150" i="2" l="1"/>
  <c r="F154" i="2" l="1"/>
  <c r="F111" i="2" l="1"/>
  <c r="F6" i="2" l="1"/>
  <c r="F16" i="2"/>
  <c r="F70" i="2" l="1"/>
  <c r="F40" i="2" l="1"/>
  <c r="F37" i="2" l="1"/>
  <c r="F45" i="2" l="1"/>
  <c r="H148" i="2" l="1"/>
  <c r="M148" i="2"/>
  <c r="I128" i="2" l="1"/>
  <c r="F25" i="2" l="1"/>
  <c r="F62" i="2" l="1"/>
  <c r="F31" i="2" l="1"/>
  <c r="F65" i="2" l="1"/>
  <c r="H49" i="2" l="1"/>
  <c r="M49" i="2"/>
  <c r="M65" i="2" l="1"/>
  <c r="H65" i="2" l="1"/>
  <c r="I66" i="2" l="1"/>
  <c r="I68" i="2" s="1"/>
  <c r="I48" i="2"/>
  <c r="F44" i="2" l="1"/>
  <c r="F12" i="2" l="1"/>
  <c r="F67" i="2" l="1"/>
  <c r="F68" i="2" s="1"/>
  <c r="F72" i="2" l="1"/>
  <c r="F11" i="2" l="1"/>
  <c r="F51" i="2" l="1"/>
  <c r="F83" i="2" l="1"/>
  <c r="F50" i="2" l="1"/>
  <c r="F185" i="2" l="1"/>
  <c r="I63" i="2" l="1"/>
  <c r="F63" i="2"/>
  <c r="M62" i="2"/>
  <c r="H62" i="2"/>
  <c r="H147" i="2" l="1"/>
  <c r="M147" i="2"/>
  <c r="F146" i="2" l="1"/>
  <c r="H146" i="2" l="1"/>
  <c r="M146" i="2"/>
  <c r="H145" i="2" l="1"/>
  <c r="M145" i="2" l="1"/>
  <c r="H50" i="2" l="1"/>
  <c r="M50" i="2"/>
  <c r="F188" i="2" l="1"/>
  <c r="F34" i="2" l="1"/>
  <c r="F21" i="2" l="1"/>
  <c r="F174" i="2" l="1"/>
  <c r="M70" i="2" l="1"/>
  <c r="H70" i="2"/>
  <c r="M23" i="2" l="1"/>
  <c r="H23" i="2"/>
  <c r="M76" i="2" l="1"/>
  <c r="H76" i="2"/>
  <c r="F80" i="2" l="1"/>
  <c r="F90" i="2" l="1"/>
  <c r="M72" i="2" l="1"/>
  <c r="I73" i="2"/>
  <c r="H72" i="2"/>
  <c r="F99" i="2" l="1"/>
  <c r="F77" i="2"/>
  <c r="I90" i="2" l="1"/>
  <c r="I13" i="2" l="1"/>
  <c r="H12" i="2"/>
  <c r="F13" i="2"/>
  <c r="M12" i="2"/>
  <c r="I105" i="2" l="1"/>
  <c r="H104" i="2"/>
  <c r="F105" i="2"/>
  <c r="M104" i="2"/>
  <c r="H120" i="2" l="1"/>
  <c r="M120" i="2"/>
  <c r="M16" i="2" l="1"/>
  <c r="H16" i="2"/>
  <c r="M166" i="2" l="1"/>
  <c r="H166" i="2"/>
  <c r="H119" i="2" l="1"/>
  <c r="M119" i="2"/>
  <c r="H11" i="2" l="1"/>
  <c r="M11" i="2"/>
  <c r="I18" i="2"/>
  <c r="F18" i="2"/>
  <c r="M15" i="2" l="1"/>
  <c r="H15" i="2"/>
  <c r="H22" i="2" l="1"/>
  <c r="M22" i="2"/>
  <c r="H90" i="2" l="1"/>
  <c r="M90" i="2"/>
  <c r="I161" i="2" l="1"/>
  <c r="H163" i="2" l="1"/>
  <c r="M163" i="2"/>
  <c r="M167" i="2" l="1"/>
  <c r="I168" i="2"/>
  <c r="H167" i="2"/>
  <c r="H118" i="2" l="1"/>
  <c r="M118" i="2"/>
  <c r="M117" i="2"/>
  <c r="H117" i="2"/>
  <c r="H47" i="2" l="1"/>
  <c r="M47" i="2"/>
  <c r="H99" i="2" l="1"/>
  <c r="M99" i="2"/>
  <c r="M130" i="2"/>
  <c r="H130" i="2"/>
  <c r="F100" i="2"/>
  <c r="H111" i="2" l="1"/>
  <c r="M111" i="2"/>
  <c r="F168" i="2" l="1"/>
  <c r="F134" i="2" l="1"/>
  <c r="H124" i="2" l="1"/>
  <c r="I113" i="2" l="1"/>
  <c r="M112" i="2"/>
  <c r="H112" i="2"/>
  <c r="F113" i="2" l="1"/>
  <c r="H71" i="2" l="1"/>
  <c r="M71" i="2"/>
  <c r="M21" i="2" l="1"/>
  <c r="H21" i="2"/>
  <c r="M160" i="2" l="1"/>
  <c r="F160" i="2" l="1"/>
  <c r="H160" i="2" l="1"/>
  <c r="H161" i="2" s="1"/>
  <c r="F161" i="2"/>
  <c r="M46" i="2"/>
  <c r="H46" i="2"/>
  <c r="M80" i="2" l="1"/>
  <c r="H80" i="2"/>
  <c r="H183" i="2" l="1"/>
  <c r="M183" i="2"/>
  <c r="H171" i="2" l="1"/>
  <c r="M171" i="2"/>
  <c r="H103" i="2" l="1"/>
  <c r="M103" i="2"/>
  <c r="M157" i="2" l="1"/>
  <c r="H10" i="2" l="1"/>
  <c r="M10" i="2"/>
  <c r="H17" i="2" l="1"/>
  <c r="M17" i="2" l="1"/>
  <c r="F125" i="2" l="1"/>
  <c r="I125" i="2"/>
  <c r="M124" i="2"/>
  <c r="F158" i="2" l="1"/>
  <c r="I158" i="2"/>
  <c r="H157" i="2"/>
  <c r="H156" i="2" l="1"/>
  <c r="M156" i="2"/>
  <c r="I81" i="2" l="1"/>
  <c r="M180" i="2" l="1"/>
  <c r="H180" i="2"/>
  <c r="H129" i="2" l="1"/>
  <c r="M129" i="2"/>
  <c r="M128" i="2"/>
  <c r="H128" i="2"/>
  <c r="I189" i="2" l="1"/>
  <c r="H188" i="2"/>
  <c r="F189" i="2"/>
  <c r="M188" i="2"/>
  <c r="H51" i="2" l="1"/>
  <c r="M51" i="2"/>
  <c r="H25" i="2" l="1"/>
  <c r="M25" i="2" l="1"/>
  <c r="H40" i="2" l="1"/>
  <c r="M40" i="2"/>
  <c r="M92" i="2" l="1"/>
  <c r="H92" i="2"/>
  <c r="M91" i="2"/>
  <c r="H91" i="2"/>
  <c r="M89" i="2"/>
  <c r="M88" i="2"/>
  <c r="H89" i="2" l="1"/>
  <c r="H88" i="2"/>
  <c r="H144" i="2" l="1"/>
  <c r="M144" i="2"/>
  <c r="H143" i="2" l="1"/>
  <c r="M143" i="2"/>
  <c r="H142" i="2"/>
  <c r="M142" i="2"/>
  <c r="M134" i="2" l="1"/>
  <c r="H134" i="2"/>
  <c r="M87" i="2" l="1"/>
  <c r="H87" i="2"/>
  <c r="H95" i="2" l="1"/>
  <c r="M95" i="2"/>
  <c r="H52" i="2" l="1"/>
  <c r="M52" i="2"/>
  <c r="H26" i="2" l="1"/>
  <c r="M26" i="2"/>
  <c r="H41" i="2" l="1"/>
  <c r="M41" i="2"/>
  <c r="H6" i="2" l="1"/>
  <c r="M6" i="2"/>
  <c r="I53" i="2" l="1"/>
  <c r="H155" i="2" l="1"/>
  <c r="M155" i="2"/>
  <c r="H100" i="2" l="1"/>
  <c r="M100" i="2"/>
  <c r="M61" i="2" l="1"/>
  <c r="H61" i="2"/>
  <c r="H63" i="2" s="1"/>
  <c r="I101" i="2" l="1"/>
  <c r="F53" i="2" l="1"/>
  <c r="H123" i="2" l="1"/>
  <c r="M123" i="2"/>
  <c r="M135" i="2" l="1"/>
  <c r="H135" i="2"/>
  <c r="H138" i="2"/>
  <c r="M138" i="2"/>
  <c r="M94" i="2" l="1"/>
  <c r="H94" i="2"/>
  <c r="H164" i="2" l="1"/>
  <c r="M164" i="2"/>
  <c r="H185" i="2" l="1"/>
  <c r="M185" i="2"/>
  <c r="H97" i="2" l="1"/>
  <c r="M97" i="2"/>
  <c r="M110" i="2" l="1"/>
  <c r="H110" i="2"/>
  <c r="H113" i="2" s="1"/>
  <c r="H5" i="2" l="1"/>
  <c r="M5" i="2"/>
  <c r="H48" i="2" l="1"/>
  <c r="M48" i="2"/>
  <c r="M174" i="2" l="1"/>
  <c r="H174" i="2"/>
  <c r="I56" i="2" l="1"/>
  <c r="F56" i="2"/>
  <c r="M55" i="2"/>
  <c r="H55" i="2"/>
  <c r="F81" i="2" l="1"/>
  <c r="I84" i="2" l="1"/>
  <c r="F84" i="2"/>
  <c r="G84" i="2" s="1"/>
  <c r="M83" i="2"/>
  <c r="H83" i="2"/>
  <c r="H84" i="2" s="1"/>
  <c r="H168" i="2" l="1"/>
  <c r="I108" i="2" l="1"/>
  <c r="H116" i="2" l="1"/>
  <c r="M116" i="2"/>
  <c r="H9" i="2" l="1"/>
  <c r="M9" i="2"/>
  <c r="H182" i="2" l="1"/>
  <c r="M182" i="2"/>
  <c r="H175" i="2" l="1"/>
  <c r="M175" i="2" l="1"/>
  <c r="H98" i="2" l="1"/>
  <c r="M98" i="2"/>
  <c r="H4" i="2" l="1"/>
  <c r="M4" i="2"/>
  <c r="M20" i="2" l="1"/>
  <c r="H20" i="2"/>
  <c r="H105" i="2" l="1"/>
  <c r="H154" i="2" l="1"/>
  <c r="M154" i="2"/>
  <c r="H153" i="2"/>
  <c r="M153" i="2"/>
  <c r="I172" i="2" l="1"/>
  <c r="F172" i="2"/>
  <c r="M170" i="2"/>
  <c r="H170" i="2"/>
  <c r="H172" i="2" l="1"/>
  <c r="M96" i="2" l="1"/>
  <c r="H96" i="2"/>
  <c r="H122" i="2" l="1"/>
  <c r="M122" i="2"/>
  <c r="M179" i="2" l="1"/>
  <c r="H179" i="2"/>
  <c r="H184" i="2" l="1"/>
  <c r="M184" i="2"/>
  <c r="F108" i="2" l="1"/>
  <c r="H181" i="2" l="1"/>
  <c r="M181" i="2"/>
  <c r="G56" i="2" l="1"/>
  <c r="H56" i="2"/>
  <c r="H141" i="2" l="1"/>
  <c r="M141" i="2"/>
  <c r="M86" i="2" l="1"/>
  <c r="H86" i="2"/>
  <c r="H187" i="2" l="1"/>
  <c r="M187" i="2"/>
  <c r="H186" i="2" l="1"/>
  <c r="M186" i="2"/>
  <c r="I28" i="2" l="1"/>
  <c r="H27" i="2"/>
  <c r="M27" i="2"/>
  <c r="F42" i="2" l="1"/>
  <c r="H93" i="2" l="1"/>
  <c r="M93" i="2"/>
  <c r="H75" i="2" l="1"/>
  <c r="M75" i="2"/>
  <c r="H176" i="2" l="1"/>
  <c r="I177" i="2"/>
  <c r="M176" i="2"/>
  <c r="F28" i="2" l="1"/>
  <c r="H189" i="2" l="1"/>
  <c r="H107" i="2"/>
  <c r="M107" i="2"/>
  <c r="F177" i="2" l="1"/>
  <c r="H3" i="2" l="1"/>
  <c r="M3" i="2"/>
  <c r="M121" i="2" l="1"/>
  <c r="H121" i="2"/>
  <c r="M140" i="2" l="1"/>
  <c r="H140" i="2"/>
  <c r="F73" i="2" l="1"/>
  <c r="H38" i="2" l="1"/>
  <c r="M38" i="2"/>
  <c r="G63" i="2" l="1"/>
  <c r="H45" i="2" l="1"/>
  <c r="M45" i="2"/>
  <c r="M139" i="2" l="1"/>
  <c r="H139" i="2"/>
  <c r="I78" i="2" l="1"/>
  <c r="I59" i="2" l="1"/>
  <c r="I42" i="2" l="1"/>
  <c r="I35" i="2"/>
  <c r="I32" i="2" l="1"/>
  <c r="I190" i="2" l="1"/>
  <c r="F101" i="2"/>
  <c r="H108" i="2" l="1"/>
  <c r="M24" i="2" l="1"/>
  <c r="H24" i="2"/>
  <c r="M77" i="2" l="1"/>
  <c r="H77" i="2"/>
  <c r="F78" i="2" l="1"/>
  <c r="M37" i="2" l="1"/>
  <c r="H37" i="2"/>
  <c r="H42" i="2" s="1"/>
  <c r="M115" i="2"/>
  <c r="H115" i="2"/>
  <c r="H177" i="2" l="1"/>
  <c r="H8" i="2" l="1"/>
  <c r="M8" i="2"/>
  <c r="M127" i="2" l="1"/>
  <c r="H127" i="2"/>
  <c r="H158" i="2" s="1"/>
  <c r="M58" i="2" l="1"/>
  <c r="H58" i="2"/>
  <c r="M7" i="2" l="1"/>
  <c r="H7" i="2"/>
  <c r="H13" i="2" s="1"/>
  <c r="H125" i="2" l="1"/>
  <c r="H18" i="2" l="1"/>
  <c r="M30" i="2" l="1"/>
  <c r="H30" i="2"/>
  <c r="M44" i="2"/>
  <c r="H44" i="2"/>
  <c r="H53" i="2" s="1"/>
  <c r="H81" i="2" l="1"/>
  <c r="F35" i="2" l="1"/>
  <c r="G35" i="2" s="1"/>
  <c r="M34" i="2"/>
  <c r="H34" i="2"/>
  <c r="H35" i="2" s="1"/>
  <c r="F32" i="2" l="1"/>
  <c r="G18" i="2" l="1"/>
  <c r="F59" i="2" l="1"/>
  <c r="M31" i="2" l="1"/>
  <c r="H31" i="2"/>
  <c r="H73" i="2" l="1"/>
  <c r="H32" i="2" l="1"/>
  <c r="M67" i="2" l="1"/>
  <c r="H67" i="2" l="1"/>
  <c r="G78" i="2" l="1"/>
  <c r="G108" i="2" l="1"/>
  <c r="H28" i="2" l="1"/>
  <c r="H78" i="2" l="1"/>
  <c r="H59" i="2" l="1"/>
  <c r="H101" i="2" l="1"/>
  <c r="M66" i="2" l="1"/>
  <c r="H66" i="2"/>
  <c r="H68" i="2" s="1"/>
  <c r="G32" i="2" l="1"/>
  <c r="G113" i="2" l="1"/>
  <c r="G68" i="2" l="1"/>
  <c r="G73" i="2" l="1"/>
  <c r="G168" i="2" l="1"/>
  <c r="G101" i="2" l="1"/>
  <c r="G81" i="2" l="1"/>
  <c r="G105" i="2" l="1"/>
  <c r="G28" i="2" l="1"/>
  <c r="H204" i="3" l="1"/>
  <c r="G204" i="3"/>
  <c r="H203" i="3"/>
  <c r="G203" i="3"/>
  <c r="E203" i="3" s="1"/>
  <c r="H202" i="3"/>
  <c r="G202" i="3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202" i="3" l="1"/>
  <c r="E185" i="3"/>
  <c r="E160" i="3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92" i="3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89" i="3"/>
  <c r="E90" i="3" s="1"/>
  <c r="F90" i="3" s="1"/>
  <c r="E98" i="3"/>
  <c r="E124" i="3"/>
  <c r="E96" i="3" l="1"/>
  <c r="F96" i="3" s="1"/>
  <c r="E83" i="3"/>
  <c r="F83" i="3" s="1"/>
  <c r="E57" i="3"/>
  <c r="F57" i="3" s="1"/>
  <c r="E101" i="3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E160" i="1" s="1"/>
  <c r="G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E203" i="1" s="1"/>
  <c r="G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82" i="1" l="1"/>
  <c r="F182" i="1" s="1"/>
  <c r="E139" i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G13" i="2" l="1"/>
  <c r="G53" i="2" l="1"/>
  <c r="G172" i="2"/>
  <c r="G125" i="2"/>
  <c r="G189" i="2" l="1"/>
  <c r="G161" i="2" l="1"/>
  <c r="G42" i="2"/>
  <c r="G158" i="2"/>
  <c r="G177" i="2"/>
  <c r="H190" i="2" l="1"/>
  <c r="G59" i="2" l="1"/>
  <c r="G190" i="2" l="1"/>
</calcChain>
</file>

<file path=xl/sharedStrings.xml><?xml version="1.0" encoding="utf-8"?>
<sst xmlns="http://schemas.openxmlformats.org/spreadsheetml/2006/main" count="3029" uniqueCount="573">
  <si>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</si>
  <si>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</si>
  <si>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</si>
  <si>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</si>
  <si>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</si>
  <si>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</si>
  <si>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</si>
  <si>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</si>
  <si>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</si>
  <si>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</si>
  <si>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</si>
  <si>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</si>
  <si>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</si>
  <si>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</si>
  <si>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</si>
  <si>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</si>
  <si>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</si>
  <si>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</si>
  <si>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</si>
  <si>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</si>
  <si>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</si>
  <si>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</si>
  <si>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</si>
  <si>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</si>
  <si>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</si>
  <si>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</si>
  <si>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</si>
  <si>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</si>
  <si>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</si>
  <si>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</si>
  <si>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</si>
  <si>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</si>
  <si>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</si>
  <si>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</si>
  <si>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</si>
  <si>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</si>
  <si>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</si>
  <si>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</si>
  <si>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</si>
  <si>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</si>
  <si>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</si>
  <si>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</si>
  <si>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</si>
  <si>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</si>
  <si>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</si>
  <si>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</si>
  <si>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</si>
  <si>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</si>
  <si>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</si>
  <si>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</si>
  <si>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</si>
  <si>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</si>
  <si>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</si>
  <si>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</si>
  <si>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</si>
  <si>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</si>
  <si>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</si>
  <si>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</si>
  <si>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</si>
  <si>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</si>
  <si>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</si>
  <si>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</si>
  <si>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</si>
  <si>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</si>
  <si>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</si>
  <si>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</si>
  <si>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</si>
  <si>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</si>
  <si>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</si>
  <si>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</si>
  <si>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</si>
  <si>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</si>
  <si>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</si>
  <si>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</si>
  <si>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</si>
  <si>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</si>
  <si>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</si>
  <si>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</si>
  <si>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</si>
  <si>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</si>
  <si>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</si>
  <si>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</si>
  <si>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</si>
  <si>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</si>
  <si>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</si>
  <si>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</si>
  <si>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</si>
  <si>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</si>
  <si>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</si>
  <si>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</si>
  <si>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</si>
  <si>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</si>
  <si>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</si>
  <si>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</si>
  <si>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</si>
  <si>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</si>
  <si>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</si>
  <si>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</si>
  <si>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</si>
  <si>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</si>
  <si>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</si>
  <si>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</si>
  <si>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</si>
  <si>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</si>
  <si>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</si>
  <si>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</si>
  <si>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</si>
  <si>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</si>
  <si>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</si>
  <si>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</si>
  <si>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</si>
  <si>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</si>
  <si>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</si>
  <si>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</si>
  <si>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</si>
  <si>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</si>
  <si>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</si>
  <si>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</si>
  <si>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</si>
  <si>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</si>
  <si>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</si>
  <si>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</si>
  <si>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</si>
  <si>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</si>
  <si>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</si>
  <si>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</si>
  <si>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</si>
  <si>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</si>
  <si>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</si>
  <si>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</si>
  <si>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</si>
  <si>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</si>
  <si>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</si>
  <si>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</si>
  <si>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</si>
  <si>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</si>
  <si>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</si>
  <si>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</si>
  <si>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</si>
  <si>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</si>
  <si>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</si>
  <si>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</si>
  <si>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</si>
  <si>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</si>
  <si>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</si>
  <si>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</si>
  <si>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</si>
  <si>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</si>
  <si>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</si>
  <si>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</si>
  <si>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</si>
  <si>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</si>
  <si>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</si>
  <si>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</si>
  <si>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</si>
  <si>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</si>
  <si>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</si>
  <si>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</si>
  <si>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</si>
  <si>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</si>
  <si>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</si>
  <si>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</si>
  <si>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</si>
  <si>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</si>
  <si>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</si>
  <si>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</si>
  <si>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</si>
  <si>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</si>
  <si>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</si>
  <si>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</si>
  <si>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</si>
  <si>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</si>
  <si>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</si>
  <si>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</si>
  <si>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</si>
  <si>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</si>
  <si>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</si>
  <si>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</si>
  <si>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</si>
  <si>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</si>
  <si>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</si>
  <si>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</si>
  <si>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</si>
  <si>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</si>
  <si>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</si>
  <si>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</si>
  <si>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</si>
  <si>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</si>
  <si>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</si>
  <si>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</si>
  <si>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</si>
  <si>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</si>
  <si>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</si>
  <si>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</si>
  <si>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</si>
  <si>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</si>
  <si>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</si>
  <si>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</si>
  <si>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</si>
  <si>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</si>
  <si>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</si>
  <si>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</si>
  <si>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</si>
  <si>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</si>
  <si>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</si>
  <si>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</si>
  <si>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</si>
  <si>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</si>
  <si>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</si>
  <si>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</si>
  <si>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</si>
  <si>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</si>
  <si>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</si>
  <si>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</si>
  <si>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</si>
  <si>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</si>
  <si>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</si>
  <si>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</si>
  <si>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</si>
  <si>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</si>
  <si>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</si>
  <si>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</si>
  <si>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</si>
  <si>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</si>
  <si>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</si>
  <si>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</si>
  <si>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</si>
  <si>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</si>
  <si>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</si>
  <si>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</si>
  <si>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</si>
  <si>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</si>
  <si>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</si>
  <si>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IBAC</t>
  </si>
  <si>
    <t>BUTYL DI  GLYCOL</t>
  </si>
  <si>
    <t>SIDHE</t>
  </si>
  <si>
    <t>SIDHE PETROCHEMICAL - SC PETREL</t>
  </si>
  <si>
    <t>SIDHE PETROCHEMICAL - STOLT NORLAND</t>
  </si>
  <si>
    <t>AHIR + FSWAI</t>
  </si>
  <si>
    <t>SIDHE PETRO STOLT INTEGRITY</t>
  </si>
  <si>
    <t>2-ETHYLHEXANOL</t>
  </si>
  <si>
    <t>F-6070 BOW TRAJECTORY</t>
  </si>
  <si>
    <t>CYCLOHEXANE</t>
  </si>
  <si>
    <t>F-6072 STOLT ENDURANCE</t>
  </si>
  <si>
    <t>F-6074 STOLT ENDURANCE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</si>
  <si>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</si>
  <si>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</si>
  <si>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</si>
  <si>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</si>
  <si>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</si>
  <si>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</si>
  <si>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</si>
  <si>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F-6143A SEA HARVEST</t>
  </si>
  <si>
    <t>F-6146 BOW ODYSSEY</t>
  </si>
  <si>
    <t>F-6181 CNC RICH</t>
  </si>
  <si>
    <t>F-6126 NO. 03 OCEAN PIONEER</t>
  </si>
  <si>
    <t>F-6145 MARITIME VALOR</t>
  </si>
  <si>
    <t>F-6176 NO.6 OCEAN PIONEER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</si>
  <si>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</si>
  <si>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</si>
  <si>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</si>
  <si>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</si>
  <si>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</si>
  <si>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</si>
  <si>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F-6196 ASIAN PIONEER</t>
  </si>
  <si>
    <t>F-6238 DM JADE</t>
  </si>
  <si>
    <t>F-6225 DS OCEAN</t>
  </si>
  <si>
    <t>F-6231 BOW COUGAR</t>
  </si>
  <si>
    <t>SPL-301A DS COUGAR</t>
  </si>
  <si>
    <t>F-6263 MC GAEA</t>
  </si>
  <si>
    <t>F-6251 EASTERLY EAGLE</t>
  </si>
  <si>
    <t>F-6230 BOW COUGAR</t>
  </si>
  <si>
    <t>F-6226 PRABHU PARVATI</t>
  </si>
  <si>
    <t>F-6252 AL AMERAT</t>
  </si>
  <si>
    <t xml:space="preserve">F-6267 SOLAR AILENE </t>
  </si>
  <si>
    <t>F-6280 WOOJIN ELVIS</t>
  </si>
  <si>
    <t>AHIR+KESAR</t>
  </si>
  <si>
    <t>SPL-319 CHEMROAD SIRIUS</t>
  </si>
  <si>
    <t>F-6254 ORIENTAL COSMOS</t>
  </si>
  <si>
    <t>OTR QTY</t>
  </si>
  <si>
    <t>SPL-320 CHEMROAD SIRIUS</t>
  </si>
  <si>
    <t>SPL-321 CHEMROAD SIRIUS SOLVENT</t>
  </si>
  <si>
    <t>SPL-322 CHEMROAD SIRIUS</t>
  </si>
  <si>
    <t>F-6259 CT BRIGHT</t>
  </si>
  <si>
    <t>AHIR+KESAR+FSWAI</t>
  </si>
  <si>
    <t>F-6316 TG CRAB</t>
  </si>
  <si>
    <t>F-6273 DM CONDOR</t>
  </si>
  <si>
    <t>F-6271 SONGA NEPTUNE</t>
  </si>
  <si>
    <t>F-6291 GLEN COVE</t>
  </si>
  <si>
    <t>F-6320A KAMUI GALAXY</t>
  </si>
  <si>
    <t>GBL (SELORD)</t>
  </si>
  <si>
    <t>F-6301 OSHAIRIJ</t>
  </si>
  <si>
    <t>F-6284 SONGA NEPTUNE</t>
  </si>
  <si>
    <t>F-6270 BRAVONEA</t>
  </si>
  <si>
    <t>MIXED HEPTANE</t>
  </si>
  <si>
    <t>F-6279 LISBON</t>
  </si>
  <si>
    <t>F-6272 LISBON</t>
  </si>
  <si>
    <t>SPL-334 DM CONDOR</t>
  </si>
  <si>
    <t>F-6302 YONG CHANG SHUN HANG</t>
  </si>
  <si>
    <t>F-6303 STOLT MAPLE</t>
  </si>
  <si>
    <t>SPL-318A CHEMOCEAN LEO</t>
  </si>
  <si>
    <t>F-6329 SOUTHERN CETACEA</t>
  </si>
  <si>
    <t>F-6310 DAMSGAARD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</si>
  <si>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</si>
  <si>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</si>
  <si>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</si>
  <si>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</si>
  <si>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</si>
  <si>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</si>
  <si>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</si>
  <si>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</si>
  <si>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</si>
  <si>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</si>
  <si>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</si>
  <si>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</si>
  <si>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</si>
  <si>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</si>
  <si>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</si>
  <si>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</si>
  <si>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</si>
  <si>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</si>
  <si>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</si>
  <si>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</si>
  <si>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</si>
  <si>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</si>
  <si>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</si>
  <si>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</si>
  <si>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</si>
  <si>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</si>
  <si>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</si>
  <si>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</si>
  <si>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</si>
  <si>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</si>
  <si>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</si>
  <si>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</si>
  <si>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</si>
  <si>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</si>
  <si>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</si>
  <si>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</si>
  <si>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F-6377 SOUTHERN QUOKKA</t>
  </si>
  <si>
    <t>T- 500MT PARAS CHEIRLIFE 18-03-2026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</si>
  <si>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</si>
  <si>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</si>
  <si>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</si>
  <si>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</si>
  <si>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</si>
  <si>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</si>
  <si>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</si>
  <si>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F-6382 CT BRIGHT</t>
  </si>
  <si>
    <t>F-6370 SFL ARUBA</t>
  </si>
  <si>
    <t>F-6374 CNC RICH</t>
  </si>
  <si>
    <t>F-6338 STOLT BETULA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</si>
  <si>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</si>
  <si>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</si>
  <si>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</si>
  <si>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</si>
  <si>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</si>
  <si>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</si>
  <si>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</si>
  <si>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</si>
  <si>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</si>
  <si>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</si>
  <si>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</si>
  <si>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</si>
  <si>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</si>
  <si>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</si>
  <si>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F-6351 MARITIME GRACIOUS</t>
  </si>
  <si>
    <t>STPL-13 BOW NEON</t>
  </si>
  <si>
    <t>STPL-10 GC BERYL</t>
  </si>
  <si>
    <t>AHIR+CRL</t>
  </si>
  <si>
    <t>STPL-11 CHEMROAD ZENITH</t>
  </si>
  <si>
    <t>F-6383 CHEMROAD ZENITH</t>
  </si>
  <si>
    <t>F-6349 YONG CHANG SHUN HANG</t>
  </si>
  <si>
    <t>STPL-8 BOW TRIBUTE</t>
  </si>
  <si>
    <t>T-240 TOW UJIN (BOW TRIBUTE) FY26-27- 100000093</t>
  </si>
  <si>
    <t>L-0 KRLGUJGST2627-005 NITI CHEM FY26-27- 100000095</t>
  </si>
  <si>
    <t>L-0 KRLGUJGST2627-007 UJIN FY26-27- 100000096</t>
  </si>
  <si>
    <t>L-0 KRLGUJGST2627-006 DRJ PETRO FY26-27-</t>
  </si>
  <si>
    <t>AHIR+FSWAI</t>
  </si>
  <si>
    <t xml:space="preserve">F-6401 STOLT ARGON </t>
  </si>
  <si>
    <t>F-6335 BOW TRIUMPH</t>
  </si>
  <si>
    <t>SPL-371 BOW TRIUMPH</t>
  </si>
  <si>
    <t>L- GST-PO NO.11 KHUSHBU FY26-27- 100000108</t>
  </si>
  <si>
    <t>T-244 TOW SANJAY Vsl SC AMBER FY26-27- 100000109</t>
  </si>
  <si>
    <t>T-245 TOW SANJAY Vsl SFL ARUBA FY26-27- 100000111</t>
  </si>
  <si>
    <t>T-246 TOW SANJAY Vsl SC AMBER FY26-27- 100000110</t>
  </si>
  <si>
    <t>T-241 TOW KUNJAL Vsl GINGA JAGUAR FY26-27- 100000113</t>
  </si>
  <si>
    <t>L- GST-PO NO.08 SATISH CHEMICAL FY26-27- 100000100</t>
  </si>
  <si>
    <t>L- GST-PO NO.10 SATISH CHEMICAL FY26-27- 100000107</t>
  </si>
  <si>
    <t>T-242 TOW YUG Vsl GINGA JAGUAR FY26-27- 100000106</t>
  </si>
  <si>
    <t>T-243 TOW SANJAY Vsl EVA HANSA FY26-27- 100000112</t>
  </si>
  <si>
    <t>STPL-14 NO. 5 OCEAN PIONEER</t>
  </si>
  <si>
    <t>STPL-17 SLOGEN</t>
  </si>
  <si>
    <t>L-0 KRLGUJGST2627-009 TEGRAL FY26-27- 100000104</t>
  </si>
  <si>
    <t>STOCK REPORT 27-05-2026</t>
  </si>
  <si>
    <t>AVG SALE PRICE</t>
  </si>
  <si>
    <t>KRL</t>
  </si>
  <si>
    <t>COMPANY</t>
  </si>
  <si>
    <t>PURCHASE PRICE  MT (INR)</t>
  </si>
  <si>
    <t>F</t>
  </si>
  <si>
    <t>BOW</t>
  </si>
  <si>
    <t>ENDEAVOR</t>
  </si>
  <si>
    <t>TG</t>
  </si>
  <si>
    <t>CRAB</t>
  </si>
  <si>
    <t>YONG</t>
  </si>
  <si>
    <t>CHANG</t>
  </si>
  <si>
    <t>SHUN</t>
  </si>
  <si>
    <t>HANG</t>
  </si>
  <si>
    <t>PVT</t>
  </si>
  <si>
    <t>LYRA</t>
  </si>
  <si>
    <t>PANTHER</t>
  </si>
  <si>
    <t>6143A</t>
  </si>
  <si>
    <t>SEA</t>
  </si>
  <si>
    <t>HARVEST</t>
  </si>
  <si>
    <t>6320A</t>
  </si>
  <si>
    <t>KAMUI</t>
  </si>
  <si>
    <t>GALAXY</t>
  </si>
  <si>
    <t>SOUTHERN</t>
  </si>
  <si>
    <t>QUOKKA</t>
  </si>
  <si>
    <t>GOODAL</t>
  </si>
  <si>
    <t>STPL</t>
  </si>
  <si>
    <t>GC</t>
  </si>
  <si>
    <t>BERYL</t>
  </si>
  <si>
    <t>JASMINE</t>
  </si>
  <si>
    <t>TRADER</t>
  </si>
  <si>
    <t>T</t>
  </si>
  <si>
    <t>200mt</t>
  </si>
  <si>
    <t>KLJ</t>
  </si>
  <si>
    <t>PETROPLAST</t>
  </si>
  <si>
    <t>CT</t>
  </si>
  <si>
    <t>BRIGHT</t>
  </si>
  <si>
    <t>CNC</t>
  </si>
  <si>
    <t>RICH</t>
  </si>
  <si>
    <t>CELSIUS</t>
  </si>
  <si>
    <t>MIDDLEFART</t>
  </si>
  <si>
    <t>SPL</t>
  </si>
  <si>
    <t>HANYU</t>
  </si>
  <si>
    <t>FREESIA</t>
  </si>
  <si>
    <t>301A</t>
  </si>
  <si>
    <t>DS</t>
  </si>
  <si>
    <t>COUGAR</t>
  </si>
  <si>
    <t>STOLT</t>
  </si>
  <si>
    <t>ENDURANCE</t>
  </si>
  <si>
    <t>PETRO</t>
  </si>
  <si>
    <t>INTEGRITY</t>
  </si>
  <si>
    <t>TRAJECTORY</t>
  </si>
  <si>
    <t>6097A</t>
  </si>
  <si>
    <t>HAEIN</t>
  </si>
  <si>
    <t>HOPE</t>
  </si>
  <si>
    <t>TRIBUTE</t>
  </si>
  <si>
    <t>NO.</t>
  </si>
  <si>
    <t>OCEAN</t>
  </si>
  <si>
    <t>PIONEER</t>
  </si>
  <si>
    <t>NO.6</t>
  </si>
  <si>
    <t>CARIBBEAN</t>
  </si>
  <si>
    <t>SFL</t>
  </si>
  <si>
    <t>ARUBA</t>
  </si>
  <si>
    <t>DM</t>
  </si>
  <si>
    <t>CONDOR</t>
  </si>
  <si>
    <t>TRIUMPH</t>
  </si>
  <si>
    <t>TOW</t>
  </si>
  <si>
    <t>UJIN</t>
  </si>
  <si>
    <t>(BOW</t>
  </si>
  <si>
    <t>TRIBUTE)</t>
  </si>
  <si>
    <t>FY26</t>
  </si>
  <si>
    <t>LISBON</t>
  </si>
  <si>
    <t>LIND</t>
  </si>
  <si>
    <t>ARGON</t>
  </si>
  <si>
    <t>PETROCHEMICAL</t>
  </si>
  <si>
    <t>SC</t>
  </si>
  <si>
    <t>PETREL</t>
  </si>
  <si>
    <t>NORLAND</t>
  </si>
  <si>
    <t>CHEMROAD</t>
  </si>
  <si>
    <t>ZENITH</t>
  </si>
  <si>
    <t>JADE</t>
  </si>
  <si>
    <t>ODYSSEY</t>
  </si>
  <si>
    <t>BRAVONEA</t>
  </si>
  <si>
    <t>MAPLE</t>
  </si>
  <si>
    <t>mt</t>
  </si>
  <si>
    <t>Chemroad</t>
  </si>
  <si>
    <t>Sirius</t>
  </si>
  <si>
    <t>1000mt</t>
  </si>
  <si>
    <t>MC</t>
  </si>
  <si>
    <t>HERA</t>
  </si>
  <si>
    <t>SIRIUS</t>
  </si>
  <si>
    <t>MARITIME</t>
  </si>
  <si>
    <t>AMITY</t>
  </si>
  <si>
    <t>QUEST</t>
  </si>
  <si>
    <t>318A</t>
  </si>
  <si>
    <t>CHEMOCEAN</t>
  </si>
  <si>
    <t>LEO</t>
  </si>
  <si>
    <t>EVA</t>
  </si>
  <si>
    <t>HANSA</t>
  </si>
  <si>
    <t>JUPITER</t>
  </si>
  <si>
    <t>NEON</t>
  </si>
  <si>
    <t>EASTERLY</t>
  </si>
  <si>
    <t>BEECH</t>
  </si>
  <si>
    <t>BETULA</t>
  </si>
  <si>
    <t>FPMC</t>
  </si>
  <si>
    <t>OSHAIRIJ</t>
  </si>
  <si>
    <t>KOREA</t>
  </si>
  <si>
    <t>CHEMI</t>
  </si>
  <si>
    <t>GRACIOUS</t>
  </si>
  <si>
    <t>COMITY</t>
  </si>
  <si>
    <t>EXCELLENCE</t>
  </si>
  <si>
    <t>STENA</t>
  </si>
  <si>
    <t>PROGRESSIVE</t>
  </si>
  <si>
    <t>GINGA</t>
  </si>
  <si>
    <t>JAGUAR</t>
  </si>
  <si>
    <t>YUG</t>
  </si>
  <si>
    <t>Vsl</t>
  </si>
  <si>
    <t>SANJAY</t>
  </si>
  <si>
    <t>L</t>
  </si>
  <si>
    <t>KRLGUJGST2627</t>
  </si>
  <si>
    <t>TEGRAL</t>
  </si>
  <si>
    <t>GST</t>
  </si>
  <si>
    <t>PO</t>
  </si>
  <si>
    <t>NO.08</t>
  </si>
  <si>
    <t>SATISH</t>
  </si>
  <si>
    <t>CHEMICAL</t>
  </si>
  <si>
    <t>NO.10</t>
  </si>
  <si>
    <t>DDELPHINUS</t>
  </si>
  <si>
    <t>VALOR</t>
  </si>
  <si>
    <t>WOLF</t>
  </si>
  <si>
    <t>PRABHU</t>
  </si>
  <si>
    <t>PARVATI</t>
  </si>
  <si>
    <t>1425mt</t>
  </si>
  <si>
    <t>ISOMAR</t>
  </si>
  <si>
    <t>Stolt</t>
  </si>
  <si>
    <t>Maple</t>
  </si>
  <si>
    <t>476.893mt</t>
  </si>
  <si>
    <t>523.107mt</t>
  </si>
  <si>
    <t>SOLVENT</t>
  </si>
  <si>
    <t>NITI</t>
  </si>
  <si>
    <t>CHEM</t>
  </si>
  <si>
    <t>DRJ</t>
  </si>
  <si>
    <t>NO.11</t>
  </si>
  <si>
    <t>KHUSHBU</t>
  </si>
  <si>
    <t>KUNJAL</t>
  </si>
  <si>
    <t>AMBER</t>
  </si>
  <si>
    <t>LOCAL</t>
  </si>
  <si>
    <t>PURCHASE</t>
  </si>
  <si>
    <t>TRICON</t>
  </si>
  <si>
    <t>ENERGY</t>
  </si>
  <si>
    <t>SONGA</t>
  </si>
  <si>
    <t>NEPTUNE</t>
  </si>
  <si>
    <t>DAMSGAARD</t>
  </si>
  <si>
    <t>SLOGEN</t>
  </si>
  <si>
    <t>ORIENTAL</t>
  </si>
  <si>
    <t>COSMOS</t>
  </si>
  <si>
    <t>500MT</t>
  </si>
  <si>
    <t>PARAS</t>
  </si>
  <si>
    <t>CHEIRLIFE</t>
  </si>
  <si>
    <t>ASIAN</t>
  </si>
  <si>
    <t>WOOJIN</t>
  </si>
  <si>
    <t>ELVIS</t>
  </si>
  <si>
    <t>SHAN</t>
  </si>
  <si>
    <t>BANG</t>
  </si>
  <si>
    <t>AL</t>
  </si>
  <si>
    <t>AMERAT</t>
  </si>
  <si>
    <t>GLEN</t>
  </si>
  <si>
    <t>COVE</t>
  </si>
  <si>
    <t>JBU</t>
  </si>
  <si>
    <t>OPAL</t>
  </si>
  <si>
    <t>SOLAR</t>
  </si>
  <si>
    <t>AILENE</t>
  </si>
  <si>
    <t>CETACEA</t>
  </si>
  <si>
    <t>GAEA</t>
  </si>
  <si>
    <t>EAGLE</t>
  </si>
  <si>
    <t>FD</t>
  </si>
  <si>
    <t>ST</t>
  </si>
  <si>
    <t>MARKET PRICE MT (INR)</t>
  </si>
  <si>
    <t>AVG SALE PRICE MT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</si>
</sst>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0" fontId="12" fillId="0" borderId="0"/>
    <xf numFmtId="43" fontId="10" fillId="0" borderId="0" applyFont="0" applyFill="0" applyBorder="0" applyAlignment="0" applyProtection="0"/>
    <xf numFmtId="0" fontId="13" fillId="0" borderId="0"/>
    <xf numFmtId="43" fontId="10" fillId="0" borderId="0" applyFont="0" applyFill="0" applyBorder="0" applyAlignment="0" applyProtection="0"/>
    <xf numFmtId="0" fontId="14" fillId="0" borderId="0"/>
    <xf numFmtId="43" fontId="16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8" xfId="0" applyBorder="1"/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2" fontId="8" fillId="0" borderId="20" xfId="0" applyNumberFormat="1" applyFont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0" fillId="6" borderId="0" xfId="0" applyFill="1"/>
    <xf numFmtId="164" fontId="15" fillId="0" borderId="8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6" borderId="0" xfId="0" applyFont="1" applyFill="1"/>
    <xf numFmtId="164" fontId="7" fillId="0" borderId="0" xfId="0" applyNumberFormat="1" applyFont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5" fillId="5" borderId="8" xfId="0" applyFont="1" applyFill="1" applyBorder="1"/>
    <xf numFmtId="164" fontId="0" fillId="0" borderId="0" xfId="0" applyNumberForma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6" fillId="7" borderId="8" xfId="0" applyFont="1" applyFill="1" applyBorder="1" applyAlignment="1">
      <alignment horizontal="center"/>
    </xf>
    <xf numFmtId="4" fontId="0" fillId="6" borderId="0" xfId="0" applyNumberFormat="1" applyFill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165" fontId="0" fillId="6" borderId="0" xfId="8" applyNumberFormat="1" applyFont="1" applyFill="1"/>
    <xf numFmtId="165" fontId="17" fillId="6" borderId="3" xfId="8" applyNumberFormat="1" applyFont="1" applyFill="1" applyBorder="1" applyAlignment="1">
      <alignment vertical="center"/>
    </xf>
    <xf numFmtId="165" fontId="6" fillId="0" borderId="6" xfId="8" applyNumberFormat="1" applyFont="1" applyBorder="1" applyAlignment="1">
      <alignment horizontal="center"/>
    </xf>
    <xf numFmtId="165" fontId="5" fillId="0" borderId="11" xfId="8" applyNumberFormat="1" applyFont="1" applyBorder="1" applyAlignment="1">
      <alignment horizontal="center"/>
    </xf>
    <xf numFmtId="165" fontId="5" fillId="6" borderId="0" xfId="8" applyNumberFormat="1" applyFont="1" applyFill="1"/>
    <xf numFmtId="165" fontId="6" fillId="0" borderId="0" xfId="8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9">
    <cellStyle name="Comma" xfId="8" builtinId="3"/>
    <cellStyle name="Comma 10" xfId="6" xr:uid="{00000000-0005-0000-0000-000000000000}"/>
    <cellStyle name="Comma 2" xfId="2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 3" xfId="3" xr:uid="{00000000-0005-0000-0000-000005000000}"/>
    <cellStyle name="Normal 4" xfId="5" xr:uid="{00000000-0005-0000-0000-000006000000}"/>
    <cellStyle name="Normal 5" xfId="7" xr:uid="{00000000-0005-0000-0000-000007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399999999999999" x14ac:dyDescent="0.35"/>
  <cols>
    <col min="1" max="1" width="16.109375" style="1" customWidth="1"/>
    <col min="2" max="2" width="38" bestFit="1" customWidth="1"/>
    <col min="3" max="3" width="24.5546875" customWidth="1"/>
    <col min="4" max="4" width="14.33203125" customWidth="1"/>
    <col min="5" max="5" width="17.6640625" style="1" customWidth="1"/>
    <col min="6" max="6" width="14.109375" style="2" customWidth="1"/>
    <col min="7" max="7" width="23.33203125" customWidth="1"/>
    <col min="8" max="8" width="20.33203125" customWidth="1"/>
    <col min="9" max="9" width="34.6640625" style="1" customWidth="1"/>
    <col min="10" max="10" width="17.88671875" style="1" customWidth="1"/>
    <col min="11" max="11" width="23.5546875" style="3" customWidth="1"/>
    <col min="12" max="12" width="31.33203125" customWidth="1"/>
    <col min="13" max="13" width="12.88671875" customWidth="1"/>
    <col min="14" max="14" width="12.6640625" customWidth="1"/>
  </cols>
  <sheetData>
    <row r="4" spans="1:14" ht="18" thickBot="1" x14ac:dyDescent="0.4"/>
    <row r="5" spans="1:14" ht="33" customHeight="1" thickBot="1" x14ac:dyDescent="0.35">
      <c r="A5" s="115" t="s">
        <v>172</v>
      </c>
      <c r="B5" s="116"/>
      <c r="C5" s="116"/>
      <c r="D5" s="116"/>
      <c r="E5" s="116"/>
      <c r="F5" s="116"/>
      <c r="G5" s="116"/>
      <c r="H5" s="116"/>
      <c r="I5" s="116"/>
      <c r="J5" s="117"/>
      <c r="K5" s="4"/>
    </row>
    <row r="6" spans="1:14" ht="36.6" thickBot="1" x14ac:dyDescent="0.4">
      <c r="A6" s="5" t="s">
        <v>0</v>
      </c>
      <c r="B6" s="6" t="s">
        <v>1</v>
      </c>
      <c r="C6" s="6" t="s">
        <v>2</v>
      </c>
      <c r="D6" s="6" t="s">
        <v>3</v>
      </c>
      <c r="E6" s="7" t="s">
        <v>4</v>
      </c>
      <c r="F6" s="7" t="s">
        <v>4</v>
      </c>
      <c r="G6" s="7" t="s">
        <v>5</v>
      </c>
      <c r="H6" s="7" t="s">
        <v>6</v>
      </c>
      <c r="I6" s="7" t="s">
        <v>7</v>
      </c>
      <c r="J6" s="8"/>
      <c r="K6" s="9" t="s">
        <v>8</v>
      </c>
      <c r="M6" s="55" t="s">
        <v>224</v>
      </c>
      <c r="N6" t="s">
        <v>173</v>
      </c>
    </row>
    <row r="7" spans="1:14" ht="18" x14ac:dyDescent="0.35">
      <c r="A7" s="10">
        <v>44893</v>
      </c>
      <c r="B7" s="11" t="s">
        <v>10</v>
      </c>
      <c r="C7" s="11" t="s">
        <v>11</v>
      </c>
      <c r="D7" s="11" t="s">
        <v>9</v>
      </c>
      <c r="E7" s="12">
        <v>5.6970000000001164</v>
      </c>
      <c r="F7" s="13"/>
      <c r="G7" s="14">
        <v>0</v>
      </c>
      <c r="H7" s="14">
        <v>5.6970000000001164</v>
      </c>
      <c r="I7" s="15" t="s">
        <v>12</v>
      </c>
      <c r="J7" s="16"/>
      <c r="K7" s="17">
        <v>473</v>
      </c>
      <c r="M7" t="e">
        <v>#N/A</v>
      </c>
      <c r="N7" t="e">
        <v>#N/A</v>
      </c>
    </row>
    <row r="8" spans="1:14" ht="18" x14ac:dyDescent="0.35">
      <c r="A8" s="10">
        <v>44964</v>
      </c>
      <c r="B8" s="11" t="s">
        <v>14</v>
      </c>
      <c r="C8" s="11" t="s">
        <v>11</v>
      </c>
      <c r="D8" s="11" t="s">
        <v>9</v>
      </c>
      <c r="E8" s="12">
        <f t="shared" ref="E8:E15" si="0">H8-G8</f>
        <v>0</v>
      </c>
      <c r="F8" s="13"/>
      <c r="G8" s="14">
        <f>322.189-37.75-166.01-103.19</f>
        <v>15.239000000000033</v>
      </c>
      <c r="H8" s="14">
        <f>322.189-37.75-166.01-103.19</f>
        <v>15.239000000000033</v>
      </c>
      <c r="I8" s="15" t="s">
        <v>15</v>
      </c>
      <c r="J8" s="16"/>
      <c r="K8" s="18">
        <v>435</v>
      </c>
      <c r="M8">
        <v>0</v>
      </c>
      <c r="N8">
        <v>2.8421709430404007E-13</v>
      </c>
    </row>
    <row r="9" spans="1:14" ht="18" x14ac:dyDescent="0.35">
      <c r="A9" s="10">
        <v>44992</v>
      </c>
      <c r="B9" s="11" t="s">
        <v>17</v>
      </c>
      <c r="C9" s="11" t="s">
        <v>11</v>
      </c>
      <c r="D9" s="11" t="s">
        <v>9</v>
      </c>
      <c r="E9" s="12">
        <f t="shared" si="0"/>
        <v>753.14100000000008</v>
      </c>
      <c r="F9" s="13"/>
      <c r="G9" s="14">
        <f>80+18+282-9.83</f>
        <v>370.17</v>
      </c>
      <c r="H9" s="14">
        <f>1392.151-69.52-132.92-56.57-9.83</f>
        <v>1123.3110000000001</v>
      </c>
      <c r="I9" s="15" t="s">
        <v>18</v>
      </c>
      <c r="J9" s="16"/>
      <c r="K9" s="18">
        <v>435.07498157175701</v>
      </c>
      <c r="M9">
        <v>353.94100000000003</v>
      </c>
      <c r="N9">
        <v>-32.848999999999933</v>
      </c>
    </row>
    <row r="10" spans="1:14" ht="18" x14ac:dyDescent="0.35">
      <c r="A10" s="10">
        <v>45007</v>
      </c>
      <c r="B10" s="11" t="s">
        <v>20</v>
      </c>
      <c r="C10" s="11" t="s">
        <v>11</v>
      </c>
      <c r="D10" s="11" t="s">
        <v>13</v>
      </c>
      <c r="E10" s="12">
        <f t="shared" si="0"/>
        <v>120.46399999999994</v>
      </c>
      <c r="F10" s="13"/>
      <c r="G10" s="14">
        <f>693.44-64.12-25.08-24.21-60.09+88-35.06</f>
        <v>572.87999999999988</v>
      </c>
      <c r="H10" s="14">
        <f>901.904-64.12-25.08-24.21-60.09-35.06</f>
        <v>693.34399999999982</v>
      </c>
      <c r="I10" s="15" t="s">
        <v>21</v>
      </c>
      <c r="J10" s="16"/>
      <c r="K10" s="18">
        <v>455.07895326310899</v>
      </c>
      <c r="M10">
        <v>205.05399999999986</v>
      </c>
      <c r="N10">
        <v>71.653999999999883</v>
      </c>
    </row>
    <row r="11" spans="1:14" ht="18" x14ac:dyDescent="0.35">
      <c r="A11" s="10">
        <v>45026</v>
      </c>
      <c r="B11" s="11" t="s">
        <v>22</v>
      </c>
      <c r="C11" s="11" t="s">
        <v>11</v>
      </c>
      <c r="D11" s="11" t="s">
        <v>13</v>
      </c>
      <c r="E11" s="12">
        <f t="shared" si="0"/>
        <v>848.58600000000001</v>
      </c>
      <c r="F11" s="13"/>
      <c r="G11" s="14">
        <v>200</v>
      </c>
      <c r="H11" s="14">
        <v>1048.586</v>
      </c>
      <c r="I11" s="15" t="s">
        <v>21</v>
      </c>
      <c r="J11" s="16"/>
      <c r="K11" s="18">
        <v>455.07995469010302</v>
      </c>
      <c r="M11">
        <v>848.58600000000001</v>
      </c>
      <c r="N11">
        <v>848.58600000000001</v>
      </c>
    </row>
    <row r="12" spans="1:14" ht="18" x14ac:dyDescent="0.35">
      <c r="A12" s="10">
        <v>44959</v>
      </c>
      <c r="B12" s="11" t="s">
        <v>174</v>
      </c>
      <c r="C12" s="11" t="s">
        <v>11</v>
      </c>
      <c r="D12" s="11" t="s">
        <v>16</v>
      </c>
      <c r="E12" s="12">
        <f t="shared" si="0"/>
        <v>123.40899999999998</v>
      </c>
      <c r="F12" s="13"/>
      <c r="G12" s="14">
        <f>105-24.84-7.11</f>
        <v>73.05</v>
      </c>
      <c r="H12" s="14">
        <f>228.409-24.84-7.11</f>
        <v>196.45899999999997</v>
      </c>
      <c r="I12" s="15" t="s">
        <v>23</v>
      </c>
      <c r="J12" s="16"/>
      <c r="K12" s="18">
        <v>441.98</v>
      </c>
      <c r="M12">
        <v>1.9309999999998126</v>
      </c>
      <c r="N12">
        <v>-52.34900000000016</v>
      </c>
    </row>
    <row r="13" spans="1:14" ht="18" x14ac:dyDescent="0.35">
      <c r="A13" s="10">
        <v>45004</v>
      </c>
      <c r="B13" s="11" t="s">
        <v>24</v>
      </c>
      <c r="C13" s="11" t="s">
        <v>11</v>
      </c>
      <c r="D13" s="11" t="s">
        <v>16</v>
      </c>
      <c r="E13" s="12">
        <f>H13-G13</f>
        <v>43.650999999999968</v>
      </c>
      <c r="F13" s="13"/>
      <c r="G13" s="14">
        <f>115.68-21.77</f>
        <v>93.910000000000011</v>
      </c>
      <c r="H13" s="14">
        <f>159.331-21.77</f>
        <v>137.56099999999998</v>
      </c>
      <c r="I13" s="15" t="s">
        <v>23</v>
      </c>
      <c r="J13" s="16"/>
      <c r="K13" s="18">
        <v>455.07914508269999</v>
      </c>
      <c r="M13">
        <v>117.81099999999992</v>
      </c>
      <c r="N13">
        <v>43.471000000000004</v>
      </c>
    </row>
    <row r="14" spans="1:14" ht="18" x14ac:dyDescent="0.35">
      <c r="A14" s="10">
        <v>45061</v>
      </c>
      <c r="B14" s="11" t="s">
        <v>213</v>
      </c>
      <c r="C14" s="11" t="s">
        <v>11</v>
      </c>
      <c r="D14" s="11" t="s">
        <v>16</v>
      </c>
      <c r="E14" s="12">
        <f>H14-G14</f>
        <v>43.650999999999968</v>
      </c>
      <c r="F14" s="13"/>
      <c r="G14" s="14">
        <f>115.68-21.77</f>
        <v>93.910000000000011</v>
      </c>
      <c r="H14" s="14">
        <f>159.331-21.77</f>
        <v>137.56099999999998</v>
      </c>
      <c r="I14" s="15" t="s">
        <v>23</v>
      </c>
      <c r="J14" s="16"/>
      <c r="K14" s="18">
        <v>455.07914508269999</v>
      </c>
      <c r="M14">
        <v>1000.042</v>
      </c>
      <c r="N14">
        <v>1000.0419999999999</v>
      </c>
    </row>
    <row r="15" spans="1:14" ht="18" x14ac:dyDescent="0.35">
      <c r="A15" s="10">
        <v>44855</v>
      </c>
      <c r="B15" s="11" t="s">
        <v>25</v>
      </c>
      <c r="C15" s="11" t="s">
        <v>11</v>
      </c>
      <c r="D15" s="11" t="s">
        <v>19</v>
      </c>
      <c r="E15" s="12">
        <f t="shared" si="0"/>
        <v>2.0150000000000001</v>
      </c>
      <c r="F15" s="13"/>
      <c r="G15" s="14">
        <v>0</v>
      </c>
      <c r="H15" s="14">
        <v>2.0150000000000001</v>
      </c>
      <c r="I15" s="15" t="s">
        <v>26</v>
      </c>
      <c r="J15" s="16"/>
      <c r="K15" s="18">
        <v>495</v>
      </c>
      <c r="M15">
        <v>2.055000000000291</v>
      </c>
      <c r="N15">
        <v>1.095000000000141</v>
      </c>
    </row>
    <row r="16" spans="1:14" ht="18" x14ac:dyDescent="0.35">
      <c r="A16" s="19"/>
      <c r="B16" s="13" t="s">
        <v>27</v>
      </c>
      <c r="C16" s="13"/>
      <c r="D16" s="13"/>
      <c r="E16" s="20">
        <f>SUBTOTAL(9,E7:E15)</f>
        <v>1940.6140000000003</v>
      </c>
      <c r="F16" s="21">
        <f>E16</f>
        <v>1940.6140000000003</v>
      </c>
      <c r="G16" s="20">
        <f>SUBTOTAL(9,G7:G15)</f>
        <v>1419.1590000000001</v>
      </c>
      <c r="H16" s="20">
        <f>SUBTOTAL(9,H7:H15)</f>
        <v>3359.7730000000001</v>
      </c>
      <c r="I16" s="15"/>
      <c r="J16" s="16"/>
      <c r="K16" s="18"/>
    </row>
    <row r="17" spans="1:14" ht="18" x14ac:dyDescent="0.35">
      <c r="A17" s="19"/>
      <c r="B17" s="13"/>
      <c r="C17" s="13"/>
      <c r="D17" s="13"/>
      <c r="E17" s="20"/>
      <c r="F17" s="21"/>
      <c r="G17" s="20"/>
      <c r="H17" s="20"/>
      <c r="I17" s="15"/>
      <c r="J17" s="16"/>
      <c r="K17" s="18"/>
    </row>
    <row r="18" spans="1:14" ht="18" x14ac:dyDescent="0.35">
      <c r="A18" s="10">
        <v>44893</v>
      </c>
      <c r="B18" s="11" t="s">
        <v>175</v>
      </c>
      <c r="C18" s="12" t="s">
        <v>28</v>
      </c>
      <c r="D18" s="12" t="s">
        <v>9</v>
      </c>
      <c r="E18" s="12">
        <f t="shared" ref="E18" si="1">H18-G18</f>
        <v>528.90800000000002</v>
      </c>
      <c r="F18" s="14"/>
      <c r="G18" s="22">
        <f>20</f>
        <v>20</v>
      </c>
      <c r="H18" s="22">
        <f>565.828-16.92</f>
        <v>548.90800000000002</v>
      </c>
      <c r="I18" s="15" t="s">
        <v>29</v>
      </c>
      <c r="J18" s="16"/>
      <c r="K18" s="18">
        <v>1290</v>
      </c>
      <c r="M18">
        <v>56.535999999999831</v>
      </c>
      <c r="N18">
        <v>36.215999999999951</v>
      </c>
    </row>
    <row r="19" spans="1:14" ht="18" x14ac:dyDescent="0.35">
      <c r="A19" s="10">
        <v>44893</v>
      </c>
      <c r="B19" s="11" t="s">
        <v>176</v>
      </c>
      <c r="C19" s="12" t="s">
        <v>28</v>
      </c>
      <c r="D19" s="12" t="s">
        <v>9</v>
      </c>
      <c r="E19" s="12">
        <f t="shared" ref="E19" si="2">H19-G19</f>
        <v>528.90800000000002</v>
      </c>
      <c r="F19" s="14"/>
      <c r="G19" s="22">
        <f>20</f>
        <v>20</v>
      </c>
      <c r="H19" s="22">
        <f>565.828-16.92</f>
        <v>548.90800000000002</v>
      </c>
      <c r="I19" s="15" t="s">
        <v>29</v>
      </c>
      <c r="J19" s="16"/>
      <c r="K19" s="18">
        <v>1290</v>
      </c>
      <c r="M19">
        <v>482.28800000000001</v>
      </c>
      <c r="N19">
        <v>482.28800000000001</v>
      </c>
    </row>
    <row r="20" spans="1:14" ht="18" x14ac:dyDescent="0.35">
      <c r="A20" s="10"/>
      <c r="B20" s="13" t="s">
        <v>27</v>
      </c>
      <c r="C20" s="12"/>
      <c r="D20" s="12"/>
      <c r="E20" s="20">
        <f>SUBTOTAL(9,E19:E19)</f>
        <v>528.90800000000002</v>
      </c>
      <c r="F20" s="21">
        <f>E20</f>
        <v>528.90800000000002</v>
      </c>
      <c r="G20" s="20">
        <f>SUBTOTAL(9,G19:G19)</f>
        <v>20</v>
      </c>
      <c r="H20" s="20">
        <f>SUBTOTAL(9,H19:H19)</f>
        <v>548.90800000000002</v>
      </c>
      <c r="I20" s="15"/>
      <c r="J20" s="16"/>
      <c r="K20" s="18"/>
    </row>
    <row r="21" spans="1:14" ht="18" x14ac:dyDescent="0.35">
      <c r="A21" s="19"/>
      <c r="B21" s="13"/>
      <c r="C21" s="13"/>
      <c r="D21" s="13"/>
      <c r="E21" s="13"/>
      <c r="F21" s="21"/>
      <c r="G21" s="20"/>
      <c r="H21" s="20"/>
      <c r="I21" s="15"/>
      <c r="J21" s="16"/>
      <c r="K21" s="18"/>
    </row>
    <row r="22" spans="1:14" ht="18" x14ac:dyDescent="0.35">
      <c r="A22" s="10">
        <v>44910</v>
      </c>
      <c r="B22" s="12" t="s">
        <v>30</v>
      </c>
      <c r="C22" s="12" t="s">
        <v>31</v>
      </c>
      <c r="D22" s="12" t="s">
        <v>9</v>
      </c>
      <c r="E22" s="12">
        <f t="shared" ref="E22:E24" si="3">H22-G22</f>
        <v>0</v>
      </c>
      <c r="F22" s="21"/>
      <c r="G22" s="22">
        <v>10.776999999999999</v>
      </c>
      <c r="H22" s="22">
        <v>10.776999999999999</v>
      </c>
      <c r="I22" s="15" t="s">
        <v>32</v>
      </c>
      <c r="J22" s="16"/>
      <c r="K22" s="18">
        <v>680.11914634146342</v>
      </c>
      <c r="M22">
        <v>-10.642999999999972</v>
      </c>
      <c r="N22">
        <v>-0.41299999999995407</v>
      </c>
    </row>
    <row r="23" spans="1:14" ht="18" x14ac:dyDescent="0.35">
      <c r="A23" s="10">
        <v>44847</v>
      </c>
      <c r="B23" s="12" t="s">
        <v>33</v>
      </c>
      <c r="C23" s="12" t="s">
        <v>31</v>
      </c>
      <c r="D23" s="12" t="s">
        <v>16</v>
      </c>
      <c r="E23" s="12">
        <f t="shared" si="3"/>
        <v>0</v>
      </c>
      <c r="F23" s="21"/>
      <c r="G23" s="22">
        <v>22.535</v>
      </c>
      <c r="H23" s="22">
        <v>22.535</v>
      </c>
      <c r="I23" s="15" t="s">
        <v>23</v>
      </c>
      <c r="J23" s="16"/>
      <c r="K23" s="18">
        <v>670</v>
      </c>
      <c r="M23">
        <v>23.591000000000065</v>
      </c>
      <c r="N23">
        <v>-0.73900000000003274</v>
      </c>
    </row>
    <row r="24" spans="1:14" ht="18" x14ac:dyDescent="0.35">
      <c r="A24" s="10">
        <v>44789</v>
      </c>
      <c r="B24" s="12" t="s">
        <v>34</v>
      </c>
      <c r="C24" s="12" t="s">
        <v>31</v>
      </c>
      <c r="D24" s="12" t="s">
        <v>19</v>
      </c>
      <c r="E24" s="12">
        <f t="shared" si="3"/>
        <v>0</v>
      </c>
      <c r="F24" s="21"/>
      <c r="G24" s="22">
        <v>2.1280000000000001</v>
      </c>
      <c r="H24" s="22">
        <v>2.1280000000000001</v>
      </c>
      <c r="I24" s="15" t="s">
        <v>19</v>
      </c>
      <c r="J24" s="16"/>
      <c r="K24" s="18">
        <v>762</v>
      </c>
      <c r="M24">
        <v>7.32000000000005</v>
      </c>
      <c r="N24">
        <v>0.43000000000006366</v>
      </c>
    </row>
    <row r="25" spans="1:14" ht="18" x14ac:dyDescent="0.35">
      <c r="A25" s="19"/>
      <c r="B25" s="13" t="s">
        <v>27</v>
      </c>
      <c r="C25" s="13"/>
      <c r="D25" s="13"/>
      <c r="E25" s="20">
        <f>SUBTOTAL(9,E22:E24)</f>
        <v>0</v>
      </c>
      <c r="F25" s="21">
        <f>E25</f>
        <v>0</v>
      </c>
      <c r="G25" s="20">
        <f>SUBTOTAL(9,G22:G24)</f>
        <v>35.44</v>
      </c>
      <c r="H25" s="20">
        <f>SUBTOTAL(9,H22:H24)</f>
        <v>35.44</v>
      </c>
      <c r="I25" s="15"/>
      <c r="J25" s="16"/>
      <c r="K25" s="18"/>
    </row>
    <row r="26" spans="1:14" ht="18" x14ac:dyDescent="0.35">
      <c r="A26" s="19"/>
      <c r="B26" s="23"/>
      <c r="C26" s="23"/>
      <c r="D26" s="23"/>
      <c r="E26" s="24"/>
      <c r="F26" s="24"/>
      <c r="G26" s="24"/>
      <c r="H26" s="23"/>
      <c r="I26" s="15"/>
      <c r="J26" s="16"/>
      <c r="K26" s="18"/>
    </row>
    <row r="27" spans="1:14" ht="18" x14ac:dyDescent="0.35">
      <c r="A27" s="10">
        <v>44400</v>
      </c>
      <c r="B27" s="11" t="s">
        <v>177</v>
      </c>
      <c r="C27" s="11" t="s">
        <v>35</v>
      </c>
      <c r="D27" s="11" t="s">
        <v>9</v>
      </c>
      <c r="E27" s="12">
        <f t="shared" ref="E27:E36" si="4">H27-G27</f>
        <v>2.4209999999999994</v>
      </c>
      <c r="F27" s="13"/>
      <c r="G27" s="22">
        <v>0</v>
      </c>
      <c r="H27" s="22">
        <v>2.4209999999999994</v>
      </c>
      <c r="I27" s="15" t="s">
        <v>36</v>
      </c>
      <c r="J27" s="16"/>
      <c r="K27" s="18">
        <v>2225</v>
      </c>
      <c r="M27">
        <v>2.4210000000000491</v>
      </c>
      <c r="N27">
        <v>-2.4440000000000204</v>
      </c>
    </row>
    <row r="28" spans="1:14" ht="18" x14ac:dyDescent="0.35">
      <c r="A28" s="10">
        <v>44696</v>
      </c>
      <c r="B28" s="11" t="s">
        <v>37</v>
      </c>
      <c r="C28" s="11" t="s">
        <v>35</v>
      </c>
      <c r="D28" s="11" t="s">
        <v>9</v>
      </c>
      <c r="E28" s="12">
        <f t="shared" si="4"/>
        <v>9.0749999999999993</v>
      </c>
      <c r="F28" s="13"/>
      <c r="G28" s="22">
        <v>0</v>
      </c>
      <c r="H28" s="22">
        <v>9.0749999999999993</v>
      </c>
      <c r="I28" s="15" t="s">
        <v>38</v>
      </c>
      <c r="J28" s="16"/>
      <c r="K28" s="18">
        <v>1710</v>
      </c>
      <c r="M28">
        <v>0</v>
      </c>
      <c r="N28">
        <v>-4.4408920985006262E-15</v>
      </c>
    </row>
    <row r="29" spans="1:14" ht="18" x14ac:dyDescent="0.35">
      <c r="A29" s="10">
        <v>44773</v>
      </c>
      <c r="B29" s="11" t="s">
        <v>39</v>
      </c>
      <c r="C29" s="11" t="s">
        <v>35</v>
      </c>
      <c r="D29" s="11" t="s">
        <v>9</v>
      </c>
      <c r="E29" s="12">
        <f t="shared" si="4"/>
        <v>490.36</v>
      </c>
      <c r="F29" s="13"/>
      <c r="G29" s="22">
        <v>0</v>
      </c>
      <c r="H29" s="22">
        <v>490.36</v>
      </c>
      <c r="I29" s="15" t="s">
        <v>40</v>
      </c>
      <c r="J29" s="25" t="s">
        <v>41</v>
      </c>
      <c r="K29" s="18">
        <v>1577</v>
      </c>
      <c r="M29" t="e">
        <v>#N/A</v>
      </c>
      <c r="N29" t="e">
        <v>#N/A</v>
      </c>
    </row>
    <row r="30" spans="1:14" ht="18" x14ac:dyDescent="0.35">
      <c r="A30" s="10">
        <v>44843</v>
      </c>
      <c r="B30" s="11" t="s">
        <v>42</v>
      </c>
      <c r="C30" s="11" t="s">
        <v>35</v>
      </c>
      <c r="D30" s="11" t="s">
        <v>9</v>
      </c>
      <c r="E30" s="12">
        <f t="shared" si="4"/>
        <v>0</v>
      </c>
      <c r="F30" s="13"/>
      <c r="G30" s="22">
        <f>171.643-26.12-26.4-20.02</f>
        <v>99.102999999999994</v>
      </c>
      <c r="H30" s="22">
        <f>171.643-26.12-26.4-20.02</f>
        <v>99.102999999999994</v>
      </c>
      <c r="I30" s="15" t="s">
        <v>40</v>
      </c>
      <c r="J30" s="16"/>
      <c r="K30" s="18">
        <v>1332</v>
      </c>
      <c r="M30">
        <v>89.240000000000123</v>
      </c>
      <c r="N30">
        <v>2.0799999999999272</v>
      </c>
    </row>
    <row r="31" spans="1:14" ht="18" x14ac:dyDescent="0.35">
      <c r="A31" s="10">
        <v>44884</v>
      </c>
      <c r="B31" s="11" t="s">
        <v>178</v>
      </c>
      <c r="C31" s="11" t="s">
        <v>35</v>
      </c>
      <c r="D31" s="11" t="s">
        <v>9</v>
      </c>
      <c r="E31" s="12">
        <f t="shared" ref="E31" si="5">H31-G31</f>
        <v>705.59799999999996</v>
      </c>
      <c r="F31" s="13"/>
      <c r="G31" s="22">
        <v>0</v>
      </c>
      <c r="H31" s="22">
        <v>705.59799999999996</v>
      </c>
      <c r="I31" s="15" t="s">
        <v>40</v>
      </c>
      <c r="J31" s="16"/>
      <c r="K31" s="18">
        <v>1460</v>
      </c>
      <c r="M31">
        <v>594.01739999999995</v>
      </c>
      <c r="N31">
        <v>-4.9826000000000477</v>
      </c>
    </row>
    <row r="32" spans="1:14" ht="18" x14ac:dyDescent="0.35">
      <c r="A32" s="10">
        <v>44884</v>
      </c>
      <c r="B32" s="11" t="s">
        <v>179</v>
      </c>
      <c r="C32" s="11" t="s">
        <v>35</v>
      </c>
      <c r="D32" s="11" t="s">
        <v>9</v>
      </c>
      <c r="E32" s="12">
        <f t="shared" si="4"/>
        <v>705.59799999999996</v>
      </c>
      <c r="F32" s="13"/>
      <c r="G32" s="22">
        <v>0</v>
      </c>
      <c r="H32" s="22">
        <v>705.59799999999996</v>
      </c>
      <c r="I32" s="15" t="s">
        <v>40</v>
      </c>
      <c r="J32" s="16"/>
      <c r="K32" s="18">
        <v>1460</v>
      </c>
      <c r="M32">
        <v>710.5806</v>
      </c>
      <c r="N32">
        <v>628.58059999999989</v>
      </c>
    </row>
    <row r="33" spans="1:14" ht="18" x14ac:dyDescent="0.35">
      <c r="A33" s="10">
        <v>44962</v>
      </c>
      <c r="B33" s="11" t="s">
        <v>180</v>
      </c>
      <c r="C33" s="11" t="s">
        <v>35</v>
      </c>
      <c r="D33" s="11" t="s">
        <v>9</v>
      </c>
      <c r="E33" s="12">
        <f t="shared" si="4"/>
        <v>0</v>
      </c>
      <c r="F33" s="13"/>
      <c r="G33" s="22">
        <f>265+33.707</f>
        <v>298.70699999999999</v>
      </c>
      <c r="H33" s="22">
        <v>298.70699999999999</v>
      </c>
      <c r="I33" s="15" t="s">
        <v>40</v>
      </c>
      <c r="J33" s="16"/>
      <c r="K33" s="18">
        <v>1375</v>
      </c>
      <c r="M33">
        <v>298.70699999999999</v>
      </c>
      <c r="N33">
        <v>298.70699999999999</v>
      </c>
    </row>
    <row r="34" spans="1:14" ht="18" x14ac:dyDescent="0.35">
      <c r="A34" s="10">
        <v>44971</v>
      </c>
      <c r="B34" s="11" t="s">
        <v>181</v>
      </c>
      <c r="C34" s="11" t="s">
        <v>35</v>
      </c>
      <c r="D34" s="11" t="s">
        <v>9</v>
      </c>
      <c r="E34" s="12">
        <f t="shared" si="4"/>
        <v>0</v>
      </c>
      <c r="F34" s="13"/>
      <c r="G34" s="22">
        <f>369.602-15.26-71.12-28.11</f>
        <v>255.11199999999997</v>
      </c>
      <c r="H34" s="22">
        <f>369.602-15.26-71.12-28.11</f>
        <v>255.11199999999997</v>
      </c>
      <c r="I34" s="15" t="s">
        <v>43</v>
      </c>
      <c r="J34" s="16"/>
      <c r="K34" s="18">
        <v>1366.65</v>
      </c>
      <c r="M34">
        <v>172.87200000000018</v>
      </c>
      <c r="N34">
        <v>-23.277999999999793</v>
      </c>
    </row>
    <row r="35" spans="1:14" ht="18" x14ac:dyDescent="0.35">
      <c r="A35" s="10">
        <v>45004</v>
      </c>
      <c r="B35" s="11" t="s">
        <v>44</v>
      </c>
      <c r="C35" s="11" t="s">
        <v>35</v>
      </c>
      <c r="D35" s="11" t="s">
        <v>9</v>
      </c>
      <c r="E35" s="12">
        <f t="shared" si="4"/>
        <v>1772.7069999999999</v>
      </c>
      <c r="F35" s="13"/>
      <c r="G35" s="22">
        <f>27+140+200</f>
        <v>367</v>
      </c>
      <c r="H35" s="22">
        <v>2139.7069999999999</v>
      </c>
      <c r="I35" s="15" t="s">
        <v>45</v>
      </c>
      <c r="J35" s="16"/>
      <c r="K35" s="18">
        <v>780.63691570676497</v>
      </c>
      <c r="M35">
        <v>2132.9670000000001</v>
      </c>
      <c r="N35">
        <v>1494.2669999999998</v>
      </c>
    </row>
    <row r="36" spans="1:14" ht="18" x14ac:dyDescent="0.35">
      <c r="A36" s="10">
        <v>45034</v>
      </c>
      <c r="B36" s="11" t="s">
        <v>182</v>
      </c>
      <c r="C36" s="11" t="s">
        <v>35</v>
      </c>
      <c r="D36" s="11" t="s">
        <v>9</v>
      </c>
      <c r="E36" s="12">
        <f t="shared" si="4"/>
        <v>297.28300000000002</v>
      </c>
      <c r="F36" s="13"/>
      <c r="G36" s="22">
        <v>0</v>
      </c>
      <c r="H36" s="22">
        <v>297.28300000000002</v>
      </c>
      <c r="I36" s="15" t="s">
        <v>29</v>
      </c>
      <c r="J36" s="16"/>
      <c r="K36" s="18"/>
      <c r="M36">
        <v>297.28300000000002</v>
      </c>
      <c r="N36">
        <v>297.28300000000002</v>
      </c>
    </row>
    <row r="37" spans="1:14" ht="18" x14ac:dyDescent="0.35">
      <c r="A37" s="19"/>
      <c r="B37" s="26" t="s">
        <v>27</v>
      </c>
      <c r="C37" s="11"/>
      <c r="D37" s="11"/>
      <c r="E37" s="20">
        <f>SUBTOTAL(9,E27:E36)</f>
        <v>3983.0419999999999</v>
      </c>
      <c r="F37" s="21">
        <f>E37</f>
        <v>3983.0419999999999</v>
      </c>
      <c r="G37" s="20">
        <f>SUBTOTAL(9,G27:G36)</f>
        <v>1019.922</v>
      </c>
      <c r="H37" s="20">
        <f>SUBTOTAL(9,H27:H36)</f>
        <v>5002.9639999999999</v>
      </c>
      <c r="I37" s="15"/>
      <c r="J37" s="16"/>
      <c r="K37" s="18"/>
    </row>
    <row r="38" spans="1:14" ht="18" x14ac:dyDescent="0.35">
      <c r="A38" s="19"/>
      <c r="B38" s="26"/>
      <c r="C38" s="11"/>
      <c r="D38" s="11"/>
      <c r="E38" s="13"/>
      <c r="F38" s="13"/>
      <c r="G38" s="13"/>
      <c r="H38" s="27"/>
      <c r="I38" s="15"/>
      <c r="J38" s="16"/>
      <c r="K38" s="18"/>
    </row>
    <row r="39" spans="1:14" ht="18" x14ac:dyDescent="0.35">
      <c r="A39" s="10">
        <v>44904</v>
      </c>
      <c r="B39" s="11" t="s">
        <v>183</v>
      </c>
      <c r="C39" s="11" t="s">
        <v>46</v>
      </c>
      <c r="D39" s="11" t="s">
        <v>9</v>
      </c>
      <c r="E39" s="12">
        <f t="shared" ref="E39:E48" si="6">H39-G39</f>
        <v>0</v>
      </c>
      <c r="F39" s="13"/>
      <c r="G39" s="22">
        <v>3.1539999999999999</v>
      </c>
      <c r="H39" s="22">
        <v>3.1539999999999999</v>
      </c>
      <c r="I39" s="15" t="s">
        <v>47</v>
      </c>
      <c r="J39" s="16"/>
      <c r="K39" s="18">
        <v>970.16994580646303</v>
      </c>
      <c r="M39">
        <v>10.041999999999916</v>
      </c>
      <c r="N39">
        <v>10.042000000000144</v>
      </c>
    </row>
    <row r="40" spans="1:14" ht="18" x14ac:dyDescent="0.35">
      <c r="A40" s="10">
        <v>44904</v>
      </c>
      <c r="B40" s="11" t="s">
        <v>184</v>
      </c>
      <c r="C40" s="11" t="s">
        <v>46</v>
      </c>
      <c r="D40" s="11" t="s">
        <v>9</v>
      </c>
      <c r="E40" s="12">
        <f t="shared" ref="E40" si="7">H40-G40</f>
        <v>0</v>
      </c>
      <c r="F40" s="13"/>
      <c r="G40" s="22">
        <v>3.1539999999999999</v>
      </c>
      <c r="H40" s="22">
        <v>3.1539999999999999</v>
      </c>
      <c r="I40" s="15" t="s">
        <v>47</v>
      </c>
      <c r="J40" s="16"/>
      <c r="K40" s="18">
        <v>970.16994580646303</v>
      </c>
      <c r="M40">
        <v>3.1559999999999491</v>
      </c>
      <c r="N40">
        <v>3.1559999999994943</v>
      </c>
    </row>
    <row r="41" spans="1:14" ht="18" x14ac:dyDescent="0.35">
      <c r="A41" s="10">
        <v>44911</v>
      </c>
      <c r="B41" s="11" t="s">
        <v>48</v>
      </c>
      <c r="C41" s="11" t="s">
        <v>46</v>
      </c>
      <c r="D41" s="11" t="s">
        <v>9</v>
      </c>
      <c r="E41" s="12">
        <f t="shared" si="6"/>
        <v>27.477</v>
      </c>
      <c r="F41" s="13"/>
      <c r="G41" s="22">
        <v>15.52</v>
      </c>
      <c r="H41" s="22">
        <v>42.997</v>
      </c>
      <c r="I41" s="15" t="s">
        <v>29</v>
      </c>
      <c r="J41" s="16"/>
      <c r="K41" s="18">
        <v>920.16353236038913</v>
      </c>
      <c r="M41">
        <v>0.29300000000012005</v>
      </c>
      <c r="N41">
        <v>-1.3799999999999457</v>
      </c>
    </row>
    <row r="42" spans="1:14" ht="18" x14ac:dyDescent="0.35">
      <c r="A42" s="10">
        <v>44978</v>
      </c>
      <c r="B42" s="11" t="s">
        <v>185</v>
      </c>
      <c r="C42" s="11" t="s">
        <v>46</v>
      </c>
      <c r="D42" s="11" t="s">
        <v>9</v>
      </c>
      <c r="E42" s="12">
        <f t="shared" si="6"/>
        <v>0</v>
      </c>
      <c r="F42" s="13"/>
      <c r="G42" s="22">
        <f>285.963-27.53-44.66-16.08</f>
        <v>197.69299999999998</v>
      </c>
      <c r="H42" s="22">
        <f>285.963-27.53-44.66-16.08</f>
        <v>197.69299999999998</v>
      </c>
      <c r="I42" s="15" t="s">
        <v>18</v>
      </c>
      <c r="J42" s="16"/>
      <c r="K42" s="18">
        <v>1015.17464507461</v>
      </c>
      <c r="M42">
        <v>33.633000000000493</v>
      </c>
      <c r="N42">
        <v>-50.766999999999825</v>
      </c>
    </row>
    <row r="43" spans="1:14" ht="18" x14ac:dyDescent="0.35">
      <c r="A43" s="10">
        <v>45009</v>
      </c>
      <c r="B43" s="11" t="s">
        <v>49</v>
      </c>
      <c r="C43" s="11" t="s">
        <v>46</v>
      </c>
      <c r="D43" s="11" t="s">
        <v>9</v>
      </c>
      <c r="E43" s="12">
        <f t="shared" si="6"/>
        <v>0</v>
      </c>
      <c r="F43" s="13"/>
      <c r="G43" s="22">
        <f>80+51+21+50+20+224+25-107+200+21+22-24.77+25-42.77-39.44-94.18+113.735-38.54-41.69-49.23-22.04-38.76-47.64</f>
        <v>306.6749999999999</v>
      </c>
      <c r="H43" s="22">
        <f>80+51+21+50+20+224+25-107+200+21+22-24.77+25-42.77-39.44-94.18+113.735-38.54-41.69-49.23-22.04-38.76-47.64</f>
        <v>306.6749999999999</v>
      </c>
      <c r="I43" s="15" t="s">
        <v>18</v>
      </c>
      <c r="J43" s="16"/>
      <c r="K43" s="18">
        <v>1030.17871517803</v>
      </c>
      <c r="M43">
        <v>103.99500000000012</v>
      </c>
      <c r="N43">
        <v>-4.1749999999999545</v>
      </c>
    </row>
    <row r="44" spans="1:14" ht="18" x14ac:dyDescent="0.35">
      <c r="A44" s="10">
        <v>45034</v>
      </c>
      <c r="B44" s="11" t="s">
        <v>50</v>
      </c>
      <c r="C44" s="11" t="s">
        <v>46</v>
      </c>
      <c r="D44" s="11" t="s">
        <v>9</v>
      </c>
      <c r="E44" s="12">
        <f t="shared" ref="E44" si="8">H44-G44</f>
        <v>248.90699999999998</v>
      </c>
      <c r="F44" s="13"/>
      <c r="G44" s="22">
        <v>65</v>
      </c>
      <c r="H44" s="22">
        <v>313.90699999999998</v>
      </c>
      <c r="I44" s="15" t="s">
        <v>18</v>
      </c>
      <c r="J44" s="16"/>
      <c r="K44" s="18"/>
      <c r="M44">
        <v>134.80699999999999</v>
      </c>
      <c r="N44">
        <v>-318.15299999999996</v>
      </c>
    </row>
    <row r="45" spans="1:14" ht="18" x14ac:dyDescent="0.35">
      <c r="A45" s="10">
        <v>45060</v>
      </c>
      <c r="B45" s="11" t="s">
        <v>214</v>
      </c>
      <c r="C45" s="11" t="s">
        <v>46</v>
      </c>
      <c r="D45" s="11" t="s">
        <v>9</v>
      </c>
      <c r="E45" s="12">
        <f t="shared" si="6"/>
        <v>248.90699999999998</v>
      </c>
      <c r="F45" s="13"/>
      <c r="G45" s="22">
        <v>65</v>
      </c>
      <c r="H45" s="22">
        <v>313.90699999999998</v>
      </c>
      <c r="I45" s="15" t="s">
        <v>223</v>
      </c>
      <c r="J45" s="16"/>
      <c r="K45" s="18"/>
      <c r="M45">
        <v>999.16300000000001</v>
      </c>
      <c r="N45">
        <v>999.16300000000001</v>
      </c>
    </row>
    <row r="46" spans="1:14" ht="18" x14ac:dyDescent="0.35">
      <c r="A46" s="10">
        <v>44941</v>
      </c>
      <c r="B46" s="11" t="s">
        <v>51</v>
      </c>
      <c r="C46" s="11" t="s">
        <v>46</v>
      </c>
      <c r="D46" s="11" t="s">
        <v>19</v>
      </c>
      <c r="E46" s="12">
        <f t="shared" si="6"/>
        <v>0</v>
      </c>
      <c r="F46" s="13"/>
      <c r="G46" s="22">
        <v>19.75</v>
      </c>
      <c r="H46" s="22">
        <v>19.75</v>
      </c>
      <c r="I46" s="15" t="s">
        <v>26</v>
      </c>
      <c r="J46" s="16"/>
      <c r="K46" s="18">
        <v>974.57917791423142</v>
      </c>
      <c r="M46">
        <v>0</v>
      </c>
      <c r="N46">
        <v>4.5474735088646412E-13</v>
      </c>
    </row>
    <row r="47" spans="1:14" ht="18" x14ac:dyDescent="0.35">
      <c r="A47" s="10">
        <v>45004</v>
      </c>
      <c r="B47" s="11" t="s">
        <v>52</v>
      </c>
      <c r="C47" s="11" t="s">
        <v>46</v>
      </c>
      <c r="D47" s="11" t="s">
        <v>19</v>
      </c>
      <c r="E47" s="28">
        <f t="shared" ref="E47" si="9">H47-G47</f>
        <v>-114.53300000000002</v>
      </c>
      <c r="F47" s="13"/>
      <c r="G47" s="22">
        <f>341+15+25-14.94+30</f>
        <v>396.06</v>
      </c>
      <c r="H47" s="22">
        <f>296.467-14.94</f>
        <v>281.52699999999999</v>
      </c>
      <c r="I47" s="15" t="s">
        <v>26</v>
      </c>
      <c r="J47" s="16"/>
      <c r="K47" s="18">
        <v>1030.17914864454</v>
      </c>
      <c r="M47">
        <v>4.7170000000000982</v>
      </c>
      <c r="N47">
        <v>-101.21999999999986</v>
      </c>
    </row>
    <row r="48" spans="1:14" ht="18" x14ac:dyDescent="0.35">
      <c r="A48" s="10">
        <v>45055</v>
      </c>
      <c r="B48" s="11" t="s">
        <v>215</v>
      </c>
      <c r="C48" s="11" t="s">
        <v>46</v>
      </c>
      <c r="D48" s="11" t="s">
        <v>19</v>
      </c>
      <c r="E48" s="28">
        <f t="shared" si="6"/>
        <v>-114.53300000000002</v>
      </c>
      <c r="F48" s="13"/>
      <c r="G48" s="22">
        <f>341+15+25-14.94+30</f>
        <v>396.06</v>
      </c>
      <c r="H48" s="22">
        <f>296.467-14.94</f>
        <v>281.52699999999999</v>
      </c>
      <c r="I48" s="15" t="s">
        <v>26</v>
      </c>
      <c r="J48" s="16"/>
      <c r="K48" s="18">
        <v>1030.17914864454</v>
      </c>
      <c r="M48">
        <v>977.11</v>
      </c>
      <c r="N48">
        <v>945.40699999999993</v>
      </c>
    </row>
    <row r="49" spans="1:14" ht="20.25" customHeight="1" x14ac:dyDescent="0.35">
      <c r="A49" s="19"/>
      <c r="B49" s="26" t="s">
        <v>27</v>
      </c>
      <c r="C49" s="11"/>
      <c r="D49" s="11"/>
      <c r="E49" s="20">
        <f>SUBTOTAL(9,E39:E48)</f>
        <v>296.22499999999991</v>
      </c>
      <c r="F49" s="21">
        <f>E49</f>
        <v>296.22499999999991</v>
      </c>
      <c r="G49" s="20">
        <f>SUBTOTAL(9,G39:G48)</f>
        <v>1468.0659999999998</v>
      </c>
      <c r="H49" s="20">
        <f>SUBTOTAL(9,H39:H48)</f>
        <v>1764.2909999999999</v>
      </c>
      <c r="I49" s="15"/>
      <c r="J49" s="16"/>
      <c r="K49" s="18"/>
    </row>
    <row r="50" spans="1:14" ht="18" x14ac:dyDescent="0.35">
      <c r="A50" s="19"/>
      <c r="B50" s="26"/>
      <c r="C50" s="11"/>
      <c r="D50" s="11"/>
      <c r="E50" s="13"/>
      <c r="F50" s="21"/>
      <c r="G50" s="20"/>
      <c r="H50" s="20"/>
      <c r="I50" s="15"/>
      <c r="J50" s="16"/>
      <c r="K50" s="18"/>
    </row>
    <row r="51" spans="1:14" ht="18" x14ac:dyDescent="0.35">
      <c r="A51" s="10">
        <v>44839</v>
      </c>
      <c r="B51" s="11" t="s">
        <v>186</v>
      </c>
      <c r="C51" s="11" t="s">
        <v>53</v>
      </c>
      <c r="D51" s="11" t="s">
        <v>9</v>
      </c>
      <c r="E51" s="12">
        <f t="shared" ref="E51:E56" si="10">H51-G51</f>
        <v>4.3049999999999997</v>
      </c>
      <c r="F51" s="21"/>
      <c r="G51" s="22">
        <v>0</v>
      </c>
      <c r="H51" s="22">
        <v>4.3049999999999997</v>
      </c>
      <c r="I51" s="15" t="s">
        <v>47</v>
      </c>
      <c r="J51" s="16"/>
      <c r="K51" s="18">
        <v>851.14810627318195</v>
      </c>
      <c r="M51">
        <v>4.305000000000291</v>
      </c>
      <c r="N51">
        <v>-17.374999999999091</v>
      </c>
    </row>
    <row r="52" spans="1:14" ht="18" x14ac:dyDescent="0.35">
      <c r="A52" s="10">
        <v>44978</v>
      </c>
      <c r="B52" s="11" t="s">
        <v>187</v>
      </c>
      <c r="C52" s="11" t="s">
        <v>53</v>
      </c>
      <c r="D52" s="11" t="s">
        <v>9</v>
      </c>
      <c r="E52" s="12">
        <f t="shared" si="10"/>
        <v>667.32299999999998</v>
      </c>
      <c r="F52" s="21"/>
      <c r="G52" s="22">
        <f>71+44-16.86+51-51.07-51.38</f>
        <v>46.689999999999991</v>
      </c>
      <c r="H52" s="22">
        <f>833.323-16.86-51.07-51.38</f>
        <v>714.01299999999992</v>
      </c>
      <c r="I52" s="15" t="s">
        <v>29</v>
      </c>
      <c r="J52" s="16"/>
      <c r="K52" s="18">
        <v>1000.1720589981708</v>
      </c>
      <c r="M52">
        <v>648.23300000000017</v>
      </c>
      <c r="N52">
        <v>464.23300000000063</v>
      </c>
    </row>
    <row r="53" spans="1:14" ht="18" x14ac:dyDescent="0.35">
      <c r="A53" s="10">
        <v>45009</v>
      </c>
      <c r="B53" s="11" t="s">
        <v>188</v>
      </c>
      <c r="C53" s="11" t="s">
        <v>53</v>
      </c>
      <c r="D53" s="11" t="s">
        <v>9</v>
      </c>
      <c r="E53" s="12">
        <f t="shared" si="10"/>
        <v>1066.547</v>
      </c>
      <c r="F53" s="21"/>
      <c r="G53" s="22">
        <v>500</v>
      </c>
      <c r="H53" s="22">
        <v>1566.547</v>
      </c>
      <c r="I53" s="15" t="s">
        <v>54</v>
      </c>
      <c r="J53" s="16"/>
      <c r="K53" s="18">
        <v>1030.1787151780288</v>
      </c>
      <c r="M53">
        <v>1566.547</v>
      </c>
      <c r="N53">
        <v>1566.547</v>
      </c>
    </row>
    <row r="54" spans="1:14" ht="18" x14ac:dyDescent="0.35">
      <c r="A54" s="10">
        <v>45034</v>
      </c>
      <c r="B54" s="11" t="s">
        <v>55</v>
      </c>
      <c r="C54" s="11" t="s">
        <v>53</v>
      </c>
      <c r="D54" s="11" t="s">
        <v>9</v>
      </c>
      <c r="E54" s="12">
        <f t="shared" si="10"/>
        <v>731.40499999999997</v>
      </c>
      <c r="F54" s="21"/>
      <c r="G54" s="22">
        <v>0</v>
      </c>
      <c r="H54" s="22">
        <v>731.40499999999997</v>
      </c>
      <c r="I54" s="15" t="s">
        <v>54</v>
      </c>
      <c r="J54" s="16"/>
      <c r="K54" s="18"/>
      <c r="M54">
        <v>731.40499999999997</v>
      </c>
      <c r="N54">
        <v>731.40499999999997</v>
      </c>
    </row>
    <row r="55" spans="1:14" ht="18" x14ac:dyDescent="0.35">
      <c r="A55" s="10">
        <v>45021</v>
      </c>
      <c r="B55" s="11" t="s">
        <v>56</v>
      </c>
      <c r="C55" s="11" t="s">
        <v>53</v>
      </c>
      <c r="D55" s="11" t="s">
        <v>13</v>
      </c>
      <c r="E55" s="12">
        <f t="shared" si="10"/>
        <v>0</v>
      </c>
      <c r="F55" s="21"/>
      <c r="G55" s="22">
        <f>504.115-22.96-45.89-22.96-8.19</f>
        <v>404.11500000000007</v>
      </c>
      <c r="H55" s="22">
        <f>504.115-22.96-45.89-22.96-8.19</f>
        <v>404.11500000000007</v>
      </c>
      <c r="I55" s="15" t="s">
        <v>13</v>
      </c>
      <c r="J55" s="16"/>
      <c r="K55" s="18"/>
      <c r="M55">
        <v>236.86500000000001</v>
      </c>
      <c r="N55">
        <v>0.43</v>
      </c>
    </row>
    <row r="56" spans="1:14" ht="18" x14ac:dyDescent="0.35">
      <c r="A56" s="10">
        <v>45029</v>
      </c>
      <c r="B56" s="11" t="s">
        <v>57</v>
      </c>
      <c r="C56" s="11" t="s">
        <v>53</v>
      </c>
      <c r="D56" s="11" t="s">
        <v>16</v>
      </c>
      <c r="E56" s="12">
        <f t="shared" si="10"/>
        <v>1097.454</v>
      </c>
      <c r="F56" s="21"/>
      <c r="G56" s="22">
        <f>57+10-16.04+10+30+25-29.04+53.5-18.47</f>
        <v>121.95000000000002</v>
      </c>
      <c r="H56" s="22">
        <f>1282.954-16.04-29.04-18.47</f>
        <v>1219.404</v>
      </c>
      <c r="I56" s="15" t="s">
        <v>23</v>
      </c>
      <c r="J56" s="16"/>
      <c r="K56" s="18">
        <v>971.25</v>
      </c>
      <c r="M56">
        <v>940.33400000000006</v>
      </c>
      <c r="N56">
        <v>785.67399999999998</v>
      </c>
    </row>
    <row r="57" spans="1:14" ht="18" x14ac:dyDescent="0.35">
      <c r="A57" s="19"/>
      <c r="B57" s="26" t="s">
        <v>27</v>
      </c>
      <c r="C57" s="11"/>
      <c r="D57" s="11"/>
      <c r="E57" s="20">
        <f>SUBTOTAL(9,E51:E56)</f>
        <v>3567.0339999999997</v>
      </c>
      <c r="F57" s="21">
        <f>E57</f>
        <v>3567.0339999999997</v>
      </c>
      <c r="G57" s="20">
        <f>SUBTOTAL(9,G51:G56)</f>
        <v>1072.7550000000001</v>
      </c>
      <c r="H57" s="20">
        <f>SUBTOTAL(9,H51:H56)</f>
        <v>4639.7889999999998</v>
      </c>
      <c r="I57" s="15"/>
      <c r="J57" s="16"/>
      <c r="K57" s="18"/>
    </row>
    <row r="58" spans="1:14" ht="18" x14ac:dyDescent="0.35">
      <c r="A58" s="19"/>
      <c r="B58" s="26"/>
      <c r="C58" s="11"/>
      <c r="D58" s="11"/>
      <c r="E58" s="13"/>
      <c r="F58" s="21"/>
      <c r="G58" s="20"/>
      <c r="H58" s="20"/>
      <c r="I58" s="15"/>
      <c r="J58" s="16"/>
      <c r="K58" s="18"/>
    </row>
    <row r="59" spans="1:14" ht="18" x14ac:dyDescent="0.35">
      <c r="A59" s="10">
        <v>44949</v>
      </c>
      <c r="B59" s="11" t="s">
        <v>189</v>
      </c>
      <c r="C59" s="11" t="s">
        <v>58</v>
      </c>
      <c r="D59" s="11" t="s">
        <v>9</v>
      </c>
      <c r="E59" s="12">
        <f t="shared" ref="E59:E64" si="11">H59-G59</f>
        <v>24.122</v>
      </c>
      <c r="F59" s="29"/>
      <c r="G59" s="22">
        <v>0</v>
      </c>
      <c r="H59" s="22">
        <f>53.042-28.92</f>
        <v>24.122</v>
      </c>
      <c r="I59" s="15" t="s">
        <v>40</v>
      </c>
      <c r="J59" s="16"/>
      <c r="K59" s="18">
        <v>825</v>
      </c>
      <c r="M59">
        <v>24.111999999999995</v>
      </c>
      <c r="N59">
        <v>24.111999999999995</v>
      </c>
    </row>
    <row r="60" spans="1:14" ht="18" x14ac:dyDescent="0.35">
      <c r="A60" s="10">
        <v>45004</v>
      </c>
      <c r="B60" s="11" t="s">
        <v>59</v>
      </c>
      <c r="C60" s="11" t="s">
        <v>58</v>
      </c>
      <c r="D60" s="11" t="s">
        <v>9</v>
      </c>
      <c r="E60" s="12">
        <f t="shared" ref="E60" si="12">H60-G60</f>
        <v>423.30700000000002</v>
      </c>
      <c r="F60" s="29"/>
      <c r="G60" s="22">
        <f>50-29.92-20.08</f>
        <v>0</v>
      </c>
      <c r="H60" s="22">
        <f>473.307-29.92-20.08</f>
        <v>423.30700000000002</v>
      </c>
      <c r="I60" s="15" t="s">
        <v>40</v>
      </c>
      <c r="J60" s="16"/>
      <c r="K60" s="18">
        <v>855</v>
      </c>
      <c r="M60">
        <v>423.30700000000002</v>
      </c>
      <c r="N60">
        <v>423.30700000000002</v>
      </c>
    </row>
    <row r="61" spans="1:14" ht="18" x14ac:dyDescent="0.35">
      <c r="A61" s="10">
        <v>45060</v>
      </c>
      <c r="B61" s="11" t="s">
        <v>220</v>
      </c>
      <c r="C61" s="11" t="s">
        <v>58</v>
      </c>
      <c r="D61" s="11" t="s">
        <v>9</v>
      </c>
      <c r="E61" s="12">
        <f t="shared" si="11"/>
        <v>423.30700000000002</v>
      </c>
      <c r="F61" s="29"/>
      <c r="G61" s="22">
        <f>50-29.92-20.08</f>
        <v>0</v>
      </c>
      <c r="H61" s="22">
        <f>473.307-29.92-20.08</f>
        <v>423.30700000000002</v>
      </c>
      <c r="I61" s="15" t="s">
        <v>47</v>
      </c>
      <c r="J61" s="16"/>
      <c r="K61" s="18">
        <v>855</v>
      </c>
      <c r="M61">
        <v>223.541</v>
      </c>
      <c r="N61">
        <v>223.541</v>
      </c>
    </row>
    <row r="62" spans="1:14" s="52" customFormat="1" ht="18" x14ac:dyDescent="0.35">
      <c r="A62" s="45"/>
      <c r="B62" s="31" t="s">
        <v>60</v>
      </c>
      <c r="C62" s="31" t="s">
        <v>58</v>
      </c>
      <c r="D62" s="31" t="s">
        <v>9</v>
      </c>
      <c r="E62" s="46">
        <f t="shared" si="11"/>
        <v>117.62</v>
      </c>
      <c r="F62" s="47"/>
      <c r="G62" s="48">
        <v>0</v>
      </c>
      <c r="H62" s="48">
        <v>117.62</v>
      </c>
      <c r="I62" s="49" t="s">
        <v>40</v>
      </c>
      <c r="J62" s="50"/>
      <c r="K62" s="51"/>
      <c r="M62" s="52" t="e">
        <v>#N/A</v>
      </c>
      <c r="N62" s="52" t="e">
        <v>#N/A</v>
      </c>
    </row>
    <row r="63" spans="1:14" ht="18" x14ac:dyDescent="0.35">
      <c r="A63" s="10">
        <v>45006</v>
      </c>
      <c r="B63" s="11" t="s">
        <v>61</v>
      </c>
      <c r="C63" s="11" t="s">
        <v>58</v>
      </c>
      <c r="D63" s="11" t="s">
        <v>13</v>
      </c>
      <c r="E63" s="12">
        <f t="shared" ref="E63" si="13">H63-G63</f>
        <v>141.67000000000002</v>
      </c>
      <c r="F63" s="29"/>
      <c r="G63" s="22">
        <f>25+20+24.5-17.691-1.489</f>
        <v>50.32</v>
      </c>
      <c r="H63" s="22">
        <f>236.961-4.19-23.09-17.691</f>
        <v>191.99</v>
      </c>
      <c r="I63" s="15" t="s">
        <v>21</v>
      </c>
      <c r="J63" s="16"/>
      <c r="K63" s="18">
        <v>925.00001999999995</v>
      </c>
      <c r="M63">
        <v>123.47000000000003</v>
      </c>
      <c r="N63">
        <v>55.470000000000027</v>
      </c>
    </row>
    <row r="64" spans="1:14" ht="18" x14ac:dyDescent="0.35">
      <c r="A64" s="10">
        <v>45052</v>
      </c>
      <c r="B64" s="11" t="s">
        <v>219</v>
      </c>
      <c r="C64" s="11" t="s">
        <v>58</v>
      </c>
      <c r="D64" s="11" t="s">
        <v>13</v>
      </c>
      <c r="E64" s="12">
        <f t="shared" si="11"/>
        <v>141.67000000000002</v>
      </c>
      <c r="F64" s="29"/>
      <c r="G64" s="22">
        <f>25+20+24.5-17.691-1.489</f>
        <v>50.32</v>
      </c>
      <c r="H64" s="22">
        <f>236.961-4.19-23.09-17.691</f>
        <v>191.99</v>
      </c>
      <c r="I64" s="15" t="s">
        <v>21</v>
      </c>
      <c r="J64" s="16"/>
      <c r="K64" s="18">
        <v>925.00001999999995</v>
      </c>
      <c r="M64">
        <v>286.29899999999998</v>
      </c>
      <c r="N64">
        <v>286.29899999999998</v>
      </c>
    </row>
    <row r="65" spans="1:14" ht="18" x14ac:dyDescent="0.35">
      <c r="A65" s="19"/>
      <c r="B65" s="26" t="s">
        <v>27</v>
      </c>
      <c r="C65" s="11"/>
      <c r="D65" s="11"/>
      <c r="E65" s="20">
        <f>SUBTOTAL(9,E59:E64)</f>
        <v>1271.6960000000001</v>
      </c>
      <c r="F65" s="21">
        <f>E65</f>
        <v>1271.6960000000001</v>
      </c>
      <c r="G65" s="20">
        <f>SUBTOTAL(9,G59:G64)</f>
        <v>100.64</v>
      </c>
      <c r="H65" s="20">
        <f>SUBTOTAL(9,H59:H64)</f>
        <v>1372.336</v>
      </c>
      <c r="I65" s="15"/>
      <c r="J65" s="16"/>
      <c r="K65" s="18"/>
    </row>
    <row r="66" spans="1:14" ht="18" x14ac:dyDescent="0.35">
      <c r="A66" s="19"/>
      <c r="B66" s="26"/>
      <c r="C66" s="11"/>
      <c r="D66" s="11"/>
      <c r="E66" s="13"/>
      <c r="F66" s="21"/>
      <c r="G66" s="13"/>
      <c r="H66" s="13"/>
      <c r="I66" s="15"/>
      <c r="J66" s="16"/>
      <c r="K66" s="18"/>
    </row>
    <row r="67" spans="1:14" ht="18" x14ac:dyDescent="0.35">
      <c r="A67" s="10">
        <v>44826</v>
      </c>
      <c r="B67" s="11" t="s">
        <v>62</v>
      </c>
      <c r="C67" s="11" t="s">
        <v>63</v>
      </c>
      <c r="D67" s="11" t="s">
        <v>9</v>
      </c>
      <c r="E67" s="12">
        <f>H67-G67</f>
        <v>116.05500000000001</v>
      </c>
      <c r="F67" s="21"/>
      <c r="G67" s="22">
        <v>18</v>
      </c>
      <c r="H67" s="22">
        <v>134.05500000000001</v>
      </c>
      <c r="I67" s="15" t="s">
        <v>29</v>
      </c>
      <c r="J67" s="16"/>
      <c r="K67" s="18">
        <v>1100.9074566164593</v>
      </c>
      <c r="M67">
        <v>116.29499999999996</v>
      </c>
      <c r="N67">
        <v>-83.705000000000041</v>
      </c>
    </row>
    <row r="68" spans="1:14" ht="18" x14ac:dyDescent="0.35">
      <c r="A68" s="10">
        <v>45004</v>
      </c>
      <c r="B68" s="11" t="s">
        <v>64</v>
      </c>
      <c r="C68" s="11" t="s">
        <v>63</v>
      </c>
      <c r="D68" s="11" t="s">
        <v>9</v>
      </c>
      <c r="E68" s="12">
        <f>H68-G68</f>
        <v>507.40800000000002</v>
      </c>
      <c r="F68" s="21"/>
      <c r="G68" s="22">
        <v>0</v>
      </c>
      <c r="H68" s="22">
        <v>507.40800000000002</v>
      </c>
      <c r="I68" s="15" t="s">
        <v>29</v>
      </c>
      <c r="J68" s="16"/>
      <c r="K68" s="18">
        <v>780.63691570676497</v>
      </c>
      <c r="M68">
        <v>507.40800000000002</v>
      </c>
      <c r="N68">
        <v>507.40800000000002</v>
      </c>
    </row>
    <row r="69" spans="1:14" ht="18" x14ac:dyDescent="0.35">
      <c r="A69" s="10"/>
      <c r="B69" s="26" t="s">
        <v>27</v>
      </c>
      <c r="C69" s="11"/>
      <c r="D69" s="11"/>
      <c r="E69" s="20">
        <f>SUBTOTAL(9,E67:E68)</f>
        <v>623.46299999999997</v>
      </c>
      <c r="F69" s="21">
        <f>E69</f>
        <v>623.46299999999997</v>
      </c>
      <c r="G69" s="20">
        <f>SUBTOTAL(9,G67:G68)</f>
        <v>18</v>
      </c>
      <c r="H69" s="20">
        <f>SUBTOTAL(9,H67:H68)</f>
        <v>641.46299999999997</v>
      </c>
      <c r="I69" s="15"/>
      <c r="J69" s="16"/>
      <c r="K69" s="18"/>
    </row>
    <row r="70" spans="1:14" ht="18" x14ac:dyDescent="0.35">
      <c r="A70" s="10"/>
      <c r="B70" s="11"/>
      <c r="C70" s="11"/>
      <c r="D70" s="11"/>
      <c r="E70" s="12"/>
      <c r="F70" s="21"/>
      <c r="G70" s="22"/>
      <c r="H70" s="22"/>
      <c r="I70" s="15"/>
      <c r="J70" s="16"/>
      <c r="K70" s="18"/>
    </row>
    <row r="71" spans="1:14" ht="18" x14ac:dyDescent="0.35">
      <c r="A71" s="10">
        <v>44869</v>
      </c>
      <c r="B71" s="11" t="s">
        <v>190</v>
      </c>
      <c r="C71" s="11" t="s">
        <v>65</v>
      </c>
      <c r="D71" s="11" t="s">
        <v>9</v>
      </c>
      <c r="E71" s="12">
        <f>H71-G71</f>
        <v>7.6079999999999997</v>
      </c>
      <c r="F71" s="21"/>
      <c r="G71" s="22">
        <v>0</v>
      </c>
      <c r="H71" s="22">
        <v>7.6079999999999997</v>
      </c>
      <c r="I71" s="15" t="s">
        <v>47</v>
      </c>
      <c r="J71" s="16"/>
      <c r="K71" s="18">
        <v>1180</v>
      </c>
      <c r="M71">
        <v>7.6079999999998336</v>
      </c>
      <c r="N71">
        <v>-0.44200000000000728</v>
      </c>
    </row>
    <row r="72" spans="1:14" ht="18" x14ac:dyDescent="0.35">
      <c r="A72" s="10"/>
      <c r="B72" s="26" t="s">
        <v>27</v>
      </c>
      <c r="C72" s="11"/>
      <c r="D72" s="11"/>
      <c r="E72" s="20">
        <f>SUBTOTAL(9,E71:E71)</f>
        <v>7.6079999999999997</v>
      </c>
      <c r="F72" s="21">
        <f>E72</f>
        <v>7.6079999999999997</v>
      </c>
      <c r="G72" s="20">
        <f>SUBTOTAL(9,G71:G71)</f>
        <v>0</v>
      </c>
      <c r="H72" s="20">
        <f>SUBTOTAL(9,H71:H71)</f>
        <v>7.6079999999999997</v>
      </c>
      <c r="I72" s="15"/>
      <c r="J72" s="16"/>
      <c r="K72" s="18"/>
    </row>
    <row r="73" spans="1:14" ht="18" x14ac:dyDescent="0.35">
      <c r="A73" s="19"/>
      <c r="B73" s="26"/>
      <c r="C73" s="11"/>
      <c r="D73" s="11"/>
      <c r="E73" s="13"/>
      <c r="F73" s="13"/>
      <c r="G73" s="13"/>
      <c r="H73" s="27"/>
      <c r="I73" s="15"/>
      <c r="J73" s="16"/>
      <c r="K73" s="18"/>
    </row>
    <row r="74" spans="1:14" ht="18" x14ac:dyDescent="0.35">
      <c r="A74" s="10">
        <v>44700</v>
      </c>
      <c r="B74" s="11" t="s">
        <v>66</v>
      </c>
      <c r="C74" s="11" t="s">
        <v>67</v>
      </c>
      <c r="D74" s="11" t="s">
        <v>9</v>
      </c>
      <c r="E74" s="12">
        <f t="shared" ref="E74:E82" si="14">H74-G74</f>
        <v>19.937000000000005</v>
      </c>
      <c r="F74" s="21"/>
      <c r="G74" s="22">
        <v>0</v>
      </c>
      <c r="H74" s="22">
        <f>79.757-24.54-25.7-9.58</f>
        <v>19.937000000000005</v>
      </c>
      <c r="I74" s="15" t="s">
        <v>29</v>
      </c>
      <c r="J74" s="16"/>
      <c r="K74" s="18">
        <v>2200</v>
      </c>
      <c r="M74">
        <v>19.936999999999443</v>
      </c>
      <c r="N74">
        <v>21.132000000000289</v>
      </c>
    </row>
    <row r="75" spans="1:14" s="52" customFormat="1" ht="18" x14ac:dyDescent="0.35">
      <c r="A75" s="45">
        <v>44705</v>
      </c>
      <c r="B75" s="31" t="s">
        <v>68</v>
      </c>
      <c r="C75" s="31" t="s">
        <v>67</v>
      </c>
      <c r="D75" s="31" t="s">
        <v>9</v>
      </c>
      <c r="E75" s="46">
        <f t="shared" si="14"/>
        <v>6.3780000000000001</v>
      </c>
      <c r="F75" s="53"/>
      <c r="G75" s="48">
        <v>0</v>
      </c>
      <c r="H75" s="48">
        <v>6.3780000000000001</v>
      </c>
      <c r="I75" s="49" t="s">
        <v>47</v>
      </c>
      <c r="J75" s="50"/>
      <c r="K75" s="51">
        <v>2300.400559704723</v>
      </c>
      <c r="M75" s="52" t="e">
        <v>#N/A</v>
      </c>
      <c r="N75" s="52" t="e">
        <v>#N/A</v>
      </c>
    </row>
    <row r="76" spans="1:14" ht="18" x14ac:dyDescent="0.35">
      <c r="A76" s="10">
        <v>44725</v>
      </c>
      <c r="B76" s="11" t="s">
        <v>69</v>
      </c>
      <c r="C76" s="11" t="s">
        <v>67</v>
      </c>
      <c r="D76" s="11" t="s">
        <v>9</v>
      </c>
      <c r="E76" s="12">
        <f t="shared" si="14"/>
        <v>314.18400000000003</v>
      </c>
      <c r="F76" s="21"/>
      <c r="G76" s="22">
        <f>30+21-24.58</f>
        <v>26.42</v>
      </c>
      <c r="H76" s="22">
        <f>375.204-10.02-24.58</f>
        <v>340.60400000000004</v>
      </c>
      <c r="I76" s="15" t="s">
        <v>70</v>
      </c>
      <c r="J76" s="16"/>
      <c r="K76" s="18">
        <v>2220.3866229603536</v>
      </c>
      <c r="M76">
        <v>200.44400000000007</v>
      </c>
      <c r="N76">
        <v>-40.315999999999917</v>
      </c>
    </row>
    <row r="77" spans="1:14" ht="18" x14ac:dyDescent="0.35">
      <c r="A77" s="10">
        <v>44736</v>
      </c>
      <c r="B77" s="11" t="s">
        <v>71</v>
      </c>
      <c r="C77" s="11" t="s">
        <v>67</v>
      </c>
      <c r="D77" s="11" t="s">
        <v>9</v>
      </c>
      <c r="E77" s="12">
        <f t="shared" si="14"/>
        <v>317.57000000000005</v>
      </c>
      <c r="F77" s="21"/>
      <c r="G77" s="22">
        <f>158.78-30.7</f>
        <v>128.08000000000001</v>
      </c>
      <c r="H77" s="22">
        <f>476.35-30.7</f>
        <v>445.65000000000003</v>
      </c>
      <c r="I77" s="15" t="s">
        <v>29</v>
      </c>
      <c r="J77" s="16"/>
      <c r="K77" s="18">
        <v>2351.9034198930826</v>
      </c>
      <c r="M77">
        <v>398.43000000000006</v>
      </c>
      <c r="N77">
        <v>241.90999999999997</v>
      </c>
    </row>
    <row r="78" spans="1:14" ht="18" x14ac:dyDescent="0.35">
      <c r="A78" s="10">
        <v>44747</v>
      </c>
      <c r="B78" s="11" t="s">
        <v>72</v>
      </c>
      <c r="C78" s="11" t="s">
        <v>67</v>
      </c>
      <c r="D78" s="11" t="s">
        <v>9</v>
      </c>
      <c r="E78" s="12">
        <f t="shared" si="14"/>
        <v>98.27000000000001</v>
      </c>
      <c r="F78" s="21"/>
      <c r="G78" s="22">
        <v>0</v>
      </c>
      <c r="H78" s="22">
        <f>127.95-29.68</f>
        <v>98.27000000000001</v>
      </c>
      <c r="I78" s="15" t="s">
        <v>29</v>
      </c>
      <c r="J78" s="16"/>
      <c r="K78" s="18">
        <v>2056.6737332548364</v>
      </c>
      <c r="M78">
        <v>48.429999999999893</v>
      </c>
      <c r="N78">
        <v>38.329999999999927</v>
      </c>
    </row>
    <row r="79" spans="1:14" ht="18" x14ac:dyDescent="0.35">
      <c r="A79" s="10">
        <v>44834</v>
      </c>
      <c r="B79" s="11" t="s">
        <v>73</v>
      </c>
      <c r="C79" s="11" t="s">
        <v>67</v>
      </c>
      <c r="D79" s="11" t="s">
        <v>9</v>
      </c>
      <c r="E79" s="12">
        <f t="shared" si="14"/>
        <v>1024.1690000000001</v>
      </c>
      <c r="F79" s="21"/>
      <c r="G79" s="22">
        <v>0</v>
      </c>
      <c r="H79" s="22">
        <v>1024.1690000000001</v>
      </c>
      <c r="I79" s="15" t="s">
        <v>70</v>
      </c>
      <c r="J79" s="16"/>
      <c r="K79" s="18">
        <v>2301.8649111652999</v>
      </c>
      <c r="M79">
        <v>1024.1690000000001</v>
      </c>
      <c r="N79">
        <v>1024.1690000000001</v>
      </c>
    </row>
    <row r="80" spans="1:14" ht="18" x14ac:dyDescent="0.35">
      <c r="A80" s="10">
        <v>45009</v>
      </c>
      <c r="B80" s="11" t="s">
        <v>74</v>
      </c>
      <c r="C80" s="11" t="s">
        <v>67</v>
      </c>
      <c r="D80" s="11" t="s">
        <v>9</v>
      </c>
      <c r="E80" s="12">
        <f t="shared" si="14"/>
        <v>0</v>
      </c>
      <c r="F80" s="21"/>
      <c r="G80" s="22">
        <f>30+128+250-24.02-26.08+55-29.34+12.371-29.14-24.56-45.7-29.9-49.28-12.056-28.6-21.14-20.78-71.26</f>
        <v>63.515000000000057</v>
      </c>
      <c r="H80" s="22">
        <f>30+128+250-24.02-26.08+55-29.34+12.371-29.14-24.56-45.7-29.9-49.28-12.056-28.6-21.14-20.78-71.26</f>
        <v>63.515000000000057</v>
      </c>
      <c r="I80" s="15" t="s">
        <v>29</v>
      </c>
      <c r="J80" s="16"/>
      <c r="K80" s="18">
        <v>1205.2090879478401</v>
      </c>
      <c r="M80">
        <v>63.514999999999986</v>
      </c>
      <c r="N80">
        <v>43.514999999999986</v>
      </c>
    </row>
    <row r="81" spans="1:14" ht="18" x14ac:dyDescent="0.35">
      <c r="A81" s="10">
        <v>45034</v>
      </c>
      <c r="B81" s="11" t="s">
        <v>75</v>
      </c>
      <c r="C81" s="11" t="s">
        <v>67</v>
      </c>
      <c r="D81" s="11" t="s">
        <v>9</v>
      </c>
      <c r="E81" s="12">
        <f t="shared" ref="E81" si="15">H81-G81</f>
        <v>0</v>
      </c>
      <c r="F81" s="21"/>
      <c r="G81" s="22">
        <f>30+101+25+25+60+73.143-29.84</f>
        <v>284.30300000000005</v>
      </c>
      <c r="H81" s="22">
        <f>30+101+25+25+60+73.143-29.84</f>
        <v>284.30300000000005</v>
      </c>
      <c r="I81" s="15" t="s">
        <v>29</v>
      </c>
      <c r="J81" s="16"/>
      <c r="K81" s="18"/>
      <c r="M81">
        <v>284.303</v>
      </c>
      <c r="N81">
        <v>254.14299999999997</v>
      </c>
    </row>
    <row r="82" spans="1:14" ht="18" x14ac:dyDescent="0.35">
      <c r="A82" s="10">
        <v>45055</v>
      </c>
      <c r="B82" s="11" t="s">
        <v>216</v>
      </c>
      <c r="C82" s="11" t="s">
        <v>67</v>
      </c>
      <c r="D82" s="11" t="s">
        <v>19</v>
      </c>
      <c r="E82" s="12">
        <f t="shared" si="14"/>
        <v>0</v>
      </c>
      <c r="F82" s="21"/>
      <c r="G82" s="22">
        <f>30+101+25+25+60+73.143-29.84</f>
        <v>284.30300000000005</v>
      </c>
      <c r="H82" s="22">
        <f>30+101+25+25+60+73.143-29.84</f>
        <v>284.30300000000005</v>
      </c>
      <c r="I82" s="15" t="s">
        <v>26</v>
      </c>
      <c r="J82" s="16"/>
      <c r="K82" s="18"/>
      <c r="M82">
        <v>971.14100000000008</v>
      </c>
      <c r="N82">
        <v>786.58100000000002</v>
      </c>
    </row>
    <row r="83" spans="1:14" ht="18" x14ac:dyDescent="0.35">
      <c r="A83" s="19"/>
      <c r="B83" s="26" t="s">
        <v>27</v>
      </c>
      <c r="C83" s="11"/>
      <c r="D83" s="11"/>
      <c r="E83" s="20">
        <f>SUBTOTAL(9,E74:E82)</f>
        <v>1780.5080000000003</v>
      </c>
      <c r="F83" s="21">
        <f>E83</f>
        <v>1780.5080000000003</v>
      </c>
      <c r="G83" s="20">
        <f>SUBTOTAL(9,G74:G82)</f>
        <v>786.62100000000009</v>
      </c>
      <c r="H83" s="20">
        <f>SUBTOTAL(9,H74:H82)</f>
        <v>2567.1290000000004</v>
      </c>
      <c r="I83" s="15"/>
      <c r="J83" s="16"/>
      <c r="K83" s="18"/>
    </row>
    <row r="84" spans="1:14" ht="18" x14ac:dyDescent="0.35">
      <c r="A84" s="19"/>
      <c r="B84" s="26"/>
      <c r="C84" s="11"/>
      <c r="D84" s="11"/>
      <c r="E84" s="20"/>
      <c r="F84" s="21"/>
      <c r="G84" s="20"/>
      <c r="H84" s="20"/>
      <c r="I84" s="15"/>
      <c r="J84" s="16"/>
      <c r="K84" s="18"/>
    </row>
    <row r="85" spans="1:14" ht="18" x14ac:dyDescent="0.35">
      <c r="A85" s="10">
        <v>44995</v>
      </c>
      <c r="B85" s="11" t="s">
        <v>76</v>
      </c>
      <c r="C85" s="11" t="s">
        <v>77</v>
      </c>
      <c r="D85" s="11" t="s">
        <v>9</v>
      </c>
      <c r="E85" s="12">
        <f>H85-G85</f>
        <v>431.67200000000014</v>
      </c>
      <c r="F85" s="21"/>
      <c r="G85" s="22">
        <f>202-25.31-24.11-13.9</f>
        <v>138.67999999999998</v>
      </c>
      <c r="H85" s="22">
        <f>633.672-25.31-24.11-13.9</f>
        <v>570.35200000000009</v>
      </c>
      <c r="I85" s="15" t="s">
        <v>78</v>
      </c>
      <c r="J85" s="16"/>
      <c r="K85" s="18">
        <v>1040.8825627624774</v>
      </c>
      <c r="M85">
        <v>376.71199999999999</v>
      </c>
      <c r="N85">
        <v>98.252000000000066</v>
      </c>
    </row>
    <row r="86" spans="1:14" ht="18" x14ac:dyDescent="0.35">
      <c r="A86" s="10"/>
      <c r="B86" s="26" t="s">
        <v>27</v>
      </c>
      <c r="C86" s="11"/>
      <c r="D86" s="11"/>
      <c r="E86" s="20">
        <f>SUBTOTAL(9,E85:E85)</f>
        <v>431.67200000000014</v>
      </c>
      <c r="F86" s="21">
        <f>E86</f>
        <v>431.67200000000014</v>
      </c>
      <c r="G86" s="20">
        <f>SUBTOTAL(9,G85:G85)</f>
        <v>138.67999999999998</v>
      </c>
      <c r="H86" s="20">
        <f>SUBTOTAL(9,H85:H85)</f>
        <v>570.35200000000009</v>
      </c>
      <c r="I86" s="15"/>
      <c r="J86" s="16"/>
      <c r="K86" s="18"/>
    </row>
    <row r="87" spans="1:14" ht="18" x14ac:dyDescent="0.35">
      <c r="A87" s="19"/>
      <c r="B87" s="26"/>
      <c r="C87" s="11"/>
      <c r="D87" s="11"/>
      <c r="E87" s="13"/>
      <c r="F87" s="21"/>
      <c r="G87" s="13"/>
      <c r="H87" s="27"/>
      <c r="I87" s="15"/>
      <c r="J87" s="16"/>
      <c r="K87" s="18"/>
    </row>
    <row r="88" spans="1:14" ht="18" x14ac:dyDescent="0.35">
      <c r="A88" s="10">
        <v>44749</v>
      </c>
      <c r="B88" s="11" t="s">
        <v>79</v>
      </c>
      <c r="C88" s="11" t="s">
        <v>80</v>
      </c>
      <c r="D88" s="11" t="s">
        <v>9</v>
      </c>
      <c r="E88" s="12">
        <f>H88-G88</f>
        <v>12.34</v>
      </c>
      <c r="F88" s="21"/>
      <c r="G88" s="22">
        <v>0</v>
      </c>
      <c r="H88" s="22">
        <v>12.34</v>
      </c>
      <c r="I88" s="15" t="s">
        <v>32</v>
      </c>
      <c r="J88" s="16"/>
      <c r="K88" s="18">
        <v>1875.2699932515579</v>
      </c>
      <c r="M88">
        <v>12.340000000000146</v>
      </c>
      <c r="N88">
        <v>11.31599999999986</v>
      </c>
    </row>
    <row r="89" spans="1:14" ht="18" x14ac:dyDescent="0.35">
      <c r="A89" s="10">
        <v>44979</v>
      </c>
      <c r="B89" s="11" t="s">
        <v>191</v>
      </c>
      <c r="C89" s="11" t="s">
        <v>80</v>
      </c>
      <c r="D89" s="11" t="s">
        <v>9</v>
      </c>
      <c r="E89" s="12">
        <f>H89-G89</f>
        <v>260.3309999999999</v>
      </c>
      <c r="F89" s="21"/>
      <c r="G89" s="22">
        <f>519.67-31.32-40.06+106-59.78-45.94-30.18</f>
        <v>418.39</v>
      </c>
      <c r="H89" s="22">
        <f>887.001-32.32-40.06-59.78-45.94-30.18</f>
        <v>678.72099999999989</v>
      </c>
      <c r="I89" s="15" t="s">
        <v>70</v>
      </c>
      <c r="J89" s="16"/>
      <c r="K89" s="18">
        <v>1245.0000025254401</v>
      </c>
      <c r="M89">
        <v>469.68100000000004</v>
      </c>
      <c r="N89">
        <v>217.88099999999986</v>
      </c>
    </row>
    <row r="90" spans="1:14" ht="18" x14ac:dyDescent="0.35">
      <c r="A90" s="19"/>
      <c r="B90" s="26" t="s">
        <v>27</v>
      </c>
      <c r="C90" s="11"/>
      <c r="D90" s="11"/>
      <c r="E90" s="20">
        <f>SUBTOTAL(9,E88:E89)</f>
        <v>272.67099999999988</v>
      </c>
      <c r="F90" s="21">
        <f>E90</f>
        <v>272.67099999999988</v>
      </c>
      <c r="G90" s="20">
        <f>SUBTOTAL(9,G88:G89)</f>
        <v>418.39</v>
      </c>
      <c r="H90" s="20">
        <f>SUBTOTAL(9,H88:H89)</f>
        <v>691.06099999999992</v>
      </c>
      <c r="I90" s="15"/>
      <c r="J90" s="16"/>
      <c r="K90" s="18"/>
    </row>
    <row r="91" spans="1:14" ht="18" x14ac:dyDescent="0.35">
      <c r="A91" s="19"/>
      <c r="B91" s="26"/>
      <c r="C91" s="11"/>
      <c r="D91" s="11"/>
      <c r="E91" s="13"/>
      <c r="F91" s="21"/>
      <c r="G91" s="20"/>
      <c r="H91" s="20"/>
      <c r="I91" s="15"/>
      <c r="J91" s="16"/>
      <c r="K91" s="18"/>
    </row>
    <row r="92" spans="1:14" ht="18" x14ac:dyDescent="0.35">
      <c r="A92" s="10">
        <v>45004</v>
      </c>
      <c r="B92" s="11" t="s">
        <v>81</v>
      </c>
      <c r="C92" s="11" t="s">
        <v>82</v>
      </c>
      <c r="D92" s="11" t="s">
        <v>9</v>
      </c>
      <c r="E92" s="12">
        <f>H92-G92</f>
        <v>530.10500000000002</v>
      </c>
      <c r="F92" s="13"/>
      <c r="G92" s="22">
        <f>217.15-87.39+21</f>
        <v>150.76</v>
      </c>
      <c r="H92" s="22">
        <f>768.255-87.39</f>
        <v>680.86500000000001</v>
      </c>
      <c r="I92" s="15" t="s">
        <v>47</v>
      </c>
      <c r="J92" s="16"/>
      <c r="K92" s="18">
        <v>920</v>
      </c>
      <c r="M92">
        <v>494.36399999999981</v>
      </c>
      <c r="N92">
        <v>362.11399999999981</v>
      </c>
    </row>
    <row r="93" spans="1:14" ht="18" x14ac:dyDescent="0.35">
      <c r="A93" s="10">
        <v>44865</v>
      </c>
      <c r="B93" s="11" t="s">
        <v>192</v>
      </c>
      <c r="C93" s="11" t="s">
        <v>82</v>
      </c>
      <c r="D93" s="11" t="s">
        <v>16</v>
      </c>
      <c r="E93" s="12">
        <f>H93-G93</f>
        <v>7.7069999999999936</v>
      </c>
      <c r="F93" s="13"/>
      <c r="G93" s="22">
        <f>65.67-15.58</f>
        <v>50.09</v>
      </c>
      <c r="H93" s="22">
        <f>73.377-15.58</f>
        <v>57.796999999999997</v>
      </c>
      <c r="I93" s="15" t="s">
        <v>23</v>
      </c>
      <c r="J93" s="16"/>
      <c r="K93" s="18">
        <v>1230</v>
      </c>
      <c r="M93">
        <v>60.245999999999981</v>
      </c>
      <c r="N93">
        <v>9.4759999999999991</v>
      </c>
    </row>
    <row r="94" spans="1:14" ht="18" x14ac:dyDescent="0.35">
      <c r="A94" s="10">
        <v>44997</v>
      </c>
      <c r="B94" s="11" t="s">
        <v>193</v>
      </c>
      <c r="C94" s="11" t="s">
        <v>82</v>
      </c>
      <c r="D94" s="11" t="s">
        <v>16</v>
      </c>
      <c r="E94" s="12">
        <f>H94-G94</f>
        <v>148.07999999999996</v>
      </c>
      <c r="F94" s="13"/>
      <c r="G94" s="22">
        <f>190.37+20+25-49.87-41.82-7.72</f>
        <v>135.96</v>
      </c>
      <c r="H94" s="22">
        <f>383.45-49.87-41.82-7.72</f>
        <v>284.03999999999996</v>
      </c>
      <c r="I94" s="15" t="s">
        <v>23</v>
      </c>
      <c r="J94" s="16"/>
      <c r="K94" s="18">
        <v>900</v>
      </c>
      <c r="M94">
        <v>228.66000000000003</v>
      </c>
      <c r="N94">
        <v>101.33499999999998</v>
      </c>
    </row>
    <row r="95" spans="1:14" s="52" customFormat="1" ht="18" x14ac:dyDescent="0.35">
      <c r="A95" s="45">
        <v>44834</v>
      </c>
      <c r="B95" s="31" t="s">
        <v>83</v>
      </c>
      <c r="C95" s="31" t="s">
        <v>82</v>
      </c>
      <c r="D95" s="31" t="s">
        <v>19</v>
      </c>
      <c r="E95" s="46">
        <f>H95-G95</f>
        <v>6.4969999999999999</v>
      </c>
      <c r="F95" s="54"/>
      <c r="G95" s="48">
        <v>0</v>
      </c>
      <c r="H95" s="48">
        <f>26.157-19.66</f>
        <v>6.4969999999999999</v>
      </c>
      <c r="I95" s="49" t="s">
        <v>19</v>
      </c>
      <c r="J95" s="50"/>
      <c r="K95" s="51">
        <v>930</v>
      </c>
      <c r="M95" s="52" t="e">
        <v>#N/A</v>
      </c>
      <c r="N95" s="52" t="e">
        <v>#N/A</v>
      </c>
    </row>
    <row r="96" spans="1:14" ht="18" x14ac:dyDescent="0.35">
      <c r="A96" s="19"/>
      <c r="B96" s="26" t="s">
        <v>27</v>
      </c>
      <c r="C96" s="11"/>
      <c r="D96" s="11"/>
      <c r="E96" s="20">
        <f>SUBTOTAL(9,E92:E95)</f>
        <v>692.3889999999999</v>
      </c>
      <c r="F96" s="21">
        <f>E96</f>
        <v>692.3889999999999</v>
      </c>
      <c r="G96" s="20">
        <f>SUBTOTAL(9,G92:G95)</f>
        <v>336.81</v>
      </c>
      <c r="H96" s="20">
        <f>SUBTOTAL(9,H92:H95)</f>
        <v>1029.1990000000001</v>
      </c>
      <c r="I96" s="15"/>
      <c r="J96" s="16"/>
      <c r="K96" s="18"/>
    </row>
    <row r="97" spans="1:14" ht="18" x14ac:dyDescent="0.35">
      <c r="A97" s="19"/>
      <c r="B97" s="11"/>
      <c r="C97" s="11"/>
      <c r="D97" s="11"/>
      <c r="E97" s="12"/>
      <c r="F97" s="13"/>
      <c r="G97" s="13"/>
      <c r="H97" s="27"/>
      <c r="I97" s="15"/>
      <c r="J97" s="16"/>
      <c r="K97" s="18"/>
    </row>
    <row r="98" spans="1:14" ht="18" x14ac:dyDescent="0.35">
      <c r="A98" s="10">
        <v>44884</v>
      </c>
      <c r="B98" s="11" t="s">
        <v>194</v>
      </c>
      <c r="C98" s="11" t="s">
        <v>84</v>
      </c>
      <c r="D98" s="11" t="s">
        <v>9</v>
      </c>
      <c r="E98" s="12">
        <f>H98-G98</f>
        <v>0</v>
      </c>
      <c r="F98" s="13"/>
      <c r="G98" s="22">
        <f>101.37-9.92-24.01</f>
        <v>67.44</v>
      </c>
      <c r="H98" s="22">
        <f>101.37-9.92-24.01</f>
        <v>67.44</v>
      </c>
      <c r="I98" s="15" t="s">
        <v>47</v>
      </c>
      <c r="J98" s="16"/>
      <c r="K98" s="18">
        <v>1100.19155162675</v>
      </c>
      <c r="M98">
        <v>47.880000000000337</v>
      </c>
      <c r="N98">
        <v>15.370000000000573</v>
      </c>
    </row>
    <row r="99" spans="1:14" ht="18" x14ac:dyDescent="0.35">
      <c r="A99" s="10">
        <v>45004</v>
      </c>
      <c r="B99" s="11" t="s">
        <v>85</v>
      </c>
      <c r="C99" s="11" t="s">
        <v>84</v>
      </c>
      <c r="D99" s="11" t="s">
        <v>9</v>
      </c>
      <c r="E99" s="12">
        <f>H99-G99</f>
        <v>727.03700000000003</v>
      </c>
      <c r="F99" s="13"/>
      <c r="G99" s="22">
        <f>195-19.28-26.83-31.87-25.28</f>
        <v>91.739999999999981</v>
      </c>
      <c r="H99" s="22">
        <f>922.037-19.28-26.83-31.87-25.28</f>
        <v>818.77700000000004</v>
      </c>
      <c r="I99" s="15" t="s">
        <v>47</v>
      </c>
      <c r="J99" s="16"/>
      <c r="K99" s="18">
        <v>920.76043398005095</v>
      </c>
      <c r="M99">
        <v>818.77700000000004</v>
      </c>
      <c r="N99">
        <v>732.05700000000002</v>
      </c>
    </row>
    <row r="100" spans="1:14" ht="18" x14ac:dyDescent="0.35">
      <c r="A100" s="10">
        <v>45038</v>
      </c>
      <c r="B100" s="11" t="s">
        <v>86</v>
      </c>
      <c r="C100" s="11" t="s">
        <v>84</v>
      </c>
      <c r="D100" s="11" t="s">
        <v>9</v>
      </c>
      <c r="E100" s="12">
        <f>H100-G100</f>
        <v>708.95899999999995</v>
      </c>
      <c r="F100" s="13"/>
      <c r="G100" s="22">
        <v>0</v>
      </c>
      <c r="H100" s="22">
        <v>708.95899999999995</v>
      </c>
      <c r="I100" s="15" t="s">
        <v>47</v>
      </c>
      <c r="J100" s="16"/>
      <c r="K100" s="18"/>
      <c r="M100">
        <v>708.95899999999995</v>
      </c>
      <c r="N100">
        <v>708.95899999999995</v>
      </c>
    </row>
    <row r="101" spans="1:14" ht="18" x14ac:dyDescent="0.35">
      <c r="A101" s="19"/>
      <c r="B101" s="26" t="s">
        <v>27</v>
      </c>
      <c r="C101" s="11"/>
      <c r="D101" s="11"/>
      <c r="E101" s="20">
        <f>SUBTOTAL(9,E98:E100)</f>
        <v>1435.9960000000001</v>
      </c>
      <c r="F101" s="21">
        <f>E101</f>
        <v>1435.9960000000001</v>
      </c>
      <c r="G101" s="20">
        <f>SUBTOTAL(9,G98:G100)</f>
        <v>159.17999999999998</v>
      </c>
      <c r="H101" s="20">
        <f>SUBTOTAL(9,H98:H100)</f>
        <v>1595.1759999999999</v>
      </c>
      <c r="I101" s="15"/>
      <c r="J101" s="16"/>
      <c r="K101" s="18"/>
    </row>
    <row r="102" spans="1:14" ht="18" x14ac:dyDescent="0.35">
      <c r="A102" s="19"/>
      <c r="B102" s="26"/>
      <c r="C102" s="11"/>
      <c r="D102" s="11"/>
      <c r="E102" s="13"/>
      <c r="F102" s="13"/>
      <c r="G102" s="13"/>
      <c r="H102" s="27"/>
      <c r="I102" s="15"/>
      <c r="J102" s="16"/>
      <c r="K102" s="18"/>
    </row>
    <row r="103" spans="1:14" ht="18" x14ac:dyDescent="0.35">
      <c r="A103" s="10">
        <v>44764</v>
      </c>
      <c r="B103" s="11" t="s">
        <v>87</v>
      </c>
      <c r="C103" s="11" t="s">
        <v>88</v>
      </c>
      <c r="D103" s="11" t="s">
        <v>9</v>
      </c>
      <c r="E103" s="12">
        <f t="shared" ref="E103:E109" si="16">H103-G103</f>
        <v>0.93899999999999995</v>
      </c>
      <c r="F103" s="13"/>
      <c r="G103" s="22">
        <v>0</v>
      </c>
      <c r="H103" s="22">
        <v>0.93899999999999995</v>
      </c>
      <c r="I103" s="15" t="s">
        <v>47</v>
      </c>
      <c r="J103" s="16"/>
      <c r="K103" s="18">
        <v>1331.45</v>
      </c>
      <c r="M103">
        <v>0.93900000000030559</v>
      </c>
      <c r="N103">
        <v>-7.7609999999995125</v>
      </c>
    </row>
    <row r="104" spans="1:14" ht="18" x14ac:dyDescent="0.35">
      <c r="A104" s="10">
        <v>44892</v>
      </c>
      <c r="B104" s="11" t="s">
        <v>89</v>
      </c>
      <c r="C104" s="11" t="s">
        <v>88</v>
      </c>
      <c r="D104" s="11" t="s">
        <v>9</v>
      </c>
      <c r="E104" s="12">
        <f t="shared" si="16"/>
        <v>0</v>
      </c>
      <c r="F104" s="13"/>
      <c r="G104" s="22">
        <v>26.97</v>
      </c>
      <c r="H104" s="22">
        <v>26.97</v>
      </c>
      <c r="I104" s="15" t="s">
        <v>90</v>
      </c>
      <c r="J104" s="16"/>
      <c r="K104" s="18">
        <v>1118.5375775311952</v>
      </c>
      <c r="M104">
        <v>3.2229999999999563</v>
      </c>
      <c r="N104">
        <v>-24.867000000000189</v>
      </c>
    </row>
    <row r="105" spans="1:14" ht="18" x14ac:dyDescent="0.35">
      <c r="A105" s="10">
        <v>44566</v>
      </c>
      <c r="B105" s="11" t="s">
        <v>91</v>
      </c>
      <c r="C105" s="11" t="s">
        <v>88</v>
      </c>
      <c r="D105" s="11" t="s">
        <v>9</v>
      </c>
      <c r="E105" s="12">
        <f t="shared" si="16"/>
        <v>0</v>
      </c>
      <c r="F105" s="13"/>
      <c r="G105" s="22">
        <v>121.423</v>
      </c>
      <c r="H105" s="22">
        <v>121.423</v>
      </c>
      <c r="I105" s="15" t="s">
        <v>29</v>
      </c>
      <c r="J105" s="16"/>
      <c r="K105" s="18">
        <v>1037.0283001737214</v>
      </c>
      <c r="M105">
        <v>0</v>
      </c>
      <c r="N105">
        <v>-7.3299999999999272</v>
      </c>
    </row>
    <row r="106" spans="1:14" ht="18" x14ac:dyDescent="0.35">
      <c r="A106" s="10">
        <v>44592</v>
      </c>
      <c r="B106" s="11" t="s">
        <v>195</v>
      </c>
      <c r="C106" s="11" t="s">
        <v>88</v>
      </c>
      <c r="D106" s="11" t="s">
        <v>9</v>
      </c>
      <c r="E106" s="12">
        <f>H106-G106</f>
        <v>0</v>
      </c>
      <c r="F106" s="13"/>
      <c r="G106" s="22">
        <f>180.553-28.01-47.51-49.49</f>
        <v>55.543000000000013</v>
      </c>
      <c r="H106" s="22">
        <f>180.553-28.01-47.51-49.49</f>
        <v>55.543000000000013</v>
      </c>
      <c r="I106" s="15" t="s">
        <v>92</v>
      </c>
      <c r="J106" s="16"/>
      <c r="K106" s="18">
        <v>913.43126017726286</v>
      </c>
      <c r="M106">
        <v>0</v>
      </c>
      <c r="N106">
        <v>-1.0400000000000063</v>
      </c>
    </row>
    <row r="107" spans="1:14" ht="18" x14ac:dyDescent="0.35">
      <c r="A107" s="10">
        <v>44976</v>
      </c>
      <c r="B107" s="11" t="s">
        <v>93</v>
      </c>
      <c r="C107" s="11" t="s">
        <v>88</v>
      </c>
      <c r="D107" s="11" t="s">
        <v>9</v>
      </c>
      <c r="E107" s="12">
        <f t="shared" si="16"/>
        <v>1703.5439999999999</v>
      </c>
      <c r="F107" s="13"/>
      <c r="G107" s="22">
        <f>270-19.75+216+100-52.53+20-37.89</f>
        <v>495.83000000000004</v>
      </c>
      <c r="H107" s="22">
        <f>2309.544-19.75-52.53-37.89</f>
        <v>2199.3739999999998</v>
      </c>
      <c r="I107" s="15" t="s">
        <v>29</v>
      </c>
      <c r="J107" s="16"/>
      <c r="K107" s="18">
        <v>954.97628278089473</v>
      </c>
      <c r="M107">
        <v>1800.3140000000001</v>
      </c>
      <c r="N107">
        <v>598.35399999999981</v>
      </c>
    </row>
    <row r="108" spans="1:14" ht="18" x14ac:dyDescent="0.35">
      <c r="A108" s="10">
        <v>44997</v>
      </c>
      <c r="B108" s="11" t="s">
        <v>94</v>
      </c>
      <c r="C108" s="11" t="s">
        <v>88</v>
      </c>
      <c r="D108" s="11" t="s">
        <v>9</v>
      </c>
      <c r="E108" s="12">
        <f t="shared" si="16"/>
        <v>675.46800000000007</v>
      </c>
      <c r="F108" s="13"/>
      <c r="G108" s="22">
        <f>100-16.86+160-19.9-13.92</f>
        <v>209.32</v>
      </c>
      <c r="H108" s="22">
        <f>918.608-19.9-13.92</f>
        <v>884.78800000000001</v>
      </c>
      <c r="I108" s="15" t="s">
        <v>32</v>
      </c>
      <c r="J108" s="16"/>
      <c r="K108" s="18">
        <v>1005.1251051089312</v>
      </c>
      <c r="M108">
        <v>692.55799999999999</v>
      </c>
      <c r="N108">
        <v>283.77799999999996</v>
      </c>
    </row>
    <row r="109" spans="1:14" ht="18" x14ac:dyDescent="0.35">
      <c r="A109" s="10">
        <v>44997</v>
      </c>
      <c r="B109" s="11" t="s">
        <v>94</v>
      </c>
      <c r="C109" s="11" t="s">
        <v>88</v>
      </c>
      <c r="D109" s="11" t="s">
        <v>9</v>
      </c>
      <c r="E109" s="12">
        <f t="shared" si="16"/>
        <v>1612.19</v>
      </c>
      <c r="F109" s="13"/>
      <c r="G109" s="22">
        <v>0</v>
      </c>
      <c r="H109" s="22">
        <v>1612.19</v>
      </c>
      <c r="I109" s="15" t="s">
        <v>95</v>
      </c>
      <c r="J109" s="16"/>
      <c r="K109" s="18">
        <v>1005.12510510893</v>
      </c>
      <c r="M109">
        <v>692.55799999999999</v>
      </c>
      <c r="N109">
        <v>283.77799999999996</v>
      </c>
    </row>
    <row r="110" spans="1:14" ht="18" x14ac:dyDescent="0.35">
      <c r="A110" s="10">
        <v>44935</v>
      </c>
      <c r="B110" s="11" t="s">
        <v>196</v>
      </c>
      <c r="C110" s="11" t="s">
        <v>88</v>
      </c>
      <c r="D110" s="11" t="s">
        <v>13</v>
      </c>
      <c r="E110" s="12">
        <f t="shared" ref="E110:E115" si="17">H110-G110</f>
        <v>0</v>
      </c>
      <c r="F110" s="13"/>
      <c r="G110" s="22">
        <f>236.648-24.9-24.96-15.93</f>
        <v>170.85799999999998</v>
      </c>
      <c r="H110" s="22">
        <f>236.648-24.9-24.96-15.93</f>
        <v>170.85799999999998</v>
      </c>
      <c r="I110" s="15" t="s">
        <v>21</v>
      </c>
      <c r="J110" s="16"/>
      <c r="K110" s="18">
        <v>870.27000343629402</v>
      </c>
      <c r="M110">
        <v>103.65899999999999</v>
      </c>
      <c r="N110">
        <v>74.49899999999991</v>
      </c>
    </row>
    <row r="111" spans="1:14" ht="18" x14ac:dyDescent="0.35">
      <c r="A111" s="10">
        <v>44935</v>
      </c>
      <c r="B111" s="11" t="s">
        <v>197</v>
      </c>
      <c r="C111" s="11" t="s">
        <v>88</v>
      </c>
      <c r="D111" s="11" t="s">
        <v>13</v>
      </c>
      <c r="E111" s="12">
        <f t="shared" si="17"/>
        <v>0</v>
      </c>
      <c r="F111" s="13"/>
      <c r="G111" s="22">
        <f>236.648-24.9-24.96-15.93</f>
        <v>170.85799999999998</v>
      </c>
      <c r="H111" s="22">
        <f>236.648-24.9-24.96-15.93</f>
        <v>170.85799999999998</v>
      </c>
      <c r="I111" s="15" t="s">
        <v>21</v>
      </c>
      <c r="J111" s="16"/>
      <c r="K111" s="18">
        <v>870.27000343629402</v>
      </c>
      <c r="M111">
        <v>38.735999999999422</v>
      </c>
      <c r="N111">
        <v>-74.184000000000424</v>
      </c>
    </row>
    <row r="112" spans="1:14" ht="18" x14ac:dyDescent="0.35">
      <c r="A112" s="10">
        <v>44927</v>
      </c>
      <c r="B112" s="11" t="s">
        <v>96</v>
      </c>
      <c r="C112" s="11" t="s">
        <v>88</v>
      </c>
      <c r="D112" s="11" t="s">
        <v>19</v>
      </c>
      <c r="E112" s="12">
        <f t="shared" si="17"/>
        <v>0</v>
      </c>
      <c r="F112" s="13"/>
      <c r="G112" s="22">
        <f>586.938-47.63-70.43-61.12</f>
        <v>407.75799999999998</v>
      </c>
      <c r="H112" s="22">
        <f>586.938-47.63-70.43-61.12</f>
        <v>407.75799999999998</v>
      </c>
      <c r="I112" s="15" t="s">
        <v>26</v>
      </c>
      <c r="J112" s="16"/>
      <c r="K112" s="18">
        <v>1037.0282893203669</v>
      </c>
      <c r="M112">
        <v>2.3620000000005348</v>
      </c>
      <c r="N112">
        <v>-397.2180000000003</v>
      </c>
    </row>
    <row r="113" spans="1:14" ht="18" x14ac:dyDescent="0.35">
      <c r="A113" s="10">
        <v>44964</v>
      </c>
      <c r="B113" s="11" t="s">
        <v>198</v>
      </c>
      <c r="C113" s="11" t="s">
        <v>88</v>
      </c>
      <c r="D113" s="11" t="s">
        <v>19</v>
      </c>
      <c r="E113" s="12">
        <f t="shared" si="17"/>
        <v>0</v>
      </c>
      <c r="F113" s="13"/>
      <c r="G113" s="22">
        <f>63+60+32+64.348</f>
        <v>219.34800000000001</v>
      </c>
      <c r="H113" s="22">
        <v>219.34800000000001</v>
      </c>
      <c r="I113" s="15" t="s">
        <v>26</v>
      </c>
      <c r="J113" s="16"/>
      <c r="K113" s="18">
        <v>960.99903545431528</v>
      </c>
      <c r="M113">
        <v>43.601999999999862</v>
      </c>
      <c r="N113">
        <v>-106.32799999999997</v>
      </c>
    </row>
    <row r="114" spans="1:14" ht="18" x14ac:dyDescent="0.35">
      <c r="A114" s="10">
        <v>45020</v>
      </c>
      <c r="B114" s="11" t="s">
        <v>97</v>
      </c>
      <c r="C114" s="11" t="s">
        <v>88</v>
      </c>
      <c r="D114" s="11" t="s">
        <v>19</v>
      </c>
      <c r="E114" s="12">
        <f t="shared" si="17"/>
        <v>1683.819</v>
      </c>
      <c r="F114" s="13"/>
      <c r="G114" s="22">
        <f>87+145</f>
        <v>232</v>
      </c>
      <c r="H114" s="22">
        <v>1915.819</v>
      </c>
      <c r="I114" s="15" t="s">
        <v>26</v>
      </c>
      <c r="J114" s="16"/>
      <c r="K114" s="18">
        <v>1030</v>
      </c>
      <c r="M114">
        <v>1879.819</v>
      </c>
      <c r="N114">
        <v>1595.1289999999999</v>
      </c>
    </row>
    <row r="115" spans="1:14" ht="18" x14ac:dyDescent="0.35">
      <c r="A115" s="10">
        <v>45054</v>
      </c>
      <c r="B115" s="11" t="s">
        <v>222</v>
      </c>
      <c r="C115" s="11" t="s">
        <v>88</v>
      </c>
      <c r="D115" s="11" t="s">
        <v>166</v>
      </c>
      <c r="E115" s="12">
        <f t="shared" si="17"/>
        <v>1683.819</v>
      </c>
      <c r="F115" s="13"/>
      <c r="G115" s="22">
        <f>87+145</f>
        <v>232</v>
      </c>
      <c r="H115" s="22">
        <v>1915.819</v>
      </c>
      <c r="I115" s="15" t="s">
        <v>166</v>
      </c>
      <c r="J115" s="16"/>
      <c r="K115" s="18">
        <v>1030</v>
      </c>
      <c r="M115">
        <v>2445.7159999999999</v>
      </c>
      <c r="N115">
        <v>1795.3209999999999</v>
      </c>
    </row>
    <row r="116" spans="1:14" ht="18" x14ac:dyDescent="0.35">
      <c r="A116" s="19"/>
      <c r="B116" s="26" t="s">
        <v>27</v>
      </c>
      <c r="C116" s="11"/>
      <c r="D116" s="11"/>
      <c r="E116" s="20">
        <f>SUBTOTAL(9,E103:E115)</f>
        <v>7359.7790000000005</v>
      </c>
      <c r="F116" s="21">
        <f>E116</f>
        <v>7359.7790000000005</v>
      </c>
      <c r="G116" s="20">
        <f>SUBTOTAL(9,G103:G115)</f>
        <v>2341.9079999999999</v>
      </c>
      <c r="H116" s="20">
        <f>SUBTOTAL(9,H103:H115)</f>
        <v>9701.6869999999999</v>
      </c>
      <c r="I116" s="15"/>
      <c r="J116" s="16"/>
      <c r="K116" s="18"/>
    </row>
    <row r="117" spans="1:14" ht="18" x14ac:dyDescent="0.35">
      <c r="A117" s="19"/>
      <c r="B117" s="11"/>
      <c r="C117" s="11"/>
      <c r="D117" s="11"/>
      <c r="E117" s="12"/>
      <c r="F117" s="13"/>
      <c r="G117" s="13"/>
      <c r="H117" s="20"/>
      <c r="I117" s="15"/>
      <c r="J117" s="16"/>
      <c r="K117" s="18"/>
    </row>
    <row r="118" spans="1:14" ht="19.5" customHeight="1" x14ac:dyDescent="0.35">
      <c r="A118" s="10">
        <v>44966</v>
      </c>
      <c r="B118" s="11" t="s">
        <v>98</v>
      </c>
      <c r="C118" s="11" t="s">
        <v>99</v>
      </c>
      <c r="D118" s="11" t="s">
        <v>13</v>
      </c>
      <c r="E118" s="28">
        <f t="shared" ref="E118" si="18">H118-G118</f>
        <v>-24.771000000000065</v>
      </c>
      <c r="F118" s="21"/>
      <c r="G118" s="22">
        <v>50</v>
      </c>
      <c r="H118" s="22">
        <f>315.85+80-75.17+25-73.4-79.99+70-25.09-25.06-72.64-83.09-24.59+25+50-54.78+23.059-24.94-24.93</f>
        <v>25.228999999999935</v>
      </c>
      <c r="I118" s="15" t="s">
        <v>21</v>
      </c>
      <c r="J118" s="16"/>
      <c r="K118" s="18">
        <v>630.5353442094663</v>
      </c>
      <c r="M118">
        <v>25.228999999999814</v>
      </c>
      <c r="N118">
        <v>5.2190000000000509</v>
      </c>
    </row>
    <row r="119" spans="1:14" ht="19.5" customHeight="1" x14ac:dyDescent="0.35">
      <c r="A119" s="10">
        <v>45050</v>
      </c>
      <c r="B119" s="11" t="s">
        <v>217</v>
      </c>
      <c r="C119" s="11" t="s">
        <v>99</v>
      </c>
      <c r="D119" s="11" t="s">
        <v>13</v>
      </c>
      <c r="E119" s="28">
        <f t="shared" ref="E119" si="19">H119-G119</f>
        <v>-24.771000000000065</v>
      </c>
      <c r="F119" s="21"/>
      <c r="G119" s="22">
        <v>50</v>
      </c>
      <c r="H119" s="22">
        <f>315.85+80-75.17+25-73.4-79.99+70-25.09-25.06-72.64-83.09-24.59+25+50-54.78+23.059-24.94-24.93</f>
        <v>25.228999999999935</v>
      </c>
      <c r="I119" s="15" t="s">
        <v>21</v>
      </c>
      <c r="J119" s="16"/>
      <c r="K119" s="18">
        <v>630.5353442094663</v>
      </c>
      <c r="M119">
        <v>2.0800000000000978</v>
      </c>
      <c r="N119">
        <v>-129.0200000000001</v>
      </c>
    </row>
    <row r="120" spans="1:14" ht="19.5" customHeight="1" x14ac:dyDescent="0.35">
      <c r="A120" s="10">
        <v>45050</v>
      </c>
      <c r="B120" s="11" t="s">
        <v>218</v>
      </c>
      <c r="C120" s="11" t="s">
        <v>99</v>
      </c>
      <c r="D120" s="11" t="s">
        <v>13</v>
      </c>
      <c r="E120" s="28">
        <f t="shared" ref="E120" si="20">H120-G120</f>
        <v>-24.771000000000065</v>
      </c>
      <c r="F120" s="21"/>
      <c r="G120" s="22">
        <v>50</v>
      </c>
      <c r="H120" s="22">
        <f>315.85+80-75.17+25-73.4-79.99+70-25.09-25.06-72.64-83.09-24.59+25+50-54.78+23.059-24.94-24.93</f>
        <v>25.228999999999935</v>
      </c>
      <c r="I120" s="15" t="s">
        <v>21</v>
      </c>
      <c r="J120" s="16"/>
      <c r="K120" s="18">
        <v>630.5353442094663</v>
      </c>
      <c r="M120">
        <v>845.08300000000008</v>
      </c>
      <c r="N120">
        <v>526.77300000000002</v>
      </c>
    </row>
    <row r="121" spans="1:14" ht="19.5" customHeight="1" x14ac:dyDescent="0.35">
      <c r="A121" s="10"/>
      <c r="B121" s="26" t="s">
        <v>27</v>
      </c>
      <c r="C121" s="11"/>
      <c r="D121" s="11"/>
      <c r="E121" s="20">
        <f>SUBTOTAL(9,E120:E120)</f>
        <v>-24.771000000000065</v>
      </c>
      <c r="F121" s="21">
        <f>E121</f>
        <v>-24.771000000000065</v>
      </c>
      <c r="G121" s="20">
        <f>SUBTOTAL(9,G120:G120)</f>
        <v>50</v>
      </c>
      <c r="H121" s="20">
        <f>SUBTOTAL(9,H120:H120)</f>
        <v>25.228999999999935</v>
      </c>
      <c r="I121" s="15"/>
      <c r="J121" s="16"/>
      <c r="K121" s="18"/>
    </row>
    <row r="122" spans="1:14" ht="18" x14ac:dyDescent="0.35">
      <c r="A122" s="19"/>
      <c r="B122" s="26"/>
      <c r="C122" s="11"/>
      <c r="D122" s="11"/>
      <c r="E122" s="13"/>
      <c r="F122" s="13"/>
      <c r="G122" s="20"/>
      <c r="H122" s="20"/>
      <c r="I122" s="15"/>
      <c r="J122" s="16"/>
      <c r="K122" s="18"/>
    </row>
    <row r="123" spans="1:14" ht="18" x14ac:dyDescent="0.35">
      <c r="A123" s="10">
        <v>44997</v>
      </c>
      <c r="B123" s="11" t="s">
        <v>100</v>
      </c>
      <c r="C123" s="11" t="s">
        <v>101</v>
      </c>
      <c r="D123" s="11" t="s">
        <v>9</v>
      </c>
      <c r="E123" s="12">
        <f>H123-G123</f>
        <v>0</v>
      </c>
      <c r="F123" s="13"/>
      <c r="G123" s="22">
        <f>92.929-24.86-24.93</f>
        <v>43.139000000000003</v>
      </c>
      <c r="H123" s="22">
        <f>92.929-24.86-24.93</f>
        <v>43.139000000000003</v>
      </c>
      <c r="I123" s="15" t="s">
        <v>47</v>
      </c>
      <c r="J123" s="16"/>
      <c r="K123" s="18">
        <v>1120.1930576716391</v>
      </c>
      <c r="M123">
        <v>43.138999999999953</v>
      </c>
      <c r="N123">
        <v>-109.35099999999994</v>
      </c>
    </row>
    <row r="124" spans="1:14" s="52" customFormat="1" ht="18" x14ac:dyDescent="0.35">
      <c r="A124" s="45">
        <v>45018</v>
      </c>
      <c r="B124" s="31" t="s">
        <v>102</v>
      </c>
      <c r="C124" s="31" t="s">
        <v>101</v>
      </c>
      <c r="D124" s="31" t="s">
        <v>9</v>
      </c>
      <c r="E124" s="46">
        <f>H124-G124-50</f>
        <v>565.18500000000006</v>
      </c>
      <c r="F124" s="54"/>
      <c r="G124" s="48">
        <f>275+15-15-18.86-22.05+25-24.9-27.64</f>
        <v>206.54999999999995</v>
      </c>
      <c r="H124" s="48">
        <f>1026.455-31.27-9.83-24.68-30.85-14.64-18.86-22.05-24.9-27.64</f>
        <v>821.73500000000001</v>
      </c>
      <c r="I124" s="49" t="s">
        <v>47</v>
      </c>
      <c r="J124" s="30" t="s">
        <v>103</v>
      </c>
      <c r="K124" s="51"/>
      <c r="M124" s="52" t="e">
        <v>#N/A</v>
      </c>
      <c r="N124" s="52" t="e">
        <v>#N/A</v>
      </c>
    </row>
    <row r="125" spans="1:14" ht="18" x14ac:dyDescent="0.35">
      <c r="A125" s="19"/>
      <c r="B125" s="26" t="s">
        <v>27</v>
      </c>
      <c r="C125" s="11"/>
      <c r="D125" s="11"/>
      <c r="E125" s="20">
        <f>SUBTOTAL(9,E123:E124)</f>
        <v>565.18500000000006</v>
      </c>
      <c r="F125" s="21">
        <f>E125</f>
        <v>565.18500000000006</v>
      </c>
      <c r="G125" s="20">
        <f>SUBTOTAL(9,G123:G124)</f>
        <v>249.68899999999996</v>
      </c>
      <c r="H125" s="20">
        <f>SUBTOTAL(9,H123:H124)</f>
        <v>864.87400000000002</v>
      </c>
      <c r="I125" s="15"/>
      <c r="J125" s="16"/>
      <c r="K125" s="18"/>
    </row>
    <row r="126" spans="1:14" ht="18" x14ac:dyDescent="0.35">
      <c r="A126" s="19"/>
      <c r="B126" s="26"/>
      <c r="C126" s="11"/>
      <c r="D126" s="11"/>
      <c r="E126" s="13"/>
      <c r="F126" s="13"/>
      <c r="G126" s="13"/>
      <c r="H126" s="20"/>
      <c r="I126" s="15"/>
      <c r="J126" s="16"/>
      <c r="K126" s="18"/>
    </row>
    <row r="127" spans="1:14" ht="18" x14ac:dyDescent="0.35">
      <c r="A127" s="10">
        <v>44919</v>
      </c>
      <c r="B127" s="11" t="s">
        <v>104</v>
      </c>
      <c r="C127" s="11" t="s">
        <v>105</v>
      </c>
      <c r="D127" s="11" t="s">
        <v>9</v>
      </c>
      <c r="E127" s="12">
        <f>H127-G127</f>
        <v>0</v>
      </c>
      <c r="F127" s="21"/>
      <c r="G127" s="22">
        <v>127.99299999999999</v>
      </c>
      <c r="H127" s="22">
        <v>127.99299999999999</v>
      </c>
      <c r="I127" s="15" t="s">
        <v>47</v>
      </c>
      <c r="J127" s="16"/>
      <c r="K127" s="18">
        <v>1295.2259126271699</v>
      </c>
      <c r="M127">
        <v>20.188000000000102</v>
      </c>
      <c r="N127">
        <v>-33.652000000000044</v>
      </c>
    </row>
    <row r="128" spans="1:14" ht="18" x14ac:dyDescent="0.35">
      <c r="A128" s="10">
        <v>44943</v>
      </c>
      <c r="B128" s="11" t="s">
        <v>106</v>
      </c>
      <c r="C128" s="11" t="s">
        <v>105</v>
      </c>
      <c r="D128" s="11" t="s">
        <v>9</v>
      </c>
      <c r="E128" s="12">
        <f>H128-G128</f>
        <v>698.60799999999995</v>
      </c>
      <c r="F128" s="21"/>
      <c r="G128" s="22">
        <f>141+95-46.5-65.53-24.46</f>
        <v>99.509999999999991</v>
      </c>
      <c r="H128" s="22">
        <f>934.608-46.5-65.53-24.46</f>
        <v>798.11799999999994</v>
      </c>
      <c r="I128" s="15" t="s">
        <v>47</v>
      </c>
      <c r="J128" s="16"/>
      <c r="K128" s="18">
        <v>1210</v>
      </c>
      <c r="M128">
        <v>637.31799999999998</v>
      </c>
      <c r="N128">
        <v>428.04800000000012</v>
      </c>
    </row>
    <row r="129" spans="1:14" ht="18" x14ac:dyDescent="0.35">
      <c r="A129" s="10"/>
      <c r="B129" s="26" t="s">
        <v>27</v>
      </c>
      <c r="C129" s="11"/>
      <c r="D129" s="11"/>
      <c r="E129" s="20">
        <f>SUBTOTAL(9,E127:E128)</f>
        <v>698.60799999999995</v>
      </c>
      <c r="F129" s="21">
        <f>E129</f>
        <v>698.60799999999995</v>
      </c>
      <c r="G129" s="20">
        <f>SUBTOTAL(9,G127:G128)</f>
        <v>227.50299999999999</v>
      </c>
      <c r="H129" s="20">
        <f>SUBTOTAL(9,H127:H128)</f>
        <v>926.11099999999988</v>
      </c>
      <c r="I129" s="15"/>
      <c r="J129" s="16"/>
      <c r="K129" s="18"/>
    </row>
    <row r="130" spans="1:14" ht="18" x14ac:dyDescent="0.35">
      <c r="A130" s="19"/>
      <c r="B130" s="26"/>
      <c r="C130" s="11"/>
      <c r="D130" s="11"/>
      <c r="E130" s="13"/>
      <c r="F130" s="13"/>
      <c r="G130" s="13"/>
      <c r="H130" s="27"/>
      <c r="I130" s="15"/>
      <c r="J130" s="16"/>
      <c r="K130" s="18"/>
    </row>
    <row r="131" spans="1:14" ht="18" x14ac:dyDescent="0.35">
      <c r="A131" s="10">
        <v>44722</v>
      </c>
      <c r="B131" s="11" t="s">
        <v>107</v>
      </c>
      <c r="C131" s="11" t="s">
        <v>108</v>
      </c>
      <c r="D131" s="11" t="s">
        <v>9</v>
      </c>
      <c r="E131" s="12">
        <f>H131-G131</f>
        <v>1.159</v>
      </c>
      <c r="F131" s="13"/>
      <c r="G131" s="22">
        <v>0</v>
      </c>
      <c r="H131" s="22">
        <v>1.159</v>
      </c>
      <c r="I131" s="15" t="s">
        <v>109</v>
      </c>
      <c r="J131" s="16"/>
      <c r="K131" s="18">
        <v>1890</v>
      </c>
      <c r="M131">
        <v>1.1590000000001055</v>
      </c>
      <c r="N131">
        <v>2.3740000000001009</v>
      </c>
    </row>
    <row r="132" spans="1:14" ht="18" x14ac:dyDescent="0.35">
      <c r="A132" s="10">
        <v>44930</v>
      </c>
      <c r="B132" s="11" t="s">
        <v>110</v>
      </c>
      <c r="C132" s="11" t="s">
        <v>108</v>
      </c>
      <c r="D132" s="11" t="s">
        <v>13</v>
      </c>
      <c r="E132" s="12">
        <f>H132-G132</f>
        <v>109.333</v>
      </c>
      <c r="F132" s="13"/>
      <c r="G132" s="22">
        <f>202.96+84-24.9-23.42-21.06-22.59</f>
        <v>194.99000000000004</v>
      </c>
      <c r="H132" s="22">
        <f>396.293-24.9-23.42-21.06-22.59</f>
        <v>304.32300000000004</v>
      </c>
      <c r="I132" s="15" t="s">
        <v>21</v>
      </c>
      <c r="J132" s="16"/>
      <c r="K132" s="18">
        <v>1536.9055918352899</v>
      </c>
      <c r="M132">
        <v>244.01300000000026</v>
      </c>
      <c r="N132">
        <v>-14.797000000000025</v>
      </c>
    </row>
    <row r="133" spans="1:14" ht="18" x14ac:dyDescent="0.35">
      <c r="A133" s="10">
        <v>45005</v>
      </c>
      <c r="B133" s="11" t="s">
        <v>111</v>
      </c>
      <c r="C133" s="11" t="s">
        <v>108</v>
      </c>
      <c r="D133" s="11" t="s">
        <v>13</v>
      </c>
      <c r="E133" s="12">
        <f>H133-G133</f>
        <v>520.96699999999998</v>
      </c>
      <c r="F133" s="13"/>
      <c r="G133" s="22">
        <v>0</v>
      </c>
      <c r="H133" s="22">
        <v>520.96699999999998</v>
      </c>
      <c r="I133" s="15" t="s">
        <v>21</v>
      </c>
      <c r="J133" s="16"/>
      <c r="K133" s="18">
        <v>1403.23329522019</v>
      </c>
      <c r="M133">
        <v>498.50700000000001</v>
      </c>
      <c r="N133">
        <v>520.96699999999998</v>
      </c>
    </row>
    <row r="134" spans="1:14" ht="18" x14ac:dyDescent="0.35">
      <c r="A134" s="19"/>
      <c r="B134" s="26" t="s">
        <v>27</v>
      </c>
      <c r="C134" s="11"/>
      <c r="D134" s="11"/>
      <c r="E134" s="20">
        <f>SUBTOTAL(9,E131:E133)</f>
        <v>631.45899999999995</v>
      </c>
      <c r="F134" s="21">
        <f>E134</f>
        <v>631.45899999999995</v>
      </c>
      <c r="G134" s="20">
        <f>SUBTOTAL(9,G131:G133)</f>
        <v>194.99000000000004</v>
      </c>
      <c r="H134" s="20">
        <f>SUBTOTAL(9,H131:H133)</f>
        <v>826.44900000000007</v>
      </c>
      <c r="I134" s="15"/>
      <c r="J134" s="16"/>
      <c r="K134" s="18"/>
    </row>
    <row r="135" spans="1:14" ht="18" x14ac:dyDescent="0.35">
      <c r="A135" s="19"/>
      <c r="B135" s="26"/>
      <c r="C135" s="11"/>
      <c r="D135" s="11" t="s">
        <v>112</v>
      </c>
      <c r="E135" s="13"/>
      <c r="F135" s="13"/>
      <c r="G135" s="13"/>
      <c r="H135" s="27"/>
      <c r="I135" s="15"/>
      <c r="J135" s="16"/>
      <c r="K135" s="18"/>
    </row>
    <row r="136" spans="1:14" ht="18" x14ac:dyDescent="0.35">
      <c r="A136" s="10">
        <v>44969</v>
      </c>
      <c r="B136" s="11" t="s">
        <v>113</v>
      </c>
      <c r="C136" s="11" t="s">
        <v>114</v>
      </c>
      <c r="D136" s="11" t="s">
        <v>9</v>
      </c>
      <c r="E136" s="12">
        <f>H136-G136</f>
        <v>0</v>
      </c>
      <c r="F136" s="21"/>
      <c r="G136" s="22">
        <f>157+25-29.47+28-73.59+15.553-8.05-46.35</f>
        <v>68.092999999999989</v>
      </c>
      <c r="H136" s="22">
        <f>157+25-29.47+28-73.59+15.553-8.05-46.35</f>
        <v>68.092999999999989</v>
      </c>
      <c r="I136" s="15" t="s">
        <v>23</v>
      </c>
      <c r="J136" s="16"/>
      <c r="K136" s="18">
        <v>1192.5</v>
      </c>
      <c r="M136">
        <v>18.252999999999702</v>
      </c>
      <c r="N136">
        <v>-15.037000000000035</v>
      </c>
    </row>
    <row r="137" spans="1:14" s="52" customFormat="1" ht="18" x14ac:dyDescent="0.35">
      <c r="A137" s="45">
        <v>44988</v>
      </c>
      <c r="B137" s="31" t="s">
        <v>115</v>
      </c>
      <c r="C137" s="31" t="s">
        <v>114</v>
      </c>
      <c r="D137" s="31" t="s">
        <v>9</v>
      </c>
      <c r="E137" s="46">
        <f>H137-G137</f>
        <v>0</v>
      </c>
      <c r="F137" s="53"/>
      <c r="G137" s="48">
        <v>142.80500000000001</v>
      </c>
      <c r="H137" s="48">
        <v>142.80500000000001</v>
      </c>
      <c r="I137" s="49" t="s">
        <v>23</v>
      </c>
      <c r="J137" s="50"/>
      <c r="K137" s="51">
        <v>1113.50001746725</v>
      </c>
      <c r="M137" s="52" t="e">
        <v>#N/A</v>
      </c>
      <c r="N137" s="52">
        <v>42.50500000000001</v>
      </c>
    </row>
    <row r="138" spans="1:14" ht="18" x14ac:dyDescent="0.35">
      <c r="A138" s="10">
        <v>45041</v>
      </c>
      <c r="B138" s="11" t="s">
        <v>116</v>
      </c>
      <c r="C138" s="11" t="s">
        <v>114</v>
      </c>
      <c r="D138" s="11" t="s">
        <v>13</v>
      </c>
      <c r="E138" s="12">
        <f>H138-G138</f>
        <v>594.98399999999992</v>
      </c>
      <c r="F138" s="21"/>
      <c r="G138" s="22">
        <f>100+71+60-20.85+60+160-33.82</f>
        <v>396.33</v>
      </c>
      <c r="H138" s="22">
        <f>1045.984-20.85-33.82</f>
        <v>991.31399999999996</v>
      </c>
      <c r="I138" s="15" t="s">
        <v>21</v>
      </c>
      <c r="J138" s="16"/>
      <c r="K138" s="18"/>
      <c r="M138">
        <v>264.24400000000014</v>
      </c>
      <c r="N138">
        <v>-7.7559999999998581</v>
      </c>
    </row>
    <row r="139" spans="1:14" ht="18" x14ac:dyDescent="0.35">
      <c r="A139" s="10"/>
      <c r="B139" s="26" t="s">
        <v>27</v>
      </c>
      <c r="C139" s="11"/>
      <c r="D139" s="11"/>
      <c r="E139" s="20">
        <f>SUBTOTAL(9,E136:E138)</f>
        <v>594.98399999999992</v>
      </c>
      <c r="F139" s="21">
        <f>E139</f>
        <v>594.98399999999992</v>
      </c>
      <c r="G139" s="20">
        <f>SUBTOTAL(9,G136:G138)</f>
        <v>607.22799999999995</v>
      </c>
      <c r="H139" s="20">
        <f>SUBTOTAL(9,H136:H138)</f>
        <v>1202.212</v>
      </c>
      <c r="I139" s="15"/>
      <c r="J139" s="16"/>
      <c r="K139" s="18"/>
    </row>
    <row r="140" spans="1:14" ht="18" x14ac:dyDescent="0.35">
      <c r="A140" s="19"/>
      <c r="B140" s="26"/>
      <c r="C140" s="11"/>
      <c r="D140" s="11"/>
      <c r="E140" s="13"/>
      <c r="F140" s="13"/>
      <c r="G140" s="13"/>
      <c r="H140" s="27"/>
      <c r="I140" s="15"/>
      <c r="J140" s="16"/>
      <c r="K140" s="18"/>
    </row>
    <row r="141" spans="1:14" ht="18" x14ac:dyDescent="0.35">
      <c r="A141" s="10">
        <v>44904</v>
      </c>
      <c r="B141" s="11" t="s">
        <v>117</v>
      </c>
      <c r="C141" s="11" t="s">
        <v>118</v>
      </c>
      <c r="D141" s="11" t="s">
        <v>9</v>
      </c>
      <c r="E141" s="12">
        <f>H141-G141</f>
        <v>0</v>
      </c>
      <c r="F141" s="13"/>
      <c r="G141" s="22">
        <v>21.393999999999998</v>
      </c>
      <c r="H141" s="22">
        <v>21.393999999999998</v>
      </c>
      <c r="I141" s="15" t="s">
        <v>47</v>
      </c>
      <c r="J141" s="16"/>
      <c r="K141" s="18">
        <v>903.07</v>
      </c>
      <c r="M141">
        <v>21.503999999999678</v>
      </c>
      <c r="N141">
        <v>-5.6960000000000264</v>
      </c>
    </row>
    <row r="142" spans="1:14" s="52" customFormat="1" ht="18" x14ac:dyDescent="0.35">
      <c r="A142" s="45">
        <v>44989</v>
      </c>
      <c r="B142" s="31" t="s">
        <v>119</v>
      </c>
      <c r="C142" s="31" t="s">
        <v>118</v>
      </c>
      <c r="D142" s="31" t="s">
        <v>9</v>
      </c>
      <c r="E142" s="46">
        <f>H142-G142</f>
        <v>185.75800000000004</v>
      </c>
      <c r="F142" s="54"/>
      <c r="G142" s="48">
        <f>331.51-38.9-14.82-43.91+26+39-25.23</f>
        <v>273.64999999999998</v>
      </c>
      <c r="H142" s="48">
        <f>582.268-38.9-14.82-43.91-25.23</f>
        <v>459.40800000000002</v>
      </c>
      <c r="I142" s="49" t="s">
        <v>47</v>
      </c>
      <c r="J142" s="50"/>
      <c r="K142" s="51">
        <v>936.89</v>
      </c>
      <c r="M142" s="52">
        <v>181.09800000000007</v>
      </c>
      <c r="N142" s="52">
        <v>-223.16199999999981</v>
      </c>
    </row>
    <row r="143" spans="1:14" ht="18" x14ac:dyDescent="0.35">
      <c r="A143" s="10">
        <v>45036</v>
      </c>
      <c r="B143" s="11" t="s">
        <v>120</v>
      </c>
      <c r="C143" s="11" t="s">
        <v>118</v>
      </c>
      <c r="D143" s="11" t="s">
        <v>9</v>
      </c>
      <c r="E143" s="12">
        <f>H143-G143</f>
        <v>1061.152</v>
      </c>
      <c r="F143" s="13"/>
      <c r="G143" s="22">
        <v>0</v>
      </c>
      <c r="H143" s="22">
        <v>1061.152</v>
      </c>
      <c r="I143" s="15" t="s">
        <v>47</v>
      </c>
      <c r="J143" s="16"/>
      <c r="K143" s="18"/>
      <c r="M143">
        <v>1061.152</v>
      </c>
      <c r="N143">
        <v>1061.152</v>
      </c>
    </row>
    <row r="144" spans="1:14" ht="18" x14ac:dyDescent="0.35">
      <c r="A144" s="19"/>
      <c r="B144" s="26" t="s">
        <v>27</v>
      </c>
      <c r="C144" s="11"/>
      <c r="D144" s="11"/>
      <c r="E144" s="20">
        <f>SUBTOTAL(9,E141:E143)</f>
        <v>1246.9100000000001</v>
      </c>
      <c r="F144" s="21">
        <f>E144</f>
        <v>1246.9100000000001</v>
      </c>
      <c r="G144" s="20">
        <f>SUBTOTAL(9,G141:G143)</f>
        <v>295.04399999999998</v>
      </c>
      <c r="H144" s="20">
        <f>SUBTOTAL(9,H141:H143)</f>
        <v>1541.9540000000002</v>
      </c>
      <c r="I144" s="15"/>
      <c r="J144" s="16"/>
      <c r="K144" s="18"/>
    </row>
    <row r="145" spans="1:14" ht="18" x14ac:dyDescent="0.35">
      <c r="A145" s="19"/>
      <c r="B145" s="11"/>
      <c r="C145" s="11"/>
      <c r="D145" s="11"/>
      <c r="E145" s="13"/>
      <c r="F145" s="13"/>
      <c r="G145" s="13"/>
      <c r="H145" s="27"/>
      <c r="I145" s="15"/>
      <c r="J145" s="16"/>
      <c r="K145" s="18"/>
    </row>
    <row r="146" spans="1:14" ht="18" x14ac:dyDescent="0.35">
      <c r="A146" s="10">
        <v>44892</v>
      </c>
      <c r="B146" s="11" t="s">
        <v>121</v>
      </c>
      <c r="C146" s="11" t="s">
        <v>122</v>
      </c>
      <c r="D146" s="11" t="s">
        <v>9</v>
      </c>
      <c r="E146" s="12">
        <f t="shared" ref="E146:E151" si="21">H146-G146</f>
        <v>0</v>
      </c>
      <c r="F146" s="13"/>
      <c r="G146" s="22">
        <v>17.344000000000001</v>
      </c>
      <c r="H146" s="22">
        <v>17.344000000000001</v>
      </c>
      <c r="I146" s="15" t="s">
        <v>123</v>
      </c>
      <c r="J146" s="16"/>
      <c r="K146" s="18">
        <v>1130.0261544645684</v>
      </c>
      <c r="M146">
        <v>7.1659999999992579</v>
      </c>
      <c r="N146">
        <v>-113.59400000000051</v>
      </c>
    </row>
    <row r="147" spans="1:14" ht="18" x14ac:dyDescent="0.35">
      <c r="A147" s="10">
        <v>44566</v>
      </c>
      <c r="B147" s="11" t="s">
        <v>91</v>
      </c>
      <c r="C147" s="11" t="s">
        <v>122</v>
      </c>
      <c r="D147" s="11" t="s">
        <v>9</v>
      </c>
      <c r="E147" s="12">
        <f t="shared" si="21"/>
        <v>0</v>
      </c>
      <c r="F147" s="13"/>
      <c r="G147" s="22">
        <f>430.861-47.99-108.69-26.42-8.65</f>
        <v>239.11099999999996</v>
      </c>
      <c r="H147" s="22">
        <f>430.861-47.99-108.69-26.42-8.65</f>
        <v>239.11099999999996</v>
      </c>
      <c r="I147" s="15" t="s">
        <v>47</v>
      </c>
      <c r="J147" s="16"/>
      <c r="K147" s="18">
        <v>1037.0283001737214</v>
      </c>
      <c r="M147">
        <v>0</v>
      </c>
      <c r="N147">
        <v>-7.3299999999999272</v>
      </c>
    </row>
    <row r="148" spans="1:14" ht="18" x14ac:dyDescent="0.35">
      <c r="A148" s="10">
        <v>44976</v>
      </c>
      <c r="B148" s="11" t="s">
        <v>124</v>
      </c>
      <c r="C148" s="11" t="s">
        <v>122</v>
      </c>
      <c r="D148" s="11" t="s">
        <v>9</v>
      </c>
      <c r="E148" s="12">
        <f t="shared" si="21"/>
        <v>0</v>
      </c>
      <c r="F148" s="13"/>
      <c r="G148" s="22">
        <v>43.515000000000001</v>
      </c>
      <c r="H148" s="22">
        <v>43.515000000000001</v>
      </c>
      <c r="I148" s="15" t="s">
        <v>125</v>
      </c>
      <c r="J148" s="16"/>
      <c r="K148" s="18">
        <v>985.84867135170271</v>
      </c>
      <c r="M148">
        <v>14.536000000000058</v>
      </c>
      <c r="N148">
        <v>-107.52399999999989</v>
      </c>
    </row>
    <row r="149" spans="1:14" ht="18" x14ac:dyDescent="0.35">
      <c r="A149" s="10">
        <v>44997</v>
      </c>
      <c r="B149" s="11" t="s">
        <v>199</v>
      </c>
      <c r="C149" s="11" t="s">
        <v>122</v>
      </c>
      <c r="D149" s="11" t="s">
        <v>9</v>
      </c>
      <c r="E149" s="12">
        <f t="shared" ref="E149" si="22">H149-G149</f>
        <v>799.86000000000013</v>
      </c>
      <c r="F149" s="13"/>
      <c r="G149" s="22">
        <f>2102-54.7+20-35.94+75-38.14</f>
        <v>2068.2200000000003</v>
      </c>
      <c r="H149" s="22">
        <f>2996.86-54.7-35.94-38.14</f>
        <v>2868.0800000000004</v>
      </c>
      <c r="I149" s="15" t="s">
        <v>47</v>
      </c>
      <c r="J149" s="16"/>
      <c r="K149" s="18">
        <v>1023.11824649209</v>
      </c>
      <c r="M149">
        <v>574.23272425249172</v>
      </c>
      <c r="N149">
        <v>-324.31727574750812</v>
      </c>
    </row>
    <row r="150" spans="1:14" ht="18" x14ac:dyDescent="0.35">
      <c r="A150" s="10">
        <v>44997</v>
      </c>
      <c r="B150" s="11" t="s">
        <v>200</v>
      </c>
      <c r="C150" s="11" t="s">
        <v>122</v>
      </c>
      <c r="D150" s="11" t="s">
        <v>9</v>
      </c>
      <c r="E150" s="12">
        <f t="shared" si="21"/>
        <v>799.86000000000013</v>
      </c>
      <c r="F150" s="13"/>
      <c r="G150" s="22">
        <f>2102-54.7+20-35.94+75-38.14</f>
        <v>2068.2200000000003</v>
      </c>
      <c r="H150" s="22">
        <f>2996.86-54.7-35.94-38.14</f>
        <v>2868.0800000000004</v>
      </c>
      <c r="I150" s="15" t="s">
        <v>47</v>
      </c>
      <c r="J150" s="16"/>
      <c r="K150" s="18">
        <v>1023.11824649209</v>
      </c>
      <c r="M150">
        <v>1996.2472757475084</v>
      </c>
      <c r="N150">
        <v>1971.2472757475084</v>
      </c>
    </row>
    <row r="151" spans="1:14" ht="18" x14ac:dyDescent="0.35">
      <c r="A151" s="10">
        <v>45028</v>
      </c>
      <c r="B151" s="11" t="s">
        <v>126</v>
      </c>
      <c r="C151" s="11" t="s">
        <v>122</v>
      </c>
      <c r="D151" s="11" t="s">
        <v>9</v>
      </c>
      <c r="E151" s="12">
        <f t="shared" si="21"/>
        <v>523.26700000000005</v>
      </c>
      <c r="F151" s="13"/>
      <c r="G151" s="22">
        <v>0</v>
      </c>
      <c r="H151" s="22">
        <v>523.26700000000005</v>
      </c>
      <c r="I151" s="15" t="s">
        <v>32</v>
      </c>
      <c r="J151" s="16"/>
      <c r="K151" s="18">
        <v>1009.47</v>
      </c>
      <c r="M151">
        <v>523.26700000000005</v>
      </c>
      <c r="N151">
        <v>523.26700000000005</v>
      </c>
    </row>
    <row r="152" spans="1:14" ht="18" x14ac:dyDescent="0.35">
      <c r="A152" s="19"/>
      <c r="B152" s="26" t="s">
        <v>27</v>
      </c>
      <c r="C152" s="11"/>
      <c r="D152" s="11"/>
      <c r="E152" s="20">
        <f>SUBTOTAL(9,E146:E151)</f>
        <v>2122.9870000000001</v>
      </c>
      <c r="F152" s="21">
        <f>E152</f>
        <v>2122.9870000000001</v>
      </c>
      <c r="G152" s="20">
        <f>SUBTOTAL(9,G146:G151)</f>
        <v>4436.41</v>
      </c>
      <c r="H152" s="20">
        <f>SUBTOTAL(9,H146:H151)</f>
        <v>6559.3970000000008</v>
      </c>
      <c r="I152" s="15"/>
      <c r="J152" s="16"/>
      <c r="K152" s="18"/>
    </row>
    <row r="153" spans="1:14" ht="18" x14ac:dyDescent="0.35">
      <c r="A153" s="19"/>
      <c r="B153" s="26"/>
      <c r="C153" s="11"/>
      <c r="D153" s="11"/>
      <c r="E153" s="13"/>
      <c r="F153" s="13"/>
      <c r="G153" s="13"/>
      <c r="H153" s="27"/>
      <c r="I153" s="15"/>
      <c r="J153" s="16"/>
      <c r="K153" s="18"/>
    </row>
    <row r="154" spans="1:14" ht="18" x14ac:dyDescent="0.35">
      <c r="A154" s="10">
        <v>44993</v>
      </c>
      <c r="B154" s="11" t="s">
        <v>129</v>
      </c>
      <c r="C154" s="31" t="s">
        <v>127</v>
      </c>
      <c r="D154" s="11" t="s">
        <v>9</v>
      </c>
      <c r="E154" s="12">
        <f t="shared" ref="E154:E161" si="23">H154-G154</f>
        <v>0</v>
      </c>
      <c r="F154" s="13"/>
      <c r="G154" s="22">
        <f>100.894-23.42-25.1-49.38</f>
        <v>2.9939999999999998</v>
      </c>
      <c r="H154" s="22">
        <f>100.894-23.42-25.1-49.38</f>
        <v>2.9939999999999998</v>
      </c>
      <c r="I154" s="15" t="s">
        <v>130</v>
      </c>
      <c r="J154" s="16"/>
      <c r="K154" s="18">
        <v>1007.5023796576164</v>
      </c>
      <c r="M154">
        <v>0.31000000000005912</v>
      </c>
      <c r="N154">
        <v>-91.759999999999991</v>
      </c>
    </row>
    <row r="155" spans="1:14" ht="18" x14ac:dyDescent="0.35">
      <c r="A155" s="10">
        <v>44997</v>
      </c>
      <c r="B155" s="11" t="s">
        <v>201</v>
      </c>
      <c r="C155" s="31" t="s">
        <v>127</v>
      </c>
      <c r="D155" s="11" t="s">
        <v>9</v>
      </c>
      <c r="E155" s="12">
        <f t="shared" ref="E155" si="24">H155-G155</f>
        <v>1057.0990000000002</v>
      </c>
      <c r="F155" s="13"/>
      <c r="G155" s="22">
        <f>1020-190.4-17.98-29.79+95-23.12-22.36+24-59.13</f>
        <v>796.22</v>
      </c>
      <c r="H155" s="22">
        <f>2196.099-190.4-17.98-29.79-23.12-22.36-59.13</f>
        <v>1853.3190000000002</v>
      </c>
      <c r="I155" s="15" t="s">
        <v>131</v>
      </c>
      <c r="J155" s="16"/>
      <c r="K155" s="18">
        <v>1067.6300000000001</v>
      </c>
      <c r="M155">
        <v>972.65697182713143</v>
      </c>
      <c r="N155">
        <v>791.95397182713145</v>
      </c>
    </row>
    <row r="156" spans="1:14" ht="18" x14ac:dyDescent="0.35">
      <c r="A156" s="10">
        <v>44997</v>
      </c>
      <c r="B156" s="11" t="s">
        <v>202</v>
      </c>
      <c r="C156" s="31" t="s">
        <v>127</v>
      </c>
      <c r="D156" s="11" t="s">
        <v>9</v>
      </c>
      <c r="E156" s="12">
        <f t="shared" si="23"/>
        <v>1057.0990000000002</v>
      </c>
      <c r="F156" s="13"/>
      <c r="G156" s="22">
        <f>1020-190.4-17.98-29.79+95-23.12-22.36+24-59.13</f>
        <v>796.22</v>
      </c>
      <c r="H156" s="22">
        <f>2196.099-190.4-17.98-29.79-23.12-22.36-59.13</f>
        <v>1853.3190000000002</v>
      </c>
      <c r="I156" s="15" t="s">
        <v>131</v>
      </c>
      <c r="J156" s="16"/>
      <c r="K156" s="18">
        <v>1067.6300000000001</v>
      </c>
      <c r="M156">
        <v>0</v>
      </c>
      <c r="N156">
        <v>-371.25699999999949</v>
      </c>
    </row>
    <row r="157" spans="1:14" ht="18" x14ac:dyDescent="0.35">
      <c r="A157" s="10">
        <v>45028</v>
      </c>
      <c r="B157" s="11" t="s">
        <v>132</v>
      </c>
      <c r="C157" s="31" t="s">
        <v>127</v>
      </c>
      <c r="D157" s="11" t="s">
        <v>9</v>
      </c>
      <c r="E157" s="12">
        <f t="shared" si="23"/>
        <v>1929.873</v>
      </c>
      <c r="F157" s="13"/>
      <c r="G157" s="22">
        <v>0</v>
      </c>
      <c r="H157" s="22">
        <v>1929.873</v>
      </c>
      <c r="I157" s="15" t="s">
        <v>133</v>
      </c>
      <c r="J157" s="16"/>
      <c r="K157" s="18">
        <v>1078.829999</v>
      </c>
      <c r="M157">
        <v>1922.2450000000001</v>
      </c>
      <c r="N157">
        <v>1922.2450000000001</v>
      </c>
    </row>
    <row r="158" spans="1:14" ht="18" x14ac:dyDescent="0.35">
      <c r="A158" s="10">
        <v>44927</v>
      </c>
      <c r="B158" s="11" t="s">
        <v>134</v>
      </c>
      <c r="C158" s="11" t="s">
        <v>128</v>
      </c>
      <c r="D158" s="11" t="s">
        <v>19</v>
      </c>
      <c r="E158" s="12">
        <f t="shared" si="23"/>
        <v>0</v>
      </c>
      <c r="F158" s="13"/>
      <c r="G158" s="22">
        <f>119.548-19.81</f>
        <v>99.738</v>
      </c>
      <c r="H158" s="22">
        <f>119.548-19.81</f>
        <v>99.738</v>
      </c>
      <c r="I158" s="15" t="s">
        <v>26</v>
      </c>
      <c r="J158" s="16"/>
      <c r="K158" s="18">
        <v>1044.5195774148788</v>
      </c>
      <c r="M158">
        <v>80.158999999999878</v>
      </c>
      <c r="N158">
        <v>-0.32100000000014006</v>
      </c>
    </row>
    <row r="159" spans="1:14" ht="18" x14ac:dyDescent="0.35">
      <c r="A159" s="10">
        <v>45007</v>
      </c>
      <c r="B159" s="11" t="s">
        <v>203</v>
      </c>
      <c r="C159" s="11" t="s">
        <v>128</v>
      </c>
      <c r="D159" s="11" t="s">
        <v>19</v>
      </c>
      <c r="E159" s="12">
        <f t="shared" si="23"/>
        <v>60</v>
      </c>
      <c r="F159" s="13"/>
      <c r="G159" s="22">
        <f>758.638-60-91.54-9.61</f>
        <v>597.48800000000006</v>
      </c>
      <c r="H159" s="22">
        <f>758.638-91.54-9.61</f>
        <v>657.48800000000006</v>
      </c>
      <c r="I159" s="15" t="s">
        <v>26</v>
      </c>
      <c r="J159" s="16"/>
      <c r="K159" s="18">
        <v>1045</v>
      </c>
      <c r="M159">
        <v>477.12800000000004</v>
      </c>
      <c r="N159">
        <v>225.99800000000005</v>
      </c>
    </row>
    <row r="160" spans="1:14" ht="18" x14ac:dyDescent="0.35">
      <c r="A160" s="10">
        <v>44959</v>
      </c>
      <c r="B160" s="11" t="s">
        <v>135</v>
      </c>
      <c r="C160" s="31" t="s">
        <v>127</v>
      </c>
      <c r="D160" s="11" t="s">
        <v>136</v>
      </c>
      <c r="E160" s="28">
        <f t="shared" ref="E160" si="25">H160-G160</f>
        <v>-304.96100000000007</v>
      </c>
      <c r="F160" s="13"/>
      <c r="G160" s="22">
        <f>200+60+56-47.74+93-20.21+25+16-23.45</f>
        <v>358.6</v>
      </c>
      <c r="H160" s="22">
        <f>145.039-47.74-20.21-23.45</f>
        <v>53.638999999999967</v>
      </c>
      <c r="I160" s="15"/>
      <c r="J160" s="16"/>
      <c r="K160" s="18"/>
    </row>
    <row r="161" spans="1:14" ht="18" x14ac:dyDescent="0.35">
      <c r="A161" s="10">
        <v>45050</v>
      </c>
      <c r="B161" s="11" t="s">
        <v>221</v>
      </c>
      <c r="C161" s="11" t="s">
        <v>128</v>
      </c>
      <c r="D161" s="11" t="s">
        <v>136</v>
      </c>
      <c r="E161" s="28">
        <f t="shared" si="23"/>
        <v>-304.96100000000007</v>
      </c>
      <c r="F161" s="13"/>
      <c r="G161" s="22">
        <f>200+60+56-47.74+93-20.21+25+16-23.45</f>
        <v>358.6</v>
      </c>
      <c r="H161" s="22">
        <f>145.039-47.74-20.21-23.45</f>
        <v>53.638999999999967</v>
      </c>
      <c r="I161" s="15" t="s">
        <v>136</v>
      </c>
      <c r="J161" s="16"/>
      <c r="K161" s="18"/>
    </row>
    <row r="162" spans="1:14" ht="18" x14ac:dyDescent="0.35">
      <c r="A162" s="19"/>
      <c r="B162" s="26" t="s">
        <v>27</v>
      </c>
      <c r="C162" s="11"/>
      <c r="D162" s="11"/>
      <c r="E162" s="20">
        <f>SUBTOTAL(9,E154:E161)</f>
        <v>3494.1489999999994</v>
      </c>
      <c r="F162" s="21">
        <f>E162</f>
        <v>3494.1489999999994</v>
      </c>
      <c r="G162" s="20">
        <f>SUBTOTAL(9,G154:G161)</f>
        <v>3009.86</v>
      </c>
      <c r="H162" s="20">
        <f>SUBTOTAL(9,H154:H161)</f>
        <v>6504.0090000000018</v>
      </c>
      <c r="I162" s="15"/>
      <c r="J162" s="16"/>
      <c r="K162" s="18"/>
    </row>
    <row r="163" spans="1:14" ht="18" x14ac:dyDescent="0.35">
      <c r="A163" s="19"/>
      <c r="B163" s="26"/>
      <c r="C163" s="11"/>
      <c r="D163" s="11"/>
      <c r="E163" s="13"/>
      <c r="F163" s="21"/>
      <c r="G163" s="20"/>
      <c r="H163" s="20"/>
      <c r="I163" s="15"/>
      <c r="J163" s="16"/>
      <c r="K163" s="18"/>
    </row>
    <row r="164" spans="1:14" ht="18" x14ac:dyDescent="0.35">
      <c r="A164" s="10">
        <v>44903</v>
      </c>
      <c r="B164" s="11" t="s">
        <v>137</v>
      </c>
      <c r="C164" s="11" t="s">
        <v>138</v>
      </c>
      <c r="D164" s="11" t="s">
        <v>13</v>
      </c>
      <c r="E164" s="12">
        <f t="shared" ref="E164:E166" si="26">H164-G164</f>
        <v>317.96299999999991</v>
      </c>
      <c r="F164" s="21"/>
      <c r="G164" s="22">
        <f>242-16.87+17-20.85+21+118-16.83+40-40.85</f>
        <v>342.59999999999997</v>
      </c>
      <c r="H164" s="22">
        <f>755.963-16.87-20.85-16.83-40.85</f>
        <v>660.56299999999987</v>
      </c>
      <c r="I164" s="15" t="s">
        <v>21</v>
      </c>
      <c r="J164" s="16"/>
      <c r="K164" s="18">
        <v>1270</v>
      </c>
      <c r="M164">
        <v>426.04600000000005</v>
      </c>
      <c r="N164">
        <v>257.9129999999999</v>
      </c>
    </row>
    <row r="165" spans="1:14" s="52" customFormat="1" ht="18" x14ac:dyDescent="0.35">
      <c r="A165" s="45">
        <v>44958</v>
      </c>
      <c r="B165" s="31" t="s">
        <v>139</v>
      </c>
      <c r="C165" s="31" t="s">
        <v>138</v>
      </c>
      <c r="D165" s="31" t="s">
        <v>13</v>
      </c>
      <c r="E165" s="46">
        <f t="shared" si="26"/>
        <v>914.00199999999995</v>
      </c>
      <c r="F165" s="53"/>
      <c r="G165" s="48">
        <v>0</v>
      </c>
      <c r="H165" s="48">
        <v>914.00199999999995</v>
      </c>
      <c r="I165" s="49" t="s">
        <v>21</v>
      </c>
      <c r="J165" s="50"/>
      <c r="K165" s="51">
        <v>1135.2007723642</v>
      </c>
      <c r="M165" s="52">
        <v>914.00200000000007</v>
      </c>
      <c r="N165" s="52">
        <v>914.00199999999995</v>
      </c>
    </row>
    <row r="166" spans="1:14" ht="18" x14ac:dyDescent="0.35">
      <c r="A166" s="10">
        <v>44878</v>
      </c>
      <c r="B166" s="11" t="s">
        <v>140</v>
      </c>
      <c r="C166" s="11" t="s">
        <v>138</v>
      </c>
      <c r="D166" s="11" t="s">
        <v>19</v>
      </c>
      <c r="E166" s="12">
        <f t="shared" si="26"/>
        <v>0</v>
      </c>
      <c r="F166" s="21"/>
      <c r="G166" s="22">
        <f>54.361-15.55-20.1-16.33</f>
        <v>2.3809999999999931</v>
      </c>
      <c r="H166" s="22">
        <f>54.361-15.55-20.1-16.33</f>
        <v>2.3809999999999931</v>
      </c>
      <c r="I166" s="15" t="s">
        <v>26</v>
      </c>
      <c r="J166" s="16"/>
      <c r="K166" s="18">
        <v>1312.2284725536992</v>
      </c>
      <c r="M166">
        <v>1.0370000000004893</v>
      </c>
      <c r="N166">
        <v>1.0369999999998072</v>
      </c>
    </row>
    <row r="167" spans="1:14" ht="18" x14ac:dyDescent="0.35">
      <c r="A167" s="10"/>
      <c r="B167" s="26" t="s">
        <v>27</v>
      </c>
      <c r="C167" s="11"/>
      <c r="D167" s="11"/>
      <c r="E167" s="20">
        <f>SUBTOTAL(9,E164:E166)</f>
        <v>1231.9649999999999</v>
      </c>
      <c r="F167" s="21">
        <f>E167</f>
        <v>1231.9649999999999</v>
      </c>
      <c r="G167" s="20">
        <f>SUBTOTAL(9,G164:G166)</f>
        <v>344.98099999999994</v>
      </c>
      <c r="H167" s="20">
        <f>SUBTOTAL(9,H164:H166)</f>
        <v>1576.9459999999999</v>
      </c>
      <c r="I167" s="15"/>
      <c r="J167" s="16"/>
      <c r="K167" s="18"/>
    </row>
    <row r="168" spans="1:14" ht="18" x14ac:dyDescent="0.35">
      <c r="A168" s="19"/>
      <c r="B168" s="26"/>
      <c r="C168" s="11"/>
      <c r="D168" s="11"/>
      <c r="E168" s="13"/>
      <c r="F168" s="21"/>
      <c r="G168" s="20"/>
      <c r="H168" s="20"/>
      <c r="I168" s="15"/>
      <c r="J168" s="16"/>
      <c r="K168" s="18"/>
    </row>
    <row r="169" spans="1:14" ht="18" x14ac:dyDescent="0.35">
      <c r="A169" s="10">
        <v>44915</v>
      </c>
      <c r="B169" s="11" t="s">
        <v>204</v>
      </c>
      <c r="C169" s="11" t="s">
        <v>141</v>
      </c>
      <c r="D169" s="11" t="s">
        <v>9</v>
      </c>
      <c r="E169" s="12">
        <f t="shared" ref="E169:E175" si="27">H169-G169</f>
        <v>67.872</v>
      </c>
      <c r="F169" s="21"/>
      <c r="G169" s="22">
        <v>18.63</v>
      </c>
      <c r="H169" s="22">
        <v>86.501999999999995</v>
      </c>
      <c r="I169" s="15" t="s">
        <v>142</v>
      </c>
      <c r="J169" s="16"/>
      <c r="K169" s="18">
        <v>1245</v>
      </c>
      <c r="M169">
        <v>68.72400000000016</v>
      </c>
      <c r="N169">
        <v>67.052999999999884</v>
      </c>
    </row>
    <row r="170" spans="1:14" ht="18" x14ac:dyDescent="0.35">
      <c r="A170" s="10">
        <v>44915</v>
      </c>
      <c r="B170" s="11" t="s">
        <v>205</v>
      </c>
      <c r="C170" s="11" t="s">
        <v>141</v>
      </c>
      <c r="D170" s="11" t="s">
        <v>9</v>
      </c>
      <c r="E170" s="12">
        <f t="shared" si="27"/>
        <v>67.872</v>
      </c>
      <c r="F170" s="21"/>
      <c r="G170" s="22">
        <v>18.63</v>
      </c>
      <c r="H170" s="22">
        <v>86.501999999999995</v>
      </c>
      <c r="I170" s="15" t="s">
        <v>142</v>
      </c>
      <c r="J170" s="16"/>
      <c r="K170" s="18">
        <v>1245</v>
      </c>
      <c r="M170">
        <v>0</v>
      </c>
      <c r="N170">
        <v>-0.47900000000002585</v>
      </c>
    </row>
    <row r="171" spans="1:14" ht="18" x14ac:dyDescent="0.35">
      <c r="A171" s="10">
        <v>44915</v>
      </c>
      <c r="B171" s="11" t="s">
        <v>206</v>
      </c>
      <c r="C171" s="11" t="s">
        <v>141</v>
      </c>
      <c r="D171" s="11" t="s">
        <v>9</v>
      </c>
      <c r="E171" s="12">
        <f t="shared" ref="E171" si="28">H171-G171</f>
        <v>67.872</v>
      </c>
      <c r="F171" s="21"/>
      <c r="G171" s="22">
        <v>18.63</v>
      </c>
      <c r="H171" s="22">
        <v>86.501999999999995</v>
      </c>
      <c r="I171" s="15" t="s">
        <v>142</v>
      </c>
      <c r="J171" s="16"/>
      <c r="K171" s="18">
        <v>1245</v>
      </c>
      <c r="M171">
        <v>18.629999999999768</v>
      </c>
      <c r="N171">
        <v>0</v>
      </c>
    </row>
    <row r="172" spans="1:14" s="52" customFormat="1" ht="18" x14ac:dyDescent="0.35">
      <c r="A172" s="45">
        <v>44942</v>
      </c>
      <c r="B172" s="31" t="s">
        <v>143</v>
      </c>
      <c r="C172" s="31" t="s">
        <v>141</v>
      </c>
      <c r="D172" s="31" t="s">
        <v>9</v>
      </c>
      <c r="E172" s="46">
        <f t="shared" si="27"/>
        <v>4.202000000000055</v>
      </c>
      <c r="F172" s="53"/>
      <c r="G172" s="48">
        <v>52.787999999999982</v>
      </c>
      <c r="H172" s="48">
        <v>56.990000000000038</v>
      </c>
      <c r="I172" s="49" t="s">
        <v>142</v>
      </c>
      <c r="J172" s="32" t="s">
        <v>144</v>
      </c>
      <c r="K172" s="51"/>
      <c r="M172" s="52" t="e">
        <v>#N/A</v>
      </c>
      <c r="N172" s="52" t="e">
        <v>#N/A</v>
      </c>
    </row>
    <row r="173" spans="1:14" ht="18" x14ac:dyDescent="0.35">
      <c r="A173" s="10">
        <v>44999</v>
      </c>
      <c r="B173" s="11" t="s">
        <v>207</v>
      </c>
      <c r="C173" s="11" t="s">
        <v>141</v>
      </c>
      <c r="D173" s="11" t="s">
        <v>9</v>
      </c>
      <c r="E173" s="12">
        <f t="shared" si="27"/>
        <v>219.6690000000001</v>
      </c>
      <c r="F173" s="21"/>
      <c r="G173" s="22">
        <f>940-99.72-27.22-23.15-40.42</f>
        <v>749.49</v>
      </c>
      <c r="H173" s="22">
        <f>1159.669-99.72-27.22-23.15-40.42</f>
        <v>969.15900000000011</v>
      </c>
      <c r="I173" s="15" t="s">
        <v>142</v>
      </c>
      <c r="J173" s="16"/>
      <c r="K173" s="18">
        <v>1245</v>
      </c>
      <c r="M173">
        <v>467.59799999999996</v>
      </c>
      <c r="N173">
        <v>92.080999999999847</v>
      </c>
    </row>
    <row r="174" spans="1:14" ht="18" x14ac:dyDescent="0.35">
      <c r="A174" s="10">
        <v>44999</v>
      </c>
      <c r="B174" s="11" t="s">
        <v>208</v>
      </c>
      <c r="C174" s="11" t="s">
        <v>141</v>
      </c>
      <c r="D174" s="11" t="s">
        <v>9</v>
      </c>
      <c r="E174" s="12">
        <f t="shared" ref="E174" si="29">H174-G174</f>
        <v>219.6690000000001</v>
      </c>
      <c r="F174" s="21"/>
      <c r="G174" s="22">
        <f>940-99.72-27.22-23.15-40.42</f>
        <v>749.49</v>
      </c>
      <c r="H174" s="22">
        <f>1159.669-99.72-27.22-23.15-40.42</f>
        <v>969.15900000000011</v>
      </c>
      <c r="I174" s="15" t="s">
        <v>142</v>
      </c>
      <c r="J174" s="16"/>
      <c r="K174" s="18">
        <v>1245</v>
      </c>
      <c r="M174">
        <v>-5.1999999999907232E-2</v>
      </c>
      <c r="N174">
        <v>28.408000000000015</v>
      </c>
    </row>
    <row r="175" spans="1:14" ht="18" x14ac:dyDescent="0.35">
      <c r="A175" s="10">
        <v>44999</v>
      </c>
      <c r="B175" s="11" t="s">
        <v>209</v>
      </c>
      <c r="C175" s="11" t="s">
        <v>141</v>
      </c>
      <c r="D175" s="11" t="s">
        <v>9</v>
      </c>
      <c r="E175" s="12">
        <f t="shared" si="27"/>
        <v>219.6690000000001</v>
      </c>
      <c r="F175" s="21"/>
      <c r="G175" s="22">
        <f>940-99.72-27.22-23.15-40.42</f>
        <v>749.49</v>
      </c>
      <c r="H175" s="22">
        <f>1159.669-99.72-27.22-23.15-40.42</f>
        <v>969.15900000000011</v>
      </c>
      <c r="I175" s="15" t="s">
        <v>142</v>
      </c>
      <c r="J175" s="16"/>
      <c r="K175" s="18">
        <v>1245</v>
      </c>
      <c r="M175">
        <v>151.065</v>
      </c>
      <c r="N175">
        <v>114.565</v>
      </c>
    </row>
    <row r="176" spans="1:14" ht="18" x14ac:dyDescent="0.35">
      <c r="A176" s="10"/>
      <c r="B176" s="26" t="s">
        <v>27</v>
      </c>
      <c r="C176" s="11"/>
      <c r="D176" s="11"/>
      <c r="E176" s="20">
        <f>SUBTOTAL(9,E169:E175)</f>
        <v>866.82500000000027</v>
      </c>
      <c r="F176" s="21">
        <f>E176</f>
        <v>866.82500000000027</v>
      </c>
      <c r="G176" s="20">
        <f>SUBTOTAL(9,G169:G175)</f>
        <v>2357.1480000000001</v>
      </c>
      <c r="H176" s="20">
        <f>SUBTOTAL(9,H169:H175)</f>
        <v>3223.9730000000004</v>
      </c>
      <c r="I176" s="15"/>
      <c r="J176" s="16"/>
      <c r="K176" s="18"/>
    </row>
    <row r="177" spans="1:14" ht="18" x14ac:dyDescent="0.35">
      <c r="A177" s="10"/>
      <c r="B177" s="11"/>
      <c r="C177" s="11"/>
      <c r="D177" s="11"/>
      <c r="E177" s="12"/>
      <c r="F177" s="21"/>
      <c r="G177" s="20"/>
      <c r="H177" s="20"/>
      <c r="I177" s="15"/>
      <c r="J177" s="16"/>
      <c r="K177" s="18"/>
    </row>
    <row r="178" spans="1:14" ht="18" x14ac:dyDescent="0.35">
      <c r="A178" s="10">
        <v>44964</v>
      </c>
      <c r="B178" s="11" t="s">
        <v>145</v>
      </c>
      <c r="C178" s="11" t="s">
        <v>146</v>
      </c>
      <c r="D178" s="11" t="s">
        <v>9</v>
      </c>
      <c r="E178" s="12">
        <f>H178-G178</f>
        <v>0</v>
      </c>
      <c r="F178" s="21"/>
      <c r="G178" s="22">
        <f>70.707-15.16</f>
        <v>55.546999999999997</v>
      </c>
      <c r="H178" s="22">
        <f>70.707-15.16</f>
        <v>55.546999999999997</v>
      </c>
      <c r="I178" s="15" t="s">
        <v>47</v>
      </c>
      <c r="J178" s="16"/>
      <c r="K178" s="18">
        <v>1045</v>
      </c>
      <c r="M178">
        <v>26.400000000000006</v>
      </c>
      <c r="N178">
        <v>0.45300000000000296</v>
      </c>
    </row>
    <row r="179" spans="1:14" ht="18" x14ac:dyDescent="0.35">
      <c r="A179" s="10">
        <v>44978</v>
      </c>
      <c r="B179" s="11" t="s">
        <v>210</v>
      </c>
      <c r="C179" s="11" t="s">
        <v>146</v>
      </c>
      <c r="D179" s="11" t="s">
        <v>9</v>
      </c>
      <c r="E179" s="12">
        <f>H179-G179</f>
        <v>803.851</v>
      </c>
      <c r="F179" s="21"/>
      <c r="G179" s="22">
        <f>105-10.51+60-30.61</f>
        <v>123.88000000000001</v>
      </c>
      <c r="H179" s="22">
        <f>998.821-29.97-10.51-30.61</f>
        <v>927.73099999999999</v>
      </c>
      <c r="I179" s="15" t="s">
        <v>47</v>
      </c>
      <c r="J179" s="16"/>
      <c r="K179" s="18">
        <v>1120</v>
      </c>
      <c r="M179">
        <v>811.04100000000005</v>
      </c>
      <c r="N179">
        <v>779.49800000000005</v>
      </c>
    </row>
    <row r="180" spans="1:14" ht="18" x14ac:dyDescent="0.35">
      <c r="A180" s="10">
        <v>45018</v>
      </c>
      <c r="B180" s="11" t="s">
        <v>147</v>
      </c>
      <c r="C180" s="11" t="s">
        <v>146</v>
      </c>
      <c r="D180" s="11" t="s">
        <v>9</v>
      </c>
      <c r="E180" s="12">
        <f>H180-G180</f>
        <v>521.01599999999996</v>
      </c>
      <c r="F180" s="21"/>
      <c r="G180" s="22">
        <v>0</v>
      </c>
      <c r="H180" s="22">
        <v>521.01599999999996</v>
      </c>
      <c r="I180" s="15" t="s">
        <v>47</v>
      </c>
      <c r="J180" s="16"/>
      <c r="K180" s="18">
        <v>1050</v>
      </c>
      <c r="M180">
        <v>521.01599999999996</v>
      </c>
      <c r="N180">
        <v>400.93599999999998</v>
      </c>
    </row>
    <row r="181" spans="1:14" ht="18" x14ac:dyDescent="0.35">
      <c r="A181" s="10">
        <v>44905</v>
      </c>
      <c r="B181" s="11" t="s">
        <v>148</v>
      </c>
      <c r="C181" s="11" t="s">
        <v>146</v>
      </c>
      <c r="D181" s="11" t="s">
        <v>13</v>
      </c>
      <c r="E181" s="12">
        <f>H181-G181</f>
        <v>92.98599999999999</v>
      </c>
      <c r="F181" s="21"/>
      <c r="G181" s="22">
        <v>46</v>
      </c>
      <c r="H181" s="22">
        <v>138.98599999999999</v>
      </c>
      <c r="I181" s="15" t="s">
        <v>21</v>
      </c>
      <c r="J181" s="16"/>
      <c r="K181" s="18">
        <v>1100</v>
      </c>
      <c r="M181">
        <v>68.516000000000076</v>
      </c>
      <c r="N181">
        <v>24.933999999999969</v>
      </c>
    </row>
    <row r="182" spans="1:14" ht="18" x14ac:dyDescent="0.35">
      <c r="A182" s="10"/>
      <c r="B182" s="26" t="s">
        <v>27</v>
      </c>
      <c r="C182" s="11"/>
      <c r="D182" s="11"/>
      <c r="E182" s="20">
        <f>SUBTOTAL(9,E178:E181)</f>
        <v>1417.8530000000001</v>
      </c>
      <c r="F182" s="21">
        <f>E182</f>
        <v>1417.8530000000001</v>
      </c>
      <c r="G182" s="20">
        <f>SUBTOTAL(9,G178:G181)</f>
        <v>225.42700000000002</v>
      </c>
      <c r="H182" s="20">
        <f>SUBTOTAL(9,H178:H181)</f>
        <v>1643.2799999999997</v>
      </c>
      <c r="I182" s="15"/>
      <c r="J182" s="16"/>
      <c r="K182" s="18"/>
    </row>
    <row r="183" spans="1:14" ht="18" x14ac:dyDescent="0.35">
      <c r="A183" s="19"/>
      <c r="B183" s="11"/>
      <c r="C183" s="11"/>
      <c r="D183" s="11"/>
      <c r="E183" s="13"/>
      <c r="F183" s="13"/>
      <c r="G183" s="20"/>
      <c r="H183" s="20"/>
      <c r="I183" s="15"/>
      <c r="J183" s="16"/>
      <c r="K183" s="18"/>
    </row>
    <row r="184" spans="1:14" ht="18" x14ac:dyDescent="0.35">
      <c r="A184" s="10">
        <v>44876</v>
      </c>
      <c r="B184" s="11" t="s">
        <v>211</v>
      </c>
      <c r="C184" s="11" t="s">
        <v>149</v>
      </c>
      <c r="D184" s="11" t="s">
        <v>13</v>
      </c>
      <c r="E184" s="12">
        <f>H184-G184</f>
        <v>0</v>
      </c>
      <c r="F184" s="20"/>
      <c r="G184" s="22">
        <f>180.331-25.13-20.14-25.14-30.09-24.68</f>
        <v>55.150999999999975</v>
      </c>
      <c r="H184" s="22">
        <v>55.151000000000003</v>
      </c>
      <c r="I184" s="15" t="s">
        <v>21</v>
      </c>
      <c r="J184" s="16"/>
      <c r="K184" s="18">
        <v>350</v>
      </c>
      <c r="M184">
        <v>30.807999999999083</v>
      </c>
      <c r="N184">
        <v>20.647999999999456</v>
      </c>
    </row>
    <row r="185" spans="1:14" ht="18" x14ac:dyDescent="0.35">
      <c r="A185" s="10">
        <v>44995</v>
      </c>
      <c r="B185" s="11" t="s">
        <v>212</v>
      </c>
      <c r="C185" s="11" t="s">
        <v>149</v>
      </c>
      <c r="D185" s="11" t="s">
        <v>13</v>
      </c>
      <c r="E185" s="12">
        <f>H185-G185</f>
        <v>112.69600000000003</v>
      </c>
      <c r="F185" s="20"/>
      <c r="G185" s="22">
        <f>626.889+25-30.02+25-24.94-100-30.01+25</f>
        <v>516.91899999999998</v>
      </c>
      <c r="H185" s="22">
        <f>714.585-30.02-24.94-30.01</f>
        <v>629.61500000000001</v>
      </c>
      <c r="I185" s="15" t="s">
        <v>21</v>
      </c>
      <c r="J185" s="16"/>
      <c r="K185" s="18">
        <v>365</v>
      </c>
      <c r="M185">
        <v>573.64499999999998</v>
      </c>
      <c r="N185">
        <v>67.544999999999959</v>
      </c>
    </row>
    <row r="186" spans="1:14" ht="18" x14ac:dyDescent="0.35">
      <c r="A186" s="19"/>
      <c r="B186" s="26" t="s">
        <v>27</v>
      </c>
      <c r="C186" s="11"/>
      <c r="D186" s="11"/>
      <c r="E186" s="20">
        <f>SUBTOTAL(9,E184:E185)</f>
        <v>112.69600000000003</v>
      </c>
      <c r="F186" s="21">
        <f>E186</f>
        <v>112.69600000000003</v>
      </c>
      <c r="G186" s="20">
        <f>SUBTOTAL(9,G184:G185)</f>
        <v>572.06999999999994</v>
      </c>
      <c r="H186" s="20">
        <f>SUBTOTAL(9,H184:H185)</f>
        <v>684.76599999999996</v>
      </c>
      <c r="I186" s="15"/>
      <c r="J186" s="16"/>
      <c r="K186" s="18"/>
    </row>
    <row r="187" spans="1:14" ht="18" x14ac:dyDescent="0.35">
      <c r="A187" s="19"/>
      <c r="B187" s="26"/>
      <c r="C187" s="11"/>
      <c r="D187" s="11"/>
      <c r="E187" s="13"/>
      <c r="F187" s="21"/>
      <c r="G187" s="20"/>
      <c r="H187" s="20"/>
      <c r="I187" s="15"/>
      <c r="J187" s="16"/>
      <c r="K187" s="18"/>
    </row>
    <row r="188" spans="1:14" ht="18" x14ac:dyDescent="0.35">
      <c r="A188" s="10">
        <v>44968</v>
      </c>
      <c r="B188" s="11" t="s">
        <v>150</v>
      </c>
      <c r="C188" s="11" t="s">
        <v>151</v>
      </c>
      <c r="D188" s="11" t="s">
        <v>9</v>
      </c>
      <c r="E188" s="12">
        <f>H188-G188</f>
        <v>0</v>
      </c>
      <c r="F188" s="21"/>
      <c r="G188" s="22">
        <v>49.225000000000001</v>
      </c>
      <c r="H188" s="22">
        <v>49.225000000000001</v>
      </c>
      <c r="I188" s="15" t="s">
        <v>152</v>
      </c>
      <c r="J188" s="16"/>
      <c r="K188" s="18">
        <v>1050.893645464718</v>
      </c>
      <c r="M188">
        <v>1.376999999999839</v>
      </c>
      <c r="N188">
        <v>1.376999999999839</v>
      </c>
    </row>
    <row r="189" spans="1:14" ht="18" x14ac:dyDescent="0.35">
      <c r="A189" s="10">
        <v>44995</v>
      </c>
      <c r="B189" s="11" t="s">
        <v>153</v>
      </c>
      <c r="C189" s="11" t="s">
        <v>154</v>
      </c>
      <c r="D189" s="11" t="s">
        <v>9</v>
      </c>
      <c r="E189" s="12">
        <f>H189-G189</f>
        <v>275.28200000000004</v>
      </c>
      <c r="F189" s="21"/>
      <c r="G189" s="22">
        <f>94+25-25.3-49.52+50</f>
        <v>94.18</v>
      </c>
      <c r="H189" s="22">
        <f>469.872-25.59-25.3-49.52</f>
        <v>369.46200000000005</v>
      </c>
      <c r="I189" s="15" t="s">
        <v>152</v>
      </c>
      <c r="J189" s="16"/>
      <c r="K189" s="18">
        <v>1301.1066666436805</v>
      </c>
      <c r="M189">
        <v>341.02100000000002</v>
      </c>
      <c r="N189">
        <v>43.290999999999997</v>
      </c>
    </row>
    <row r="190" spans="1:14" ht="18" x14ac:dyDescent="0.35">
      <c r="A190" s="10">
        <v>44995</v>
      </c>
      <c r="B190" s="11" t="s">
        <v>155</v>
      </c>
      <c r="C190" s="11" t="s">
        <v>156</v>
      </c>
      <c r="D190" s="11" t="s">
        <v>9</v>
      </c>
      <c r="E190" s="12">
        <f>H190-G190</f>
        <v>403.75799999999998</v>
      </c>
      <c r="F190" s="21"/>
      <c r="G190" s="22">
        <f>47-23.54+25</f>
        <v>48.46</v>
      </c>
      <c r="H190" s="22">
        <f>475.758-23.54</f>
        <v>452.21799999999996</v>
      </c>
      <c r="I190" s="15" t="s">
        <v>152</v>
      </c>
      <c r="J190" s="16"/>
      <c r="K190" s="18">
        <v>1281.0868769669034</v>
      </c>
      <c r="M190">
        <v>352.00400000000002</v>
      </c>
      <c r="N190">
        <v>277.22399999999999</v>
      </c>
    </row>
    <row r="191" spans="1:14" ht="18" x14ac:dyDescent="0.35">
      <c r="A191" s="19"/>
      <c r="B191" s="26" t="s">
        <v>27</v>
      </c>
      <c r="C191" s="11"/>
      <c r="D191" s="11"/>
      <c r="E191" s="20">
        <f>SUBTOTAL(9,E188:E190)</f>
        <v>679.04</v>
      </c>
      <c r="F191" s="21">
        <f>E191</f>
        <v>679.04</v>
      </c>
      <c r="G191" s="20">
        <f>SUBTOTAL(9,G188:G190)</f>
        <v>191.86500000000001</v>
      </c>
      <c r="H191" s="20">
        <f>SUBTOTAL(9,H188:H190)</f>
        <v>870.90499999999997</v>
      </c>
      <c r="I191" s="15"/>
      <c r="J191" s="16"/>
      <c r="K191" s="18"/>
    </row>
    <row r="192" spans="1:14" ht="18" x14ac:dyDescent="0.35">
      <c r="A192" s="19"/>
      <c r="B192" s="26"/>
      <c r="C192" s="11"/>
      <c r="D192" s="11"/>
      <c r="E192" s="20"/>
      <c r="F192" s="21"/>
      <c r="G192" s="20"/>
      <c r="H192" s="20"/>
      <c r="I192" s="15"/>
      <c r="J192" s="16"/>
      <c r="K192" s="18"/>
    </row>
    <row r="193" spans="1:16375" ht="18" x14ac:dyDescent="0.35">
      <c r="A193" s="10">
        <v>45044</v>
      </c>
      <c r="B193" s="11" t="s">
        <v>157</v>
      </c>
      <c r="C193" s="11" t="s">
        <v>158</v>
      </c>
      <c r="D193" s="11" t="s">
        <v>9</v>
      </c>
      <c r="E193" s="12">
        <f>H193-G193</f>
        <v>959.30799999999999</v>
      </c>
      <c r="F193" s="21"/>
      <c r="G193" s="22">
        <v>60</v>
      </c>
      <c r="H193" s="22">
        <v>1019.308</v>
      </c>
      <c r="I193" s="15" t="s">
        <v>29</v>
      </c>
      <c r="J193" s="16"/>
      <c r="K193" s="18"/>
      <c r="M193">
        <v>1019.308</v>
      </c>
      <c r="N193">
        <v>839.30799999999999</v>
      </c>
    </row>
    <row r="194" spans="1:16375" ht="18" x14ac:dyDescent="0.35">
      <c r="A194" s="10"/>
      <c r="B194" s="13" t="s">
        <v>27</v>
      </c>
      <c r="C194" s="12"/>
      <c r="D194" s="12"/>
      <c r="E194" s="20">
        <f>SUBTOTAL(9,E193:E193)</f>
        <v>959.30799999999999</v>
      </c>
      <c r="F194" s="21">
        <f>E194</f>
        <v>959.30799999999999</v>
      </c>
      <c r="G194" s="20">
        <f>SUBTOTAL(9,G193:G193)</f>
        <v>60</v>
      </c>
      <c r="H194" s="20">
        <f>SUBTOTAL(9,H193:H193)</f>
        <v>1019.308</v>
      </c>
      <c r="I194" s="15"/>
      <c r="J194" s="16"/>
      <c r="K194" s="18"/>
    </row>
    <row r="195" spans="1:16375" ht="18" x14ac:dyDescent="0.35">
      <c r="A195" s="19"/>
      <c r="B195" s="26"/>
      <c r="C195" s="11"/>
      <c r="D195" s="11"/>
      <c r="E195" s="13"/>
      <c r="F195" s="13"/>
      <c r="G195" s="20"/>
      <c r="H195" s="20"/>
      <c r="I195" s="33"/>
      <c r="J195" s="34"/>
      <c r="K195" s="18"/>
    </row>
    <row r="196" spans="1:16375" s="52" customFormat="1" ht="18" x14ac:dyDescent="0.35">
      <c r="A196" s="45">
        <v>44936</v>
      </c>
      <c r="B196" s="31" t="s">
        <v>160</v>
      </c>
      <c r="C196" s="31" t="s">
        <v>159</v>
      </c>
      <c r="D196" s="31" t="s">
        <v>9</v>
      </c>
      <c r="E196" s="46">
        <f t="shared" ref="E196:E203" si="30">H196-G196</f>
        <v>0</v>
      </c>
      <c r="F196" s="54"/>
      <c r="G196" s="48">
        <f>30.29-29.76</f>
        <v>0.52999999999999758</v>
      </c>
      <c r="H196" s="48">
        <f>30.29-29.76</f>
        <v>0.52999999999999758</v>
      </c>
      <c r="I196" s="49" t="s">
        <v>47</v>
      </c>
      <c r="J196" s="25" t="s">
        <v>41</v>
      </c>
      <c r="K196" s="51"/>
      <c r="M196" s="52" t="e">
        <v>#N/A</v>
      </c>
      <c r="N196" s="52" t="e">
        <v>#N/A</v>
      </c>
    </row>
    <row r="197" spans="1:16375" s="52" customFormat="1" ht="18" x14ac:dyDescent="0.35">
      <c r="A197" s="45">
        <v>44976</v>
      </c>
      <c r="B197" s="31" t="s">
        <v>161</v>
      </c>
      <c r="C197" s="31" t="s">
        <v>159</v>
      </c>
      <c r="D197" s="31" t="s">
        <v>9</v>
      </c>
      <c r="E197" s="46">
        <f t="shared" si="30"/>
        <v>5</v>
      </c>
      <c r="F197" s="54"/>
      <c r="G197" s="48">
        <v>41.087000000003172</v>
      </c>
      <c r="H197" s="48">
        <v>46.087000000003172</v>
      </c>
      <c r="I197" s="49" t="s">
        <v>109</v>
      </c>
      <c r="J197" s="25" t="s">
        <v>41</v>
      </c>
      <c r="K197" s="51"/>
      <c r="M197" s="52" t="e">
        <v>#N/A</v>
      </c>
      <c r="N197" s="52" t="e">
        <v>#N/A</v>
      </c>
    </row>
    <row r="198" spans="1:16375" ht="18" x14ac:dyDescent="0.35">
      <c r="A198" s="10">
        <v>44976</v>
      </c>
      <c r="B198" s="11" t="s">
        <v>162</v>
      </c>
      <c r="C198" s="11" t="s">
        <v>159</v>
      </c>
      <c r="D198" s="11" t="s">
        <v>9</v>
      </c>
      <c r="E198" s="12">
        <f t="shared" si="30"/>
        <v>0</v>
      </c>
      <c r="F198" s="13"/>
      <c r="G198" s="22">
        <f>1200+110-348.94-104.83-24.3-51.67-137.87-160+200-51.04-15.04+210-208.42+85-37.24-89.4-50.72+121.417-69.78-44.36-82.86-52.14-40.94-18.24-18.74-15.68-18.8-19.08-37.96</f>
        <v>228.3670000000001</v>
      </c>
      <c r="H198" s="22">
        <f>1200+110-348.94-104.83-24.3-51.67-137.87-160+200-51.04-15.04+210-208.42+85-37.24-89.4-50.72+121.417-69.78-44.36-82.86-52.14-40.94-18.24-18.74-15.68-18.8-19.08-37.96</f>
        <v>228.3670000000001</v>
      </c>
      <c r="I198" s="15" t="s">
        <v>54</v>
      </c>
      <c r="J198" s="16"/>
      <c r="K198" s="18">
        <v>333.51277565329275</v>
      </c>
      <c r="M198">
        <v>97.381999999996879</v>
      </c>
      <c r="N198">
        <v>10.821999999999207</v>
      </c>
    </row>
    <row r="199" spans="1:16375" ht="18" x14ac:dyDescent="0.35">
      <c r="A199" s="10">
        <v>44918</v>
      </c>
      <c r="B199" s="11" t="s">
        <v>163</v>
      </c>
      <c r="C199" s="11" t="s">
        <v>159</v>
      </c>
      <c r="D199" s="11" t="s">
        <v>13</v>
      </c>
      <c r="E199" s="12">
        <f t="shared" si="30"/>
        <v>0</v>
      </c>
      <c r="F199" s="13"/>
      <c r="G199" s="22">
        <f>214.516-26.2-34.65-18.68-32.88-18.72-22.67</f>
        <v>60.715999999999994</v>
      </c>
      <c r="H199" s="22">
        <f>214.516-26.2-34.65-18.68-32.88-18.72-22.67</f>
        <v>60.715999999999994</v>
      </c>
      <c r="I199" s="15" t="s">
        <v>21</v>
      </c>
      <c r="J199" s="16"/>
      <c r="K199" s="18">
        <v>295</v>
      </c>
      <c r="M199">
        <v>22.642000000000735</v>
      </c>
      <c r="N199">
        <v>1.6320000000005166</v>
      </c>
    </row>
    <row r="200" spans="1:16375" ht="18" x14ac:dyDescent="0.35">
      <c r="A200" s="10">
        <v>44979</v>
      </c>
      <c r="B200" s="11" t="s">
        <v>164</v>
      </c>
      <c r="C200" s="11" t="s">
        <v>159</v>
      </c>
      <c r="D200" s="11" t="s">
        <v>13</v>
      </c>
      <c r="E200" s="12">
        <f t="shared" si="30"/>
        <v>0</v>
      </c>
      <c r="F200" s="13"/>
      <c r="G200" s="22">
        <f>411.634-18.56-14.96</f>
        <v>378.11400000000003</v>
      </c>
      <c r="H200" s="22">
        <f>411.634-18.56-14.96</f>
        <v>378.11400000000003</v>
      </c>
      <c r="I200" s="15" t="s">
        <v>21</v>
      </c>
      <c r="J200" s="16"/>
      <c r="K200" s="18">
        <v>293.92349430406506</v>
      </c>
      <c r="M200">
        <v>136.7610000000077</v>
      </c>
      <c r="N200">
        <v>11.831000000000131</v>
      </c>
    </row>
    <row r="201" spans="1:16375" ht="18" x14ac:dyDescent="0.35">
      <c r="A201" s="10">
        <v>45037</v>
      </c>
      <c r="B201" s="11" t="s">
        <v>165</v>
      </c>
      <c r="C201" s="11" t="s">
        <v>159</v>
      </c>
      <c r="D201" s="11" t="s">
        <v>166</v>
      </c>
      <c r="E201" s="12">
        <f t="shared" si="30"/>
        <v>2077.5010000000007</v>
      </c>
      <c r="F201" s="13"/>
      <c r="G201" s="22">
        <f>650+710+245+100-202.155+100-190.545+400-89.33+200-94.87+195-183.15</f>
        <v>1839.9499999999998</v>
      </c>
      <c r="H201" s="22">
        <f>4677.501-202.155-190.545-89.33-94.87-183.15</f>
        <v>3917.4510000000005</v>
      </c>
      <c r="I201" s="15" t="s">
        <v>167</v>
      </c>
      <c r="J201" s="16"/>
      <c r="K201" s="18"/>
      <c r="M201">
        <v>2760.6290000000004</v>
      </c>
      <c r="N201">
        <v>1081.4140000000002</v>
      </c>
    </row>
    <row r="202" spans="1:16375" ht="18" x14ac:dyDescent="0.35">
      <c r="A202" s="10">
        <v>44860</v>
      </c>
      <c r="B202" s="11" t="s">
        <v>168</v>
      </c>
      <c r="C202" s="11" t="s">
        <v>159</v>
      </c>
      <c r="D202" s="11" t="s">
        <v>16</v>
      </c>
      <c r="E202" s="12">
        <f t="shared" si="30"/>
        <v>0</v>
      </c>
      <c r="F202" s="13"/>
      <c r="G202" s="22">
        <f>20.335-19.16</f>
        <v>1.1750000000000007</v>
      </c>
      <c r="H202" s="22">
        <f>20.335-19.16</f>
        <v>1.1750000000000007</v>
      </c>
      <c r="I202" s="15" t="s">
        <v>23</v>
      </c>
      <c r="J202" s="16"/>
      <c r="K202" s="18">
        <v>333.51277565329275</v>
      </c>
      <c r="M202">
        <v>2.0649999999995998</v>
      </c>
      <c r="N202">
        <v>1.7349999999996726</v>
      </c>
    </row>
    <row r="203" spans="1:16375" ht="18" x14ac:dyDescent="0.35">
      <c r="A203" s="10">
        <v>44892</v>
      </c>
      <c r="B203" s="11" t="s">
        <v>169</v>
      </c>
      <c r="C203" s="11" t="s">
        <v>159</v>
      </c>
      <c r="D203" s="11" t="s">
        <v>16</v>
      </c>
      <c r="E203" s="12">
        <f t="shared" si="30"/>
        <v>0</v>
      </c>
      <c r="F203" s="13"/>
      <c r="G203" s="22">
        <f>432.911-20.56-74.57-27.66-18.15-71.08-53.42-60.32-20.06-81.02</f>
        <v>6.0710000000000122</v>
      </c>
      <c r="H203" s="22">
        <f>432.911-20.56-74.57-27.66-18.15-71.08-53.42-60.32-20.06-81.02</f>
        <v>6.0710000000000122</v>
      </c>
      <c r="I203" s="15" t="s">
        <v>23</v>
      </c>
      <c r="J203" s="16"/>
      <c r="K203" s="18">
        <v>317.2534669805915</v>
      </c>
      <c r="M203">
        <v>7.0559999999977663</v>
      </c>
      <c r="N203">
        <v>6.365999999999076</v>
      </c>
    </row>
    <row r="204" spans="1:16375" ht="18" x14ac:dyDescent="0.35">
      <c r="A204" s="10">
        <v>44944</v>
      </c>
      <c r="B204" s="11" t="s">
        <v>170</v>
      </c>
      <c r="C204" s="11" t="s">
        <v>159</v>
      </c>
      <c r="D204" s="11" t="s">
        <v>16</v>
      </c>
      <c r="E204" s="28">
        <f>H204-G204</f>
        <v>-298.92699999999979</v>
      </c>
      <c r="F204" s="13"/>
      <c r="G204" s="22">
        <f>2350.47-192.04-38.17-180.06-140.48-178.74-67.7-87.34+25-18.65+50-114.79-70.12-47.11+15-106.31-19.72+17-63.92-94.32-68.92-52.62-63.86-46.38+25-40.24-39.8-48.24-44.3-37.46+25-41.06-94.55-21.81</f>
        <v>488.75999999999988</v>
      </c>
      <c r="H204" s="22">
        <f>2208.543-192.04-38.17-180.06-140.48-178.74-67.7-87.34-18.65-114.79-70.12-47.11-106.31-19.72-63.92-94.32-68.92-52.62-63.86-46.38-40.24-39.8-48.24-44.3-37.46-41.06-94.55-21.81</f>
        <v>189.83300000000008</v>
      </c>
      <c r="I204" s="15" t="s">
        <v>23</v>
      </c>
      <c r="J204" s="16"/>
      <c r="K204" s="18">
        <v>286.80857439643006</v>
      </c>
      <c r="M204">
        <v>117.62300000000505</v>
      </c>
      <c r="N204">
        <v>-154.41699999999946</v>
      </c>
    </row>
    <row r="205" spans="1:16375" ht="18.600000000000001" thickBot="1" x14ac:dyDescent="0.4">
      <c r="A205" s="19"/>
      <c r="B205" s="26" t="s">
        <v>27</v>
      </c>
      <c r="C205" s="11"/>
      <c r="D205" s="11"/>
      <c r="E205" s="20">
        <f>SUBTOTAL(9,E196:E204)</f>
        <v>1783.574000000001</v>
      </c>
      <c r="F205" s="21">
        <f>E205</f>
        <v>1783.574000000001</v>
      </c>
      <c r="G205" s="20">
        <f>SUBTOTAL(9,G196:G204)</f>
        <v>3044.7700000000027</v>
      </c>
      <c r="H205" s="20">
        <f>SUBTOTAL(9,H196:H204)</f>
        <v>4828.3440000000046</v>
      </c>
      <c r="I205" s="33"/>
      <c r="J205" s="34"/>
      <c r="K205" s="35">
        <v>340.29989425974929</v>
      </c>
    </row>
    <row r="206" spans="1:16375" ht="18.600000000000001" thickBot="1" x14ac:dyDescent="0.4">
      <c r="A206" s="36"/>
      <c r="B206" s="37" t="s">
        <v>171</v>
      </c>
      <c r="C206" s="38"/>
      <c r="D206" s="38"/>
      <c r="E206" s="39"/>
      <c r="F206" s="40">
        <f>SUM(F7:F205)</f>
        <v>40572.377</v>
      </c>
      <c r="G206" s="40">
        <f>G205+G186+G182+G176+G162+G152+G144+G139+G134+G129+G125+G121+G116+G101+G96+G90+G86+G83+G72+G69+G65+G57+G49+G37+G25+G20+G16+G167+G191+G194</f>
        <v>25202.556</v>
      </c>
      <c r="H206" s="40">
        <f>H205+H186+H182+H176+H162+H152+H144+H139+H134+H129+H125+H121+H116+H101+H96+H90+H86+H83+H72+H69+H65+H57+H49+H37+H25+H20+H16+H167+H191+H194</f>
        <v>65824.933000000019</v>
      </c>
      <c r="I206" s="41"/>
      <c r="J206" s="42"/>
      <c r="K206" s="43"/>
    </row>
    <row r="207" spans="1:16375" s="1" customFormat="1" x14ac:dyDescent="0.35">
      <c r="B207"/>
      <c r="C207"/>
      <c r="D207"/>
      <c r="F207" s="2"/>
      <c r="G207"/>
      <c r="H207" s="44"/>
      <c r="K207" s="3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1" customFormat="1" x14ac:dyDescent="0.35">
      <c r="B208"/>
      <c r="C208"/>
      <c r="D208"/>
      <c r="F208" s="2"/>
      <c r="G208" s="44"/>
      <c r="H208" s="44"/>
      <c r="K208" s="3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5">
      <c r="B209"/>
      <c r="C209"/>
      <c r="D209"/>
      <c r="F209" s="2"/>
      <c r="G209"/>
      <c r="H209"/>
      <c r="K209" s="3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5">
      <c r="B210"/>
      <c r="C210"/>
      <c r="D210"/>
      <c r="F210" s="2"/>
      <c r="G210"/>
      <c r="H210"/>
      <c r="K210" s="3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 xr:uid="{00000000-0009-0000-0000-000000000000}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BI202"/>
  <sheetViews>
    <sheetView zoomScale="90" zoomScaleNormal="90" workbookViewId="0">
      <pane ySplit="2" topLeftCell="A137" activePane="bottomLeft" state="frozen"/>
      <selection pane="bottomLeft" activeCell="C194" sqref="C194"/>
    </sheetView>
  </sheetViews>
  <sheetFormatPr defaultColWidth="9.109375" defaultRowHeight="17.399999999999999" x14ac:dyDescent="0.35"/>
  <cols>
    <col min="1" max="1" width="13.5546875" style="86" customWidth="1"/>
    <col min="2" max="2" width="16.109375" style="1" customWidth="1"/>
    <col min="3" max="3" width="34" customWidth="1"/>
    <col min="4" max="4" width="25.6640625" customWidth="1"/>
    <col min="5" max="5" width="14.33203125" customWidth="1"/>
    <col min="6" max="6" width="17.6640625" style="1" customWidth="1"/>
    <col min="7" max="7" width="14.109375" style="2" customWidth="1"/>
    <col min="8" max="8" width="22.6640625" customWidth="1"/>
    <col min="9" max="10" width="20.33203125" customWidth="1"/>
    <col min="11" max="11" width="26.6640625" style="1" customWidth="1"/>
    <col min="12" max="12" width="18.44140625" style="1" bestFit="1" customWidth="1"/>
    <col min="13" max="13" width="24.6640625" style="1" bestFit="1" customWidth="1"/>
    <col min="14" max="15" width="29.6640625" style="3" customWidth="1"/>
    <col min="16" max="52" width="9.109375" style="86"/>
    <col min="53" max="53" width="13" style="107" customWidth="1"/>
    <col min="54" max="16383" width="9.109375" style="86"/>
    <col min="16384" max="16384" width="22.5546875" style="86" customWidth="1"/>
  </cols>
  <sheetData>
    <row r="1" spans="1:57" ht="33" customHeight="1" thickBot="1" x14ac:dyDescent="0.35">
      <c r="B1" s="115" t="s">
        <v>394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7"/>
      <c r="N1" s="63"/>
      <c r="O1" s="63"/>
    </row>
    <row r="2" spans="1:57" ht="36.6" thickBot="1" x14ac:dyDescent="0.4">
      <c r="A2" s="86" t="s">
        <v>569</v>
      </c>
      <c r="B2" s="5" t="s">
        <v>232</v>
      </c>
      <c r="C2" s="6" t="s">
        <v>1</v>
      </c>
      <c r="D2" s="6" t="s">
        <v>2</v>
      </c>
      <c r="E2" s="6" t="s">
        <v>3</v>
      </c>
      <c r="F2" s="7" t="s">
        <v>4</v>
      </c>
      <c r="G2" s="7" t="s">
        <v>4</v>
      </c>
      <c r="H2" s="7" t="s">
        <v>5</v>
      </c>
      <c r="I2" s="7" t="s">
        <v>6</v>
      </c>
      <c r="J2" s="7" t="s">
        <v>279</v>
      </c>
      <c r="K2" s="7" t="s">
        <v>7</v>
      </c>
      <c r="L2" s="64" t="s">
        <v>397</v>
      </c>
      <c r="M2" s="62" t="s">
        <v>231</v>
      </c>
      <c r="N2" s="9" t="s">
        <v>398</v>
      </c>
      <c r="O2" s="9" t="s">
        <v>395</v>
      </c>
    </row>
    <row r="3" spans="1:57" ht="18" hidden="1" x14ac:dyDescent="0.35">
      <c r="A3" s="86">
        <v>6243</v>
      </c>
      <c r="B3" s="10">
        <v>45983</v>
      </c>
      <c r="C3" s="80" t="s">
        <v>262</v>
      </c>
      <c r="D3" s="11" t="s">
        <v>11</v>
      </c>
      <c r="E3" s="11" t="s">
        <v>16</v>
      </c>
      <c r="F3" s="87">
        <v>0</v>
      </c>
      <c r="G3" s="13"/>
      <c r="H3" s="14">
        <f t="shared" ref="H3:H10" si="0">I3-F3</f>
        <v>0.14000000000000001</v>
      </c>
      <c r="I3" s="14">
        <v>0.14000000000000001</v>
      </c>
      <c r="J3" s="14">
        <v>1573.43</v>
      </c>
      <c r="K3" s="15" t="s">
        <v>23</v>
      </c>
      <c r="L3" s="65" t="s">
        <v>396</v>
      </c>
      <c r="M3" s="16">
        <f t="shared" ref="M3:M8" ca="1" si="1">TODAY()-B3</f>
        <v>188</v>
      </c>
      <c r="N3" s="18">
        <v>28549.62</v>
      </c>
      <c r="O3" s="18">
        <v>35.357999999999997</v>
      </c>
      <c r="AZ3" s="86" t="s">
        <v>399</v>
      </c>
      <c r="BA3" s="107">
        <v>6243</v>
      </c>
      <c r="BB3" s="86" t="s">
        <v>400</v>
      </c>
      <c r="BC3" s="86" t="s">
        <v>401</v>
      </c>
    </row>
    <row r="4" spans="1:57" ht="18" hidden="1" x14ac:dyDescent="0.35">
      <c r="A4" s="86">
        <v>6316</v>
      </c>
      <c r="B4" s="10">
        <v>46058</v>
      </c>
      <c r="C4" s="11" t="s">
        <v>285</v>
      </c>
      <c r="D4" s="11" t="s">
        <v>11</v>
      </c>
      <c r="E4" s="11" t="s">
        <v>16</v>
      </c>
      <c r="F4" s="12">
        <v>0</v>
      </c>
      <c r="G4" s="13"/>
      <c r="H4" s="14">
        <f t="shared" si="0"/>
        <v>2.87</v>
      </c>
      <c r="I4" s="14">
        <v>2.87</v>
      </c>
      <c r="J4" s="14">
        <v>1425</v>
      </c>
      <c r="K4" s="15" t="s">
        <v>23</v>
      </c>
      <c r="L4" s="65" t="s">
        <v>396</v>
      </c>
      <c r="M4" s="16">
        <f t="shared" ca="1" si="1"/>
        <v>113</v>
      </c>
      <c r="N4" s="18">
        <v>30212.812000000002</v>
      </c>
      <c r="O4" s="18">
        <v>38.762499999999996</v>
      </c>
      <c r="AZ4" s="86" t="s">
        <v>399</v>
      </c>
      <c r="BA4" s="107">
        <v>6316</v>
      </c>
      <c r="BB4" s="86" t="s">
        <v>402</v>
      </c>
      <c r="BC4" s="86" t="s">
        <v>403</v>
      </c>
    </row>
    <row r="5" spans="1:57" ht="18" hidden="1" x14ac:dyDescent="0.35">
      <c r="A5" s="86">
        <v>6302</v>
      </c>
      <c r="B5" s="10">
        <v>46074</v>
      </c>
      <c r="C5" s="11" t="s">
        <v>298</v>
      </c>
      <c r="D5" s="11" t="s">
        <v>11</v>
      </c>
      <c r="E5" s="11" t="s">
        <v>16</v>
      </c>
      <c r="F5" s="12">
        <v>0</v>
      </c>
      <c r="G5" s="13"/>
      <c r="H5" s="14">
        <f t="shared" si="0"/>
        <v>29.106999999999999</v>
      </c>
      <c r="I5" s="14">
        <v>29.106999999999999</v>
      </c>
      <c r="J5" s="14">
        <v>1362.808</v>
      </c>
      <c r="K5" s="15" t="s">
        <v>23</v>
      </c>
      <c r="L5" s="65" t="s">
        <v>396</v>
      </c>
      <c r="M5" s="16">
        <f t="shared" ca="1" si="1"/>
        <v>97</v>
      </c>
      <c r="N5" s="18">
        <v>36627.980999524509</v>
      </c>
      <c r="O5" s="18">
        <v>46.583333333333336</v>
      </c>
      <c r="AZ5" s="86" t="s">
        <v>399</v>
      </c>
      <c r="BA5" s="107">
        <v>6302</v>
      </c>
      <c r="BB5" s="86" t="s">
        <v>404</v>
      </c>
      <c r="BC5" s="86" t="s">
        <v>405</v>
      </c>
      <c r="BD5" s="86" t="s">
        <v>406</v>
      </c>
      <c r="BE5" s="86" t="s">
        <v>407</v>
      </c>
    </row>
    <row r="6" spans="1:57" ht="18" hidden="1" x14ac:dyDescent="0.35">
      <c r="A6" s="86">
        <v>6321</v>
      </c>
      <c r="B6" s="10">
        <v>46089</v>
      </c>
      <c r="C6" s="11" t="s">
        <v>311</v>
      </c>
      <c r="D6" s="11" t="s">
        <v>11</v>
      </c>
      <c r="E6" s="11" t="s">
        <v>16</v>
      </c>
      <c r="F6" s="12">
        <f>2002.368-50-21-100-100-50-417-120-25-170-50+245-20-20-875-20+484-45-10-25-30-96+30-155-20+25-96</f>
        <v>271.36799999999994</v>
      </c>
      <c r="G6" s="13"/>
      <c r="H6" s="14">
        <f t="shared" si="0"/>
        <v>372.54100000000005</v>
      </c>
      <c r="I6" s="14">
        <v>643.90899999999999</v>
      </c>
      <c r="J6" s="14">
        <v>2002.3679999999999</v>
      </c>
      <c r="K6" s="15" t="s">
        <v>23</v>
      </c>
      <c r="L6" s="65" t="s">
        <v>396</v>
      </c>
      <c r="M6" s="16">
        <f t="shared" ca="1" si="1"/>
        <v>82</v>
      </c>
      <c r="N6" s="18">
        <v>35873.199996204487</v>
      </c>
      <c r="O6" s="18">
        <v>54.988461538461543</v>
      </c>
      <c r="AZ6" s="86" t="s">
        <v>399</v>
      </c>
      <c r="BA6" s="107">
        <v>6321</v>
      </c>
      <c r="BB6" s="86" t="s">
        <v>408</v>
      </c>
      <c r="BC6" s="86" t="s">
        <v>409</v>
      </c>
    </row>
    <row r="7" spans="1:57" ht="18" hidden="1" x14ac:dyDescent="0.35">
      <c r="A7" s="86">
        <v>6163</v>
      </c>
      <c r="B7" s="10">
        <v>46281</v>
      </c>
      <c r="C7" s="11" t="s">
        <v>246</v>
      </c>
      <c r="D7" s="11" t="s">
        <v>11</v>
      </c>
      <c r="E7" s="11" t="s">
        <v>19</v>
      </c>
      <c r="F7" s="12">
        <v>0</v>
      </c>
      <c r="G7" s="13"/>
      <c r="H7" s="14">
        <f t="shared" si="0"/>
        <v>4.0000000000000001E-3</v>
      </c>
      <c r="I7" s="14">
        <v>4.0000000000000001E-3</v>
      </c>
      <c r="J7" s="14">
        <v>3902.732</v>
      </c>
      <c r="K7" s="15" t="s">
        <v>290</v>
      </c>
      <c r="L7" s="65" t="s">
        <v>396</v>
      </c>
      <c r="M7" s="16">
        <f t="shared" ca="1" si="1"/>
        <v>-110</v>
      </c>
      <c r="N7" s="18">
        <v>30523.41999843104</v>
      </c>
      <c r="O7" s="18">
        <v>33.197291666666665</v>
      </c>
      <c r="AZ7" s="86" t="s">
        <v>399</v>
      </c>
      <c r="BA7" s="107">
        <v>6163</v>
      </c>
      <c r="BB7" s="86" t="s">
        <v>400</v>
      </c>
      <c r="BC7" s="86" t="s">
        <v>410</v>
      </c>
    </row>
    <row r="8" spans="1:57" ht="18" hidden="1" x14ac:dyDescent="0.35">
      <c r="A8" s="86" t="s">
        <v>411</v>
      </c>
      <c r="B8" s="10">
        <v>45929</v>
      </c>
      <c r="C8" s="11" t="s">
        <v>252</v>
      </c>
      <c r="D8" s="11" t="s">
        <v>11</v>
      </c>
      <c r="E8" s="11" t="s">
        <v>19</v>
      </c>
      <c r="F8" s="12">
        <v>0</v>
      </c>
      <c r="G8" s="13"/>
      <c r="H8" s="14">
        <f t="shared" si="0"/>
        <v>0.54</v>
      </c>
      <c r="I8" s="14">
        <v>0.54</v>
      </c>
      <c r="J8" s="14">
        <v>995.53300000000002</v>
      </c>
      <c r="K8" s="15" t="s">
        <v>290</v>
      </c>
      <c r="L8" s="65" t="s">
        <v>396</v>
      </c>
      <c r="M8" s="16">
        <f t="shared" ca="1" si="1"/>
        <v>242</v>
      </c>
      <c r="N8" s="18">
        <v>31406.49249798763</v>
      </c>
      <c r="O8" s="18">
        <v>30.5</v>
      </c>
      <c r="AZ8" s="86" t="s">
        <v>399</v>
      </c>
      <c r="BA8" s="107" t="s">
        <v>411</v>
      </c>
      <c r="BB8" s="86" t="s">
        <v>412</v>
      </c>
      <c r="BC8" s="86" t="s">
        <v>413</v>
      </c>
    </row>
    <row r="9" spans="1:57" ht="18" hidden="1" x14ac:dyDescent="0.35">
      <c r="A9" s="86" t="s">
        <v>414</v>
      </c>
      <c r="B9" s="10">
        <v>46066</v>
      </c>
      <c r="C9" s="11" t="s">
        <v>289</v>
      </c>
      <c r="D9" s="11" t="s">
        <v>11</v>
      </c>
      <c r="E9" s="11" t="s">
        <v>19</v>
      </c>
      <c r="F9" s="12">
        <v>0</v>
      </c>
      <c r="G9" s="13"/>
      <c r="H9" s="14">
        <f t="shared" si="0"/>
        <v>22.387</v>
      </c>
      <c r="I9" s="14">
        <v>22.387</v>
      </c>
      <c r="J9" s="14">
        <v>950.01199999999994</v>
      </c>
      <c r="K9" s="15" t="s">
        <v>290</v>
      </c>
      <c r="L9" s="65" t="s">
        <v>396</v>
      </c>
      <c r="M9" s="16">
        <f t="shared" ref="M9:M10" ca="1" si="2">TODAY()-B9</f>
        <v>105</v>
      </c>
      <c r="N9" s="18">
        <v>32103.198496440051</v>
      </c>
      <c r="O9" s="18">
        <v>41.46153846153846</v>
      </c>
      <c r="AZ9" s="86" t="s">
        <v>399</v>
      </c>
      <c r="BA9" s="107" t="s">
        <v>414</v>
      </c>
      <c r="BB9" s="86" t="s">
        <v>415</v>
      </c>
      <c r="BC9" s="86" t="s">
        <v>416</v>
      </c>
    </row>
    <row r="10" spans="1:57" ht="18" hidden="1" x14ac:dyDescent="0.35">
      <c r="A10" s="86">
        <v>6377</v>
      </c>
      <c r="B10" s="10">
        <v>46118</v>
      </c>
      <c r="C10" s="11" t="s">
        <v>339</v>
      </c>
      <c r="D10" s="11" t="s">
        <v>11</v>
      </c>
      <c r="E10" s="11" t="s">
        <v>19</v>
      </c>
      <c r="F10" s="12">
        <f>1891.307-25-25-25</f>
        <v>1816.307</v>
      </c>
      <c r="G10" s="13"/>
      <c r="H10" s="14">
        <f t="shared" si="0"/>
        <v>26.650000000000091</v>
      </c>
      <c r="I10" s="14">
        <v>1842.9570000000001</v>
      </c>
      <c r="J10" s="14">
        <v>1891.307</v>
      </c>
      <c r="K10" s="15" t="s">
        <v>290</v>
      </c>
      <c r="L10" s="65" t="s">
        <v>396</v>
      </c>
      <c r="M10" s="16">
        <f t="shared" ca="1" si="2"/>
        <v>53</v>
      </c>
      <c r="N10" s="18">
        <v>41470</v>
      </c>
      <c r="O10" s="18">
        <v>48</v>
      </c>
      <c r="AZ10" s="86" t="s">
        <v>399</v>
      </c>
      <c r="BA10" s="107">
        <v>6377</v>
      </c>
      <c r="BB10" s="86" t="s">
        <v>417</v>
      </c>
      <c r="BC10" s="86" t="s">
        <v>418</v>
      </c>
    </row>
    <row r="11" spans="1:57" ht="18" hidden="1" x14ac:dyDescent="0.35">
      <c r="A11" s="86">
        <v>6395</v>
      </c>
      <c r="B11" s="10">
        <v>46136</v>
      </c>
      <c r="C11" s="11" t="s">
        <v>361</v>
      </c>
      <c r="D11" s="11" t="s">
        <v>11</v>
      </c>
      <c r="E11" s="11" t="s">
        <v>9</v>
      </c>
      <c r="F11" s="12">
        <f>1890.959-507.99-262-530-484-202-70+70+120</f>
        <v>24.969000000000051</v>
      </c>
      <c r="G11" s="13"/>
      <c r="H11" s="14">
        <f t="shared" ref="H11:H12" si="3">I11-F11</f>
        <v>66.533999999999949</v>
      </c>
      <c r="I11" s="14">
        <v>91.503</v>
      </c>
      <c r="J11" s="14">
        <v>1890.9590000000001</v>
      </c>
      <c r="K11" s="15" t="s">
        <v>362</v>
      </c>
      <c r="L11" s="65" t="s">
        <v>396</v>
      </c>
      <c r="M11" s="16">
        <f t="shared" ref="M11:M12" ca="1" si="4">TODAY()-B11</f>
        <v>35</v>
      </c>
      <c r="N11" s="18">
        <v>37847.972500000003</v>
      </c>
      <c r="O11" s="18">
        <v>48.333333333333336</v>
      </c>
      <c r="AZ11" s="86" t="s">
        <v>399</v>
      </c>
      <c r="BA11" s="107">
        <v>6395</v>
      </c>
      <c r="BB11" s="86" t="s">
        <v>419</v>
      </c>
    </row>
    <row r="12" spans="1:57" ht="18" x14ac:dyDescent="0.35">
      <c r="B12" s="91">
        <v>46141</v>
      </c>
      <c r="C12" s="92" t="s">
        <v>368</v>
      </c>
      <c r="D12" s="92" t="s">
        <v>11</v>
      </c>
      <c r="E12" s="92" t="s">
        <v>9</v>
      </c>
      <c r="F12" s="93">
        <f>1886.447-70-120-25</f>
        <v>1671.4469999999999</v>
      </c>
      <c r="G12" s="94"/>
      <c r="H12" s="95">
        <f t="shared" si="3"/>
        <v>35.810000000000173</v>
      </c>
      <c r="I12" s="95">
        <v>1707.2570000000001</v>
      </c>
      <c r="J12" s="95">
        <v>1886.4469999999999</v>
      </c>
      <c r="K12" s="96" t="s">
        <v>362</v>
      </c>
      <c r="L12" s="97" t="s">
        <v>310</v>
      </c>
      <c r="M12" s="101">
        <f t="shared" ca="1" si="4"/>
        <v>30</v>
      </c>
      <c r="N12" s="18"/>
      <c r="O12" s="18"/>
      <c r="AZ12" s="86" t="s">
        <v>420</v>
      </c>
      <c r="BA12" s="107">
        <v>10</v>
      </c>
      <c r="BB12" s="86" t="s">
        <v>421</v>
      </c>
      <c r="BC12" s="86" t="s">
        <v>422</v>
      </c>
    </row>
    <row r="13" spans="1:57" ht="18" hidden="1" x14ac:dyDescent="0.35">
      <c r="B13" s="19"/>
      <c r="C13" s="13" t="s">
        <v>27</v>
      </c>
      <c r="D13" s="13"/>
      <c r="E13" s="13"/>
      <c r="F13" s="20">
        <f>SUBTOTAL(9,F3:F12)</f>
        <v>1671.4469999999999</v>
      </c>
      <c r="G13" s="21">
        <f>F13</f>
        <v>1671.4469999999999</v>
      </c>
      <c r="H13" s="20">
        <f>SUBTOTAL(9,H3:H12)</f>
        <v>35.810000000000173</v>
      </c>
      <c r="I13" s="20">
        <f>SUBTOTAL(9,I3:I12)</f>
        <v>1707.2570000000001</v>
      </c>
      <c r="J13" s="20"/>
      <c r="K13" s="15"/>
      <c r="L13" s="65"/>
      <c r="M13" s="16"/>
      <c r="N13" s="18"/>
      <c r="O13" s="18"/>
      <c r="AZ13" s="86" t="s">
        <v>27</v>
      </c>
    </row>
    <row r="14" spans="1:57" ht="18" hidden="1" x14ac:dyDescent="0.35">
      <c r="B14" s="19"/>
      <c r="C14" s="13"/>
      <c r="D14" s="13"/>
      <c r="E14" s="13"/>
      <c r="F14" s="20"/>
      <c r="G14" s="21"/>
      <c r="H14" s="20"/>
      <c r="I14" s="20"/>
      <c r="J14" s="20"/>
      <c r="K14" s="15"/>
      <c r="L14" s="65"/>
      <c r="M14" s="16"/>
      <c r="N14" s="18"/>
      <c r="O14" s="18"/>
    </row>
    <row r="15" spans="1:57" ht="18" hidden="1" x14ac:dyDescent="0.35">
      <c r="A15" s="86">
        <v>6365</v>
      </c>
      <c r="B15" s="10">
        <v>46136</v>
      </c>
      <c r="C15" s="11" t="s">
        <v>360</v>
      </c>
      <c r="D15" s="11" t="s">
        <v>240</v>
      </c>
      <c r="E15" s="11" t="s">
        <v>9</v>
      </c>
      <c r="F15" s="12">
        <v>0</v>
      </c>
      <c r="G15" s="13"/>
      <c r="H15" s="14">
        <f t="shared" ref="H15:H17" si="5">I15-F15</f>
        <v>54.277000000000001</v>
      </c>
      <c r="I15" s="14">
        <v>54.277000000000001</v>
      </c>
      <c r="J15" s="14">
        <v>475</v>
      </c>
      <c r="K15" s="15" t="s">
        <v>32</v>
      </c>
      <c r="L15" s="65" t="s">
        <v>396</v>
      </c>
      <c r="M15" s="15">
        <f t="shared" ref="M15:M17" ca="1" si="6">TODAY()-B15</f>
        <v>35</v>
      </c>
      <c r="N15" s="18">
        <v>135178.45000000001</v>
      </c>
      <c r="O15" s="18">
        <v>145.29166666666666</v>
      </c>
      <c r="AZ15" s="86" t="s">
        <v>399</v>
      </c>
      <c r="BA15" s="107">
        <v>6365</v>
      </c>
      <c r="BB15" s="86" t="s">
        <v>419</v>
      </c>
    </row>
    <row r="16" spans="1:57" ht="18" hidden="1" x14ac:dyDescent="0.35">
      <c r="A16" s="86">
        <v>6381</v>
      </c>
      <c r="B16" s="10">
        <v>46142</v>
      </c>
      <c r="C16" s="11" t="s">
        <v>365</v>
      </c>
      <c r="D16" s="11" t="s">
        <v>240</v>
      </c>
      <c r="E16" s="11" t="s">
        <v>9</v>
      </c>
      <c r="F16" s="12">
        <f>953.922-75.801-71-25-20-40</f>
        <v>722.12099999999998</v>
      </c>
      <c r="G16" s="13"/>
      <c r="H16" s="14">
        <f t="shared" si="5"/>
        <v>46.571000000000026</v>
      </c>
      <c r="I16" s="14">
        <v>768.69200000000001</v>
      </c>
      <c r="J16" s="14">
        <v>953.92200000000003</v>
      </c>
      <c r="K16" s="15" t="s">
        <v>32</v>
      </c>
      <c r="L16" s="65" t="s">
        <v>396</v>
      </c>
      <c r="M16" s="15">
        <f t="shared" ca="1" si="6"/>
        <v>29</v>
      </c>
      <c r="N16" s="18">
        <v>138749.20000333976</v>
      </c>
      <c r="O16" s="18">
        <v>138.375</v>
      </c>
      <c r="AZ16" s="86" t="s">
        <v>399</v>
      </c>
      <c r="BA16" s="107">
        <v>6381</v>
      </c>
      <c r="BB16" s="86" t="s">
        <v>423</v>
      </c>
      <c r="BC16" s="86" t="s">
        <v>424</v>
      </c>
    </row>
    <row r="17" spans="1:58" ht="18" x14ac:dyDescent="0.35">
      <c r="B17" s="10">
        <v>46105</v>
      </c>
      <c r="C17" s="11" t="s">
        <v>338</v>
      </c>
      <c r="D17" s="11" t="s">
        <v>240</v>
      </c>
      <c r="E17" s="11" t="s">
        <v>13</v>
      </c>
      <c r="F17" s="12">
        <v>3.39</v>
      </c>
      <c r="G17" s="13"/>
      <c r="H17" s="14">
        <f t="shared" si="5"/>
        <v>1.6599999999999997</v>
      </c>
      <c r="I17" s="14">
        <v>5.05</v>
      </c>
      <c r="J17" s="14">
        <v>200</v>
      </c>
      <c r="K17" s="15" t="s">
        <v>21</v>
      </c>
      <c r="L17" s="65" t="s">
        <v>396</v>
      </c>
      <c r="M17" s="16">
        <f t="shared" ca="1" si="6"/>
        <v>66</v>
      </c>
      <c r="N17" s="18"/>
      <c r="O17" s="18"/>
      <c r="AZ17" s="86" t="s">
        <v>425</v>
      </c>
      <c r="BA17" s="107" t="s">
        <v>426</v>
      </c>
      <c r="BB17" s="86" t="s">
        <v>427</v>
      </c>
      <c r="BC17" s="86" t="s">
        <v>428</v>
      </c>
      <c r="BD17" s="86">
        <v>24</v>
      </c>
      <c r="BE17" s="86">
        <v>3</v>
      </c>
      <c r="BF17" s="86">
        <v>26</v>
      </c>
    </row>
    <row r="18" spans="1:58" ht="18" hidden="1" x14ac:dyDescent="0.35">
      <c r="B18" s="10"/>
      <c r="C18" s="13" t="s">
        <v>27</v>
      </c>
      <c r="D18" s="12"/>
      <c r="E18" s="12"/>
      <c r="F18" s="20">
        <f>SUBTOTAL(9,F15:F17)</f>
        <v>3.39</v>
      </c>
      <c r="G18" s="21">
        <f>F18</f>
        <v>3.39</v>
      </c>
      <c r="H18" s="20">
        <f>SUBTOTAL(9,H15:H17)</f>
        <v>1.6599999999999997</v>
      </c>
      <c r="I18" s="20">
        <f>SUBTOTAL(9,I15:I17)</f>
        <v>5.05</v>
      </c>
      <c r="J18" s="20"/>
      <c r="K18" s="15"/>
      <c r="L18" s="65"/>
      <c r="M18" s="16"/>
      <c r="N18" s="18"/>
      <c r="O18" s="18"/>
      <c r="AZ18" s="86" t="s">
        <v>27</v>
      </c>
    </row>
    <row r="19" spans="1:58" ht="18" hidden="1" x14ac:dyDescent="0.35">
      <c r="B19" s="19"/>
      <c r="C19" s="26"/>
      <c r="D19" s="12"/>
      <c r="E19" s="11"/>
      <c r="F19" s="13"/>
      <c r="G19" s="13"/>
      <c r="H19" s="13"/>
      <c r="I19" s="27"/>
      <c r="J19" s="27"/>
      <c r="K19" s="15"/>
      <c r="L19" s="65"/>
      <c r="M19" s="16"/>
      <c r="N19" s="18"/>
      <c r="O19" s="18"/>
    </row>
    <row r="20" spans="1:58" ht="18" hidden="1" x14ac:dyDescent="0.35">
      <c r="A20" s="86">
        <v>6259</v>
      </c>
      <c r="B20" s="10">
        <v>46051</v>
      </c>
      <c r="C20" s="11" t="s">
        <v>283</v>
      </c>
      <c r="D20" s="11" t="s">
        <v>46</v>
      </c>
      <c r="E20" s="11" t="s">
        <v>9</v>
      </c>
      <c r="F20" s="12">
        <v>0</v>
      </c>
      <c r="G20" s="13"/>
      <c r="H20" s="14">
        <f t="shared" ref="H20:H27" si="7">I20-F20</f>
        <v>24.3</v>
      </c>
      <c r="I20" s="14">
        <v>24.3</v>
      </c>
      <c r="J20" s="14">
        <v>1894.95</v>
      </c>
      <c r="K20" s="15" t="s">
        <v>32</v>
      </c>
      <c r="L20" s="65" t="s">
        <v>396</v>
      </c>
      <c r="M20" s="65">
        <f t="shared" ref="M20:M27" ca="1" si="8">TODAY()-B20</f>
        <v>120</v>
      </c>
      <c r="N20" s="18">
        <v>69118.005599531913</v>
      </c>
      <c r="O20" s="18">
        <v>97.307142857142864</v>
      </c>
      <c r="AZ20" s="86" t="s">
        <v>399</v>
      </c>
      <c r="BA20" s="107">
        <v>6259</v>
      </c>
      <c r="BB20" s="86" t="s">
        <v>429</v>
      </c>
      <c r="BC20" s="86" t="s">
        <v>430</v>
      </c>
    </row>
    <row r="21" spans="1:58" ht="18" hidden="1" x14ac:dyDescent="0.35">
      <c r="A21" s="86">
        <v>6382</v>
      </c>
      <c r="B21" s="10">
        <v>46125</v>
      </c>
      <c r="C21" s="11" t="s">
        <v>348</v>
      </c>
      <c r="D21" s="11" t="s">
        <v>46</v>
      </c>
      <c r="E21" s="11" t="s">
        <v>9</v>
      </c>
      <c r="F21" s="13">
        <f>164.975-50</f>
        <v>114.97499999999999</v>
      </c>
      <c r="G21" s="13"/>
      <c r="H21" s="14">
        <f t="shared" si="7"/>
        <v>0.4100000000000108</v>
      </c>
      <c r="I21" s="14">
        <v>115.38500000000001</v>
      </c>
      <c r="J21" s="14">
        <v>190.678</v>
      </c>
      <c r="K21" s="15" t="s">
        <v>32</v>
      </c>
      <c r="L21" s="65" t="s">
        <v>396</v>
      </c>
      <c r="M21" s="65">
        <f t="shared" ca="1" si="8"/>
        <v>46</v>
      </c>
      <c r="N21" s="18">
        <v>122399.73526049151</v>
      </c>
      <c r="O21" s="18">
        <v>130.5</v>
      </c>
      <c r="AZ21" s="86" t="s">
        <v>399</v>
      </c>
      <c r="BA21" s="107">
        <v>6382</v>
      </c>
      <c r="BB21" s="86" t="s">
        <v>429</v>
      </c>
      <c r="BC21" s="86" t="s">
        <v>430</v>
      </c>
    </row>
    <row r="22" spans="1:58" ht="18" hidden="1" x14ac:dyDescent="0.35">
      <c r="A22" s="86">
        <v>6364</v>
      </c>
      <c r="B22" s="10">
        <v>46136</v>
      </c>
      <c r="C22" s="11" t="s">
        <v>359</v>
      </c>
      <c r="D22" s="11" t="s">
        <v>46</v>
      </c>
      <c r="E22" s="11" t="s">
        <v>9</v>
      </c>
      <c r="F22" s="12">
        <v>0</v>
      </c>
      <c r="G22" s="13"/>
      <c r="H22" s="14">
        <f t="shared" si="7"/>
        <v>584.10900000000004</v>
      </c>
      <c r="I22" s="14">
        <v>584.10900000000004</v>
      </c>
      <c r="J22" s="14">
        <v>1499.963</v>
      </c>
      <c r="K22" s="15" t="s">
        <v>29</v>
      </c>
      <c r="L22" s="65" t="s">
        <v>396</v>
      </c>
      <c r="M22" s="65">
        <f t="shared" ca="1" si="8"/>
        <v>35</v>
      </c>
      <c r="N22" s="18">
        <v>119875.24999616656</v>
      </c>
      <c r="O22" s="18">
        <v>118.45833333333333</v>
      </c>
      <c r="AZ22" s="86" t="s">
        <v>399</v>
      </c>
      <c r="BA22" s="107">
        <v>6364</v>
      </c>
      <c r="BB22" s="86" t="s">
        <v>419</v>
      </c>
    </row>
    <row r="23" spans="1:58" ht="18" hidden="1" x14ac:dyDescent="0.35">
      <c r="A23" s="86">
        <v>6349</v>
      </c>
      <c r="B23" s="10">
        <v>46148</v>
      </c>
      <c r="C23" s="11" t="s">
        <v>372</v>
      </c>
      <c r="D23" s="11" t="s">
        <v>46</v>
      </c>
      <c r="E23" s="11" t="s">
        <v>9</v>
      </c>
      <c r="F23" s="12">
        <f>1890.449-45-16-13-16-63-16-244</f>
        <v>1477.4490000000001</v>
      </c>
      <c r="G23" s="13"/>
      <c r="H23" s="14">
        <f t="shared" si="7"/>
        <v>413</v>
      </c>
      <c r="I23" s="14">
        <v>1890.4490000000001</v>
      </c>
      <c r="J23" s="14">
        <v>1890.4490000000001</v>
      </c>
      <c r="K23" s="15" t="s">
        <v>276</v>
      </c>
      <c r="L23" s="65" t="s">
        <v>396</v>
      </c>
      <c r="M23" s="65">
        <f t="shared" ca="1" si="8"/>
        <v>23</v>
      </c>
      <c r="N23" s="18">
        <v>115240.48080034263</v>
      </c>
      <c r="O23" s="18">
        <v>120.5</v>
      </c>
      <c r="AZ23" s="86" t="s">
        <v>399</v>
      </c>
      <c r="BA23" s="107">
        <v>6349</v>
      </c>
      <c r="BB23" s="86" t="s">
        <v>404</v>
      </c>
      <c r="BC23" s="86" t="s">
        <v>405</v>
      </c>
      <c r="BD23" s="86" t="s">
        <v>406</v>
      </c>
      <c r="BE23" s="86" t="s">
        <v>407</v>
      </c>
    </row>
    <row r="24" spans="1:58" ht="18" hidden="1" x14ac:dyDescent="0.35">
      <c r="A24" s="86">
        <v>6181</v>
      </c>
      <c r="B24" s="10">
        <v>45948</v>
      </c>
      <c r="C24" s="11" t="s">
        <v>254</v>
      </c>
      <c r="D24" s="11" t="s">
        <v>46</v>
      </c>
      <c r="E24" s="11" t="s">
        <v>19</v>
      </c>
      <c r="F24" s="12">
        <v>2.42</v>
      </c>
      <c r="G24" s="13"/>
      <c r="H24" s="14">
        <f t="shared" si="7"/>
        <v>0</v>
      </c>
      <c r="I24" s="14">
        <v>2.42</v>
      </c>
      <c r="J24" s="14">
        <v>646.42700000000002</v>
      </c>
      <c r="K24" s="15" t="s">
        <v>26</v>
      </c>
      <c r="L24" s="65" t="s">
        <v>396</v>
      </c>
      <c r="M24" s="65">
        <f t="shared" ca="1" si="8"/>
        <v>223</v>
      </c>
      <c r="N24" s="18">
        <v>68975.426198724832</v>
      </c>
      <c r="O24" s="18">
        <v>79.182500000000005</v>
      </c>
      <c r="AZ24" s="86" t="s">
        <v>399</v>
      </c>
      <c r="BA24" s="107">
        <v>6181</v>
      </c>
      <c r="BB24" s="86" t="s">
        <v>431</v>
      </c>
      <c r="BC24" s="86" t="s">
        <v>432</v>
      </c>
    </row>
    <row r="25" spans="1:58" ht="18" hidden="1" x14ac:dyDescent="0.35">
      <c r="A25" s="86">
        <v>6356</v>
      </c>
      <c r="B25" s="10">
        <v>46098</v>
      </c>
      <c r="C25" s="11" t="s">
        <v>329</v>
      </c>
      <c r="D25" s="11" t="s">
        <v>46</v>
      </c>
      <c r="E25" s="11" t="s">
        <v>19</v>
      </c>
      <c r="F25" s="12">
        <f>665.028-21-101-60+30-10-100-116+165+100-9-75-22-135-50+21+50-10-30-50-127+50-70</f>
        <v>95.02800000000002</v>
      </c>
      <c r="G25" s="13"/>
      <c r="H25" s="14">
        <f t="shared" si="7"/>
        <v>134.04</v>
      </c>
      <c r="I25" s="14">
        <v>229.06800000000001</v>
      </c>
      <c r="J25" s="14">
        <v>665.02800000000002</v>
      </c>
      <c r="K25" s="15" t="s">
        <v>319</v>
      </c>
      <c r="L25" s="65" t="s">
        <v>396</v>
      </c>
      <c r="M25" s="65">
        <f t="shared" ca="1" si="8"/>
        <v>73</v>
      </c>
      <c r="N25" s="18">
        <v>80021.287504684806</v>
      </c>
      <c r="O25" s="18">
        <v>121.31428571428572</v>
      </c>
      <c r="AZ25" s="86" t="s">
        <v>399</v>
      </c>
      <c r="BA25" s="107">
        <v>6356</v>
      </c>
      <c r="BB25" s="86" t="s">
        <v>433</v>
      </c>
      <c r="BC25" s="86" t="s">
        <v>434</v>
      </c>
    </row>
    <row r="26" spans="1:58" ht="18" x14ac:dyDescent="0.35">
      <c r="B26" s="73">
        <v>46090</v>
      </c>
      <c r="C26" s="74" t="s">
        <v>313</v>
      </c>
      <c r="D26" s="74" t="s">
        <v>46</v>
      </c>
      <c r="E26" s="74" t="s">
        <v>19</v>
      </c>
      <c r="F26" s="79">
        <f>266.664-21-50-23-23-45</f>
        <v>104.66399999999999</v>
      </c>
      <c r="G26" s="81"/>
      <c r="H26" s="75">
        <f t="shared" si="7"/>
        <v>389.44100000000003</v>
      </c>
      <c r="I26" s="75">
        <v>494.10500000000002</v>
      </c>
      <c r="J26" s="75">
        <v>1808.172</v>
      </c>
      <c r="K26" s="75" t="s">
        <v>318</v>
      </c>
      <c r="L26" s="75" t="s">
        <v>235</v>
      </c>
      <c r="M26" s="65">
        <f t="shared" ca="1" si="8"/>
        <v>81</v>
      </c>
      <c r="N26" s="69"/>
      <c r="O26" s="69"/>
      <c r="AZ26" s="86" t="s">
        <v>435</v>
      </c>
      <c r="BA26" s="107">
        <v>358</v>
      </c>
      <c r="BB26" s="86" t="s">
        <v>436</v>
      </c>
      <c r="BC26" s="86" t="s">
        <v>437</v>
      </c>
    </row>
    <row r="27" spans="1:58" ht="18" x14ac:dyDescent="0.35">
      <c r="B27" s="73">
        <v>46011</v>
      </c>
      <c r="C27" s="74" t="s">
        <v>268</v>
      </c>
      <c r="D27" s="74" t="s">
        <v>46</v>
      </c>
      <c r="E27" s="74" t="s">
        <v>9</v>
      </c>
      <c r="F27" s="79">
        <f>252.486-32-32.52+100-100-42+244</f>
        <v>389.96600000000001</v>
      </c>
      <c r="G27" s="81"/>
      <c r="H27" s="75">
        <f t="shared" si="7"/>
        <v>144.66499999999996</v>
      </c>
      <c r="I27" s="76">
        <v>534.63099999999997</v>
      </c>
      <c r="J27" s="75">
        <v>1190.5050000000001</v>
      </c>
      <c r="K27" s="77" t="s">
        <v>29</v>
      </c>
      <c r="L27" s="78" t="s">
        <v>235</v>
      </c>
      <c r="M27" s="65">
        <f t="shared" ca="1" si="8"/>
        <v>160</v>
      </c>
      <c r="N27" s="69"/>
      <c r="O27" s="69"/>
      <c r="AZ27" s="86" t="s">
        <v>435</v>
      </c>
      <c r="BA27" s="107" t="s">
        <v>438</v>
      </c>
      <c r="BB27" s="86" t="s">
        <v>439</v>
      </c>
      <c r="BC27" s="86" t="s">
        <v>440</v>
      </c>
    </row>
    <row r="28" spans="1:58" ht="20.25" hidden="1" customHeight="1" x14ac:dyDescent="0.35">
      <c r="B28" s="19"/>
      <c r="C28" s="26" t="s">
        <v>27</v>
      </c>
      <c r="D28" s="11"/>
      <c r="E28" s="11"/>
      <c r="F28" s="20">
        <f>SUBTOTAL(9,F20:F27)</f>
        <v>494.63</v>
      </c>
      <c r="G28" s="21">
        <f>F28</f>
        <v>494.63</v>
      </c>
      <c r="H28" s="20">
        <f>SUBTOTAL(9,H20:H27)</f>
        <v>534.10599999999999</v>
      </c>
      <c r="I28" s="20">
        <f>SUBTOTAL(9,I20:I27)</f>
        <v>1028.7359999999999</v>
      </c>
      <c r="J28" s="20"/>
      <c r="K28" s="15"/>
      <c r="L28" s="65"/>
      <c r="M28" s="15"/>
      <c r="N28" s="69"/>
      <c r="O28" s="69"/>
      <c r="AZ28" s="86" t="s">
        <v>27</v>
      </c>
    </row>
    <row r="29" spans="1:58" ht="20.25" hidden="1" customHeight="1" x14ac:dyDescent="0.35">
      <c r="B29" s="19"/>
      <c r="C29" s="26"/>
      <c r="D29" s="11"/>
      <c r="E29" s="11"/>
      <c r="F29" s="20"/>
      <c r="G29" s="21"/>
      <c r="H29" s="20"/>
      <c r="I29" s="20"/>
      <c r="J29" s="20"/>
      <c r="K29" s="15"/>
      <c r="L29" s="65"/>
      <c r="M29" s="15"/>
      <c r="N29" s="69"/>
      <c r="O29" s="69"/>
    </row>
    <row r="30" spans="1:58" ht="18" hidden="1" x14ac:dyDescent="0.35">
      <c r="A30" s="86">
        <v>6074</v>
      </c>
      <c r="B30" s="10">
        <v>45903</v>
      </c>
      <c r="C30" s="11" t="s">
        <v>244</v>
      </c>
      <c r="D30" s="11" t="s">
        <v>234</v>
      </c>
      <c r="E30" s="11" t="s">
        <v>9</v>
      </c>
      <c r="F30" s="12">
        <v>0</v>
      </c>
      <c r="G30" s="21"/>
      <c r="H30" s="14">
        <f t="shared" ref="H30:H31" si="9">I30-F30</f>
        <v>54.613</v>
      </c>
      <c r="I30" s="14">
        <v>54.613</v>
      </c>
      <c r="J30" s="14">
        <v>945.69399999999996</v>
      </c>
      <c r="K30" s="15" t="s">
        <v>245</v>
      </c>
      <c r="L30" s="65" t="s">
        <v>396</v>
      </c>
      <c r="M30" s="15">
        <f t="shared" ref="M30:M31" ca="1" si="10">TODAY()-B30</f>
        <v>268</v>
      </c>
      <c r="N30" s="18">
        <v>97203.575602479716</v>
      </c>
      <c r="O30" s="18">
        <v>125.86323529411766</v>
      </c>
      <c r="AZ30" s="86" t="s">
        <v>399</v>
      </c>
      <c r="BA30" s="107">
        <v>6074</v>
      </c>
      <c r="BB30" s="86" t="s">
        <v>441</v>
      </c>
      <c r="BC30" s="86" t="s">
        <v>442</v>
      </c>
    </row>
    <row r="31" spans="1:58" ht="18" x14ac:dyDescent="0.35">
      <c r="B31" s="73">
        <v>45831</v>
      </c>
      <c r="C31" s="74" t="s">
        <v>239</v>
      </c>
      <c r="D31" s="74" t="s">
        <v>234</v>
      </c>
      <c r="E31" s="74" t="s">
        <v>9</v>
      </c>
      <c r="F31" s="79">
        <f>1466.861-25-25-150+120-30-25+25-30-25+30+20+18-60-80-130-25+10</f>
        <v>1084.8610000000001</v>
      </c>
      <c r="G31" s="81"/>
      <c r="H31" s="75">
        <f t="shared" si="9"/>
        <v>262.64699999999993</v>
      </c>
      <c r="I31" s="76">
        <v>1347.508</v>
      </c>
      <c r="J31" s="75"/>
      <c r="K31" s="77" t="s">
        <v>29</v>
      </c>
      <c r="L31" s="78" t="s">
        <v>235</v>
      </c>
      <c r="M31" s="15">
        <f t="shared" ca="1" si="10"/>
        <v>340</v>
      </c>
      <c r="N31" s="69"/>
      <c r="O31" s="69"/>
      <c r="AZ31" s="86" t="s">
        <v>235</v>
      </c>
      <c r="BA31" s="107" t="s">
        <v>443</v>
      </c>
      <c r="BB31" s="86" t="s">
        <v>441</v>
      </c>
      <c r="BC31" s="86" t="s">
        <v>444</v>
      </c>
    </row>
    <row r="32" spans="1:58" ht="18" hidden="1" x14ac:dyDescent="0.35">
      <c r="B32" s="19"/>
      <c r="C32" s="26" t="s">
        <v>27</v>
      </c>
      <c r="D32" s="11"/>
      <c r="E32" s="11"/>
      <c r="F32" s="20">
        <f>SUBTOTAL(9,F30:F31)</f>
        <v>1084.8610000000001</v>
      </c>
      <c r="G32" s="21">
        <f>F32</f>
        <v>1084.8610000000001</v>
      </c>
      <c r="H32" s="20">
        <f>SUBTOTAL(9,H30:H31)</f>
        <v>262.64699999999993</v>
      </c>
      <c r="I32" s="20">
        <f>SUBTOTAL(9,I30:I31)</f>
        <v>1347.508</v>
      </c>
      <c r="J32" s="20"/>
      <c r="K32" s="15"/>
      <c r="L32" s="65"/>
      <c r="M32" s="16"/>
      <c r="N32" s="18"/>
      <c r="O32" s="18"/>
      <c r="AZ32" s="86" t="s">
        <v>27</v>
      </c>
    </row>
    <row r="33" spans="1:57" ht="18" hidden="1" x14ac:dyDescent="0.35">
      <c r="B33" s="19"/>
      <c r="C33" s="26"/>
      <c r="D33" s="11"/>
      <c r="E33" s="11"/>
      <c r="F33" s="20"/>
      <c r="G33" s="21"/>
      <c r="H33" s="20"/>
      <c r="I33" s="20"/>
      <c r="J33" s="20"/>
      <c r="K33" s="15"/>
      <c r="L33" s="65"/>
      <c r="M33" s="65"/>
      <c r="N33" s="69"/>
      <c r="O33" s="69"/>
    </row>
    <row r="34" spans="1:57" ht="18" hidden="1" x14ac:dyDescent="0.35">
      <c r="A34" s="86">
        <v>6070</v>
      </c>
      <c r="B34" s="10">
        <v>45901</v>
      </c>
      <c r="C34" s="11" t="s">
        <v>241</v>
      </c>
      <c r="D34" s="11" t="s">
        <v>242</v>
      </c>
      <c r="E34" s="11" t="s">
        <v>9</v>
      </c>
      <c r="F34" s="12">
        <f>1984.467-90-10-55-21-28-20-300-10-25-14-60-25-45-16-10-30-60-16-260-10-20-40-40-20-55-30-115-30-110-100-183-40+90-14+10-30-35+25-5-36-20-20-50-21</f>
        <v>-9.5329999999999018</v>
      </c>
      <c r="G34" s="13"/>
      <c r="H34" s="14">
        <f t="shared" ref="H34" si="11">I34-F34</f>
        <v>11.599999999999902</v>
      </c>
      <c r="I34" s="14">
        <v>2.0670000000000002</v>
      </c>
      <c r="J34" s="14">
        <v>1988.6969999999999</v>
      </c>
      <c r="K34" s="15" t="s">
        <v>47</v>
      </c>
      <c r="L34" s="65" t="s">
        <v>396</v>
      </c>
      <c r="M34" s="15">
        <f t="shared" ref="M34" ca="1" si="12">TODAY()-B34</f>
        <v>270</v>
      </c>
      <c r="N34" s="18">
        <v>76781.866500553791</v>
      </c>
      <c r="O34" s="18">
        <v>86.766666666666666</v>
      </c>
      <c r="AZ34" s="86" t="s">
        <v>399</v>
      </c>
      <c r="BA34" s="107">
        <v>6070</v>
      </c>
      <c r="BB34" s="86" t="s">
        <v>400</v>
      </c>
      <c r="BC34" s="86" t="s">
        <v>445</v>
      </c>
    </row>
    <row r="35" spans="1:57" ht="18" hidden="1" x14ac:dyDescent="0.35">
      <c r="B35" s="19"/>
      <c r="C35" s="26" t="s">
        <v>27</v>
      </c>
      <c r="D35" s="11"/>
      <c r="E35" s="11"/>
      <c r="F35" s="20">
        <f>SUBTOTAL(9,F34:F34)</f>
        <v>0</v>
      </c>
      <c r="G35" s="21">
        <f>F35</f>
        <v>0</v>
      </c>
      <c r="H35" s="20">
        <f>SUBTOTAL(9,H34:H34)</f>
        <v>0</v>
      </c>
      <c r="I35" s="20">
        <f>SUBTOTAL(9,I34:I34)</f>
        <v>0</v>
      </c>
      <c r="J35" s="20"/>
      <c r="K35" s="15"/>
      <c r="L35" s="65"/>
      <c r="M35" s="15"/>
      <c r="N35" s="69"/>
      <c r="O35" s="69"/>
      <c r="AZ35" s="86" t="s">
        <v>27</v>
      </c>
    </row>
    <row r="36" spans="1:57" ht="18" hidden="1" x14ac:dyDescent="0.35">
      <c r="B36" s="19"/>
      <c r="C36" s="26"/>
      <c r="D36" s="11"/>
      <c r="E36" s="11"/>
      <c r="F36" s="20"/>
      <c r="G36" s="21"/>
      <c r="H36" s="20"/>
      <c r="I36" s="20"/>
      <c r="J36" s="20"/>
      <c r="K36" s="15"/>
      <c r="L36" s="65"/>
      <c r="M36" s="15"/>
      <c r="N36" s="69"/>
      <c r="O36" s="69"/>
    </row>
    <row r="37" spans="1:57" ht="18" hidden="1" x14ac:dyDescent="0.35">
      <c r="A37" s="86" t="s">
        <v>446</v>
      </c>
      <c r="B37" s="10">
        <v>45936</v>
      </c>
      <c r="C37" s="11" t="s">
        <v>251</v>
      </c>
      <c r="D37" s="11" t="s">
        <v>53</v>
      </c>
      <c r="E37" s="11" t="s">
        <v>9</v>
      </c>
      <c r="F37" s="12">
        <f>161.65-57+14.45-35-154-30-60-100+16+50-70-20-40-32-10+40</f>
        <v>-325.89999999999998</v>
      </c>
      <c r="G37" s="13"/>
      <c r="H37" s="14">
        <f t="shared" ref="H37:H41" si="13">I37-F37</f>
        <v>336.346</v>
      </c>
      <c r="I37" s="14">
        <v>10.446</v>
      </c>
      <c r="J37" s="14">
        <v>1498.79</v>
      </c>
      <c r="K37" s="15" t="s">
        <v>32</v>
      </c>
      <c r="L37" s="65" t="s">
        <v>396</v>
      </c>
      <c r="M37" s="15">
        <f t="shared" ref="M37:M41" ca="1" si="14">TODAY()-B37</f>
        <v>235</v>
      </c>
      <c r="N37" s="18">
        <v>81078.699998206124</v>
      </c>
      <c r="O37" s="18">
        <v>94.012195121951223</v>
      </c>
      <c r="AZ37" s="86" t="s">
        <v>399</v>
      </c>
      <c r="BA37" s="107" t="s">
        <v>446</v>
      </c>
      <c r="BB37" s="86" t="s">
        <v>447</v>
      </c>
      <c r="BC37" s="86" t="s">
        <v>448</v>
      </c>
    </row>
    <row r="38" spans="1:57" ht="18" hidden="1" x14ac:dyDescent="0.35">
      <c r="A38" s="86">
        <v>6233</v>
      </c>
      <c r="B38" s="10">
        <v>45978</v>
      </c>
      <c r="C38" s="11" t="s">
        <v>258</v>
      </c>
      <c r="D38" s="11" t="s">
        <v>53</v>
      </c>
      <c r="E38" s="11" t="s">
        <v>9</v>
      </c>
      <c r="F38" s="13">
        <f>284.967-121.5+100-42-60-49.5+25.92-21.5-42-21+21-21+21-10+10</f>
        <v>74.387</v>
      </c>
      <c r="G38" s="13"/>
      <c r="H38" s="14">
        <f t="shared" si="13"/>
        <v>1.3400000000000034</v>
      </c>
      <c r="I38" s="14">
        <v>75.727000000000004</v>
      </c>
      <c r="J38" s="14">
        <v>473.96699999999998</v>
      </c>
      <c r="K38" s="15" t="s">
        <v>32</v>
      </c>
      <c r="L38" s="65" t="s">
        <v>396</v>
      </c>
      <c r="M38" s="15">
        <f t="shared" ca="1" si="14"/>
        <v>193</v>
      </c>
      <c r="N38" s="18">
        <v>74825.100000000006</v>
      </c>
      <c r="O38" s="18">
        <v>80.453125</v>
      </c>
      <c r="AZ38" s="86" t="s">
        <v>399</v>
      </c>
      <c r="BA38" s="107">
        <v>6233</v>
      </c>
      <c r="BB38" s="86" t="s">
        <v>400</v>
      </c>
      <c r="BC38" s="86" t="s">
        <v>449</v>
      </c>
    </row>
    <row r="39" spans="1:57" ht="18" x14ac:dyDescent="0.35">
      <c r="B39" s="91">
        <v>46164</v>
      </c>
      <c r="C39" s="105" t="s">
        <v>391</v>
      </c>
      <c r="D39" s="92" t="s">
        <v>53</v>
      </c>
      <c r="E39" s="92" t="s">
        <v>9</v>
      </c>
      <c r="F39" s="93">
        <f>427.5-106-10</f>
        <v>311.5</v>
      </c>
      <c r="G39" s="94"/>
      <c r="H39" s="95">
        <f t="shared" si="13"/>
        <v>116</v>
      </c>
      <c r="I39" s="95">
        <v>427.5</v>
      </c>
      <c r="J39" s="95">
        <v>427.5</v>
      </c>
      <c r="K39" s="96" t="s">
        <v>32</v>
      </c>
      <c r="L39" s="97" t="s">
        <v>310</v>
      </c>
      <c r="M39" s="96">
        <f t="shared" ca="1" si="14"/>
        <v>7</v>
      </c>
      <c r="N39" s="69"/>
      <c r="O39" s="69"/>
      <c r="AZ39" s="86" t="s">
        <v>420</v>
      </c>
      <c r="BA39" s="107">
        <v>14</v>
      </c>
      <c r="BB39" s="86" t="s">
        <v>450</v>
      </c>
      <c r="BC39" s="86">
        <v>5</v>
      </c>
      <c r="BD39" s="86" t="s">
        <v>451</v>
      </c>
      <c r="BE39" s="86" t="s">
        <v>452</v>
      </c>
    </row>
    <row r="40" spans="1:57" ht="18" hidden="1" x14ac:dyDescent="0.35">
      <c r="A40" s="86">
        <v>6355</v>
      </c>
      <c r="B40" s="10">
        <v>46098</v>
      </c>
      <c r="C40" s="11" t="s">
        <v>327</v>
      </c>
      <c r="D40" s="11" t="s">
        <v>53</v>
      </c>
      <c r="E40" s="11" t="s">
        <v>19</v>
      </c>
      <c r="F40" s="12">
        <f>1896.987-40-25-725-106-40-42-30+32+70-20-576-100-10-7-69+76-26-100-16-80-50+60-25-40-6+38-60</f>
        <v>-20.01299999999992</v>
      </c>
      <c r="G40" s="13"/>
      <c r="H40" s="14">
        <f t="shared" si="13"/>
        <v>317.6149999999999</v>
      </c>
      <c r="I40" s="14">
        <v>297.60199999999998</v>
      </c>
      <c r="J40" s="14">
        <v>1896.9870000000001</v>
      </c>
      <c r="K40" s="15" t="s">
        <v>328</v>
      </c>
      <c r="L40" s="65" t="s">
        <v>396</v>
      </c>
      <c r="M40" s="65">
        <f t="shared" ca="1" si="14"/>
        <v>73</v>
      </c>
      <c r="N40" s="18">
        <v>82696.160000756689</v>
      </c>
      <c r="O40" s="18">
        <v>135.74615384615385</v>
      </c>
      <c r="AZ40" s="86" t="s">
        <v>399</v>
      </c>
      <c r="BA40" s="107">
        <v>6355</v>
      </c>
      <c r="BB40" s="86" t="s">
        <v>433</v>
      </c>
      <c r="BC40" s="86" t="s">
        <v>434</v>
      </c>
    </row>
    <row r="41" spans="1:57" ht="18" x14ac:dyDescent="0.35">
      <c r="B41" s="73">
        <v>46090</v>
      </c>
      <c r="C41" s="74" t="s">
        <v>312</v>
      </c>
      <c r="D41" s="74" t="s">
        <v>53</v>
      </c>
      <c r="E41" s="74" t="s">
        <v>19</v>
      </c>
      <c r="F41" s="79">
        <v>-18.039000000000001</v>
      </c>
      <c r="G41" s="81"/>
      <c r="H41" s="75">
        <f t="shared" si="13"/>
        <v>72.17</v>
      </c>
      <c r="I41" s="75">
        <v>54.131</v>
      </c>
      <c r="J41" s="75">
        <v>1428.162</v>
      </c>
      <c r="K41" s="77" t="s">
        <v>319</v>
      </c>
      <c r="L41" s="78" t="s">
        <v>235</v>
      </c>
      <c r="M41" s="65">
        <f t="shared" ca="1" si="14"/>
        <v>81</v>
      </c>
      <c r="N41" s="69"/>
      <c r="O41" s="69"/>
      <c r="AZ41" s="86" t="s">
        <v>435</v>
      </c>
      <c r="BA41" s="107">
        <v>357</v>
      </c>
      <c r="BB41" s="86" t="s">
        <v>436</v>
      </c>
      <c r="BC41" s="86" t="s">
        <v>437</v>
      </c>
    </row>
    <row r="42" spans="1:57" ht="18" hidden="1" x14ac:dyDescent="0.35">
      <c r="B42" s="19"/>
      <c r="C42" s="26" t="s">
        <v>27</v>
      </c>
      <c r="D42" s="11"/>
      <c r="E42" s="11"/>
      <c r="F42" s="20">
        <f>SUBTOTAL(9,F37:F41)</f>
        <v>293.46100000000001</v>
      </c>
      <c r="G42" s="21">
        <f>F42</f>
        <v>293.46100000000001</v>
      </c>
      <c r="H42" s="20">
        <f>SUBTOTAL(9,H37:H41)</f>
        <v>188.17000000000002</v>
      </c>
      <c r="I42" s="20">
        <f>SUBTOTAL(9,I37:I41)</f>
        <v>481.63099999999997</v>
      </c>
      <c r="J42" s="20"/>
      <c r="K42" s="15"/>
      <c r="L42" s="65"/>
      <c r="M42" s="15"/>
      <c r="N42" s="69"/>
      <c r="O42" s="69"/>
      <c r="AZ42" s="86" t="s">
        <v>27</v>
      </c>
    </row>
    <row r="43" spans="1:57" ht="18" hidden="1" x14ac:dyDescent="0.35">
      <c r="B43" s="19"/>
      <c r="C43" s="26"/>
      <c r="D43" s="11"/>
      <c r="E43" s="11"/>
      <c r="F43" s="13"/>
      <c r="G43" s="21"/>
      <c r="H43" s="20"/>
      <c r="I43" s="20"/>
      <c r="J43" s="20"/>
      <c r="K43" s="15"/>
      <c r="L43" s="65"/>
      <c r="M43" s="15"/>
      <c r="N43" s="69"/>
      <c r="O43" s="69"/>
    </row>
    <row r="44" spans="1:57" ht="18" hidden="1" x14ac:dyDescent="0.35">
      <c r="A44" s="86">
        <v>6072</v>
      </c>
      <c r="B44" s="10">
        <v>45905</v>
      </c>
      <c r="C44" s="26" t="s">
        <v>243</v>
      </c>
      <c r="D44" s="11" t="s">
        <v>67</v>
      </c>
      <c r="E44" s="11" t="s">
        <v>9</v>
      </c>
      <c r="F44" s="13">
        <f>306.391-25+25</f>
        <v>306.39100000000002</v>
      </c>
      <c r="G44" s="21"/>
      <c r="H44" s="14">
        <f t="shared" ref="H44:H52" si="15">I44-F44</f>
        <v>2.7399999999999523</v>
      </c>
      <c r="I44" s="14">
        <v>309.13099999999997</v>
      </c>
      <c r="J44" s="14">
        <v>1890.7629999999999</v>
      </c>
      <c r="K44" s="15" t="s">
        <v>238</v>
      </c>
      <c r="L44" s="65" t="s">
        <v>396</v>
      </c>
      <c r="M44" s="15">
        <f t="shared" ref="M44:M52" ca="1" si="16">TODAY()-B44</f>
        <v>266</v>
      </c>
      <c r="N44" s="18">
        <v>85783.554520907652</v>
      </c>
      <c r="O44" s="18">
        <v>93.039062499999972</v>
      </c>
      <c r="AZ44" s="86" t="s">
        <v>399</v>
      </c>
      <c r="BA44" s="107">
        <v>6072</v>
      </c>
      <c r="BB44" s="86" t="s">
        <v>441</v>
      </c>
      <c r="BC44" s="86" t="s">
        <v>442</v>
      </c>
    </row>
    <row r="45" spans="1:57" ht="18" hidden="1" x14ac:dyDescent="0.35">
      <c r="A45" s="86">
        <v>6176</v>
      </c>
      <c r="B45" s="10">
        <v>45968</v>
      </c>
      <c r="C45" s="11" t="s">
        <v>257</v>
      </c>
      <c r="D45" s="11" t="s">
        <v>67</v>
      </c>
      <c r="E45" s="11" t="s">
        <v>9</v>
      </c>
      <c r="F45" s="12">
        <f>35.592-25-11</f>
        <v>-0.40800000000000125</v>
      </c>
      <c r="G45" s="21"/>
      <c r="H45" s="14">
        <f t="shared" si="15"/>
        <v>0.41000000000000125</v>
      </c>
      <c r="I45" s="14">
        <v>2E-3</v>
      </c>
      <c r="J45" s="14">
        <v>524.80200000000002</v>
      </c>
      <c r="K45" s="15" t="s">
        <v>32</v>
      </c>
      <c r="L45" s="65" t="s">
        <v>396</v>
      </c>
      <c r="M45" s="15">
        <f t="shared" ca="1" si="16"/>
        <v>203</v>
      </c>
      <c r="N45" s="18">
        <v>85139.965707492534</v>
      </c>
      <c r="O45" s="18">
        <v>89.277777777777771</v>
      </c>
      <c r="AZ45" s="86" t="s">
        <v>399</v>
      </c>
      <c r="BA45" s="107">
        <v>6176</v>
      </c>
      <c r="BB45" s="86" t="s">
        <v>453</v>
      </c>
      <c r="BC45" s="86" t="s">
        <v>451</v>
      </c>
      <c r="BD45" s="86" t="s">
        <v>452</v>
      </c>
    </row>
    <row r="46" spans="1:57" ht="18" hidden="1" x14ac:dyDescent="0.35">
      <c r="A46" s="86">
        <v>6371</v>
      </c>
      <c r="B46" s="10">
        <v>46123</v>
      </c>
      <c r="C46" s="11" t="s">
        <v>345</v>
      </c>
      <c r="D46" s="11" t="s">
        <v>67</v>
      </c>
      <c r="E46" s="11" t="s">
        <v>9</v>
      </c>
      <c r="F46" s="12">
        <f>238.948-80-21-90+11+21</f>
        <v>79.948000000000008</v>
      </c>
      <c r="G46" s="21"/>
      <c r="H46" s="14">
        <f t="shared" si="15"/>
        <v>74.87</v>
      </c>
      <c r="I46" s="14">
        <v>154.81800000000001</v>
      </c>
      <c r="J46" s="14">
        <v>240</v>
      </c>
      <c r="K46" s="15" t="s">
        <v>32</v>
      </c>
      <c r="L46" s="65" t="s">
        <v>396</v>
      </c>
      <c r="M46" s="15">
        <f t="shared" ca="1" si="16"/>
        <v>48</v>
      </c>
      <c r="N46" s="18">
        <v>122996.25</v>
      </c>
      <c r="O46" s="18">
        <v>168.11666666666667</v>
      </c>
      <c r="AZ46" s="86" t="s">
        <v>399</v>
      </c>
      <c r="BA46" s="107">
        <v>6371</v>
      </c>
      <c r="BB46" s="86" t="s">
        <v>454</v>
      </c>
      <c r="BC46" s="86">
        <v>1</v>
      </c>
    </row>
    <row r="47" spans="1:57" ht="18" hidden="1" x14ac:dyDescent="0.35">
      <c r="A47" s="86">
        <v>6378</v>
      </c>
      <c r="B47" s="10">
        <v>46131</v>
      </c>
      <c r="C47" s="11" t="s">
        <v>354</v>
      </c>
      <c r="D47" s="11" t="s">
        <v>67</v>
      </c>
      <c r="E47" s="11" t="s">
        <v>9</v>
      </c>
      <c r="F47" s="12">
        <v>0</v>
      </c>
      <c r="G47" s="21"/>
      <c r="H47" s="14">
        <f t="shared" si="15"/>
        <v>454.39699999999999</v>
      </c>
      <c r="I47" s="14">
        <v>454.39699999999999</v>
      </c>
      <c r="J47" s="14">
        <v>498.637</v>
      </c>
      <c r="K47" s="15" t="s">
        <v>32</v>
      </c>
      <c r="L47" s="65" t="s">
        <v>396</v>
      </c>
      <c r="M47" s="15">
        <f t="shared" ca="1" si="16"/>
        <v>40</v>
      </c>
      <c r="N47" s="18">
        <v>158133.30000520751</v>
      </c>
      <c r="O47" s="18">
        <v>168.125</v>
      </c>
      <c r="AZ47" s="86" t="s">
        <v>399</v>
      </c>
      <c r="BA47" s="107">
        <v>6378</v>
      </c>
      <c r="BB47" s="86" t="s">
        <v>455</v>
      </c>
      <c r="BC47" s="86" t="s">
        <v>456</v>
      </c>
    </row>
    <row r="48" spans="1:57" ht="18" x14ac:dyDescent="0.35">
      <c r="B48" s="73">
        <v>46068</v>
      </c>
      <c r="C48" s="74" t="s">
        <v>297</v>
      </c>
      <c r="D48" s="74" t="s">
        <v>67</v>
      </c>
      <c r="E48" s="74" t="s">
        <v>9</v>
      </c>
      <c r="F48" s="79">
        <f>1046.886-100-25-20-125+50-15-85-25-50+50-125+75-60-21</f>
        <v>570.88599999999997</v>
      </c>
      <c r="G48" s="76"/>
      <c r="H48" s="75">
        <f t="shared" si="15"/>
        <v>157.08799999999997</v>
      </c>
      <c r="I48" s="76">
        <f>323.101+404.873</f>
        <v>727.97399999999993</v>
      </c>
      <c r="J48" s="75">
        <v>1046.886</v>
      </c>
      <c r="K48" s="77" t="s">
        <v>32</v>
      </c>
      <c r="L48" s="78" t="s">
        <v>235</v>
      </c>
      <c r="M48" s="15">
        <f t="shared" ca="1" si="16"/>
        <v>103</v>
      </c>
      <c r="N48" s="69"/>
      <c r="O48" s="69"/>
      <c r="AZ48" s="86" t="s">
        <v>435</v>
      </c>
      <c r="BA48" s="107">
        <v>334</v>
      </c>
      <c r="BB48" s="86" t="s">
        <v>457</v>
      </c>
      <c r="BC48" s="86" t="s">
        <v>458</v>
      </c>
    </row>
    <row r="49" spans="1:60" ht="18" x14ac:dyDescent="0.35">
      <c r="B49" s="73">
        <v>46161</v>
      </c>
      <c r="C49" s="74" t="s">
        <v>381</v>
      </c>
      <c r="D49" s="74" t="s">
        <v>67</v>
      </c>
      <c r="E49" s="74" t="s">
        <v>9</v>
      </c>
      <c r="F49" s="79">
        <v>1892.1369999999999</v>
      </c>
      <c r="G49" s="76"/>
      <c r="H49" s="75">
        <f t="shared" si="15"/>
        <v>0</v>
      </c>
      <c r="I49" s="75">
        <v>1892.1369999999999</v>
      </c>
      <c r="J49" s="75">
        <v>1892.1369999999999</v>
      </c>
      <c r="K49" s="77" t="s">
        <v>32</v>
      </c>
      <c r="L49" s="78" t="s">
        <v>235</v>
      </c>
      <c r="M49" s="15">
        <f t="shared" ca="1" si="16"/>
        <v>10</v>
      </c>
      <c r="N49" s="69"/>
      <c r="O49" s="69"/>
      <c r="AZ49" s="86" t="s">
        <v>435</v>
      </c>
      <c r="BA49" s="107">
        <v>371</v>
      </c>
      <c r="BB49" s="86" t="s">
        <v>400</v>
      </c>
      <c r="BC49" s="86" t="s">
        <v>459</v>
      </c>
    </row>
    <row r="50" spans="1:60" ht="18" x14ac:dyDescent="0.35">
      <c r="B50" s="10">
        <v>46155</v>
      </c>
      <c r="C50" s="103" t="s">
        <v>374</v>
      </c>
      <c r="D50" s="11" t="s">
        <v>67</v>
      </c>
      <c r="E50" s="26" t="s">
        <v>13</v>
      </c>
      <c r="F50" s="13">
        <f>200-20-25-50-106</f>
        <v>-1</v>
      </c>
      <c r="G50" s="21"/>
      <c r="H50" s="14">
        <f t="shared" si="15"/>
        <v>2.67</v>
      </c>
      <c r="I50" s="14">
        <v>1.67</v>
      </c>
      <c r="J50" s="14">
        <v>200</v>
      </c>
      <c r="K50" s="15" t="s">
        <v>21</v>
      </c>
      <c r="L50" s="65" t="s">
        <v>396</v>
      </c>
      <c r="M50" s="15">
        <f t="shared" ca="1" si="16"/>
        <v>16</v>
      </c>
      <c r="N50" s="69"/>
      <c r="O50" s="69"/>
      <c r="AZ50" s="86" t="s">
        <v>425</v>
      </c>
      <c r="BA50" s="107">
        <v>240</v>
      </c>
      <c r="BB50" s="86" t="s">
        <v>460</v>
      </c>
      <c r="BC50" s="86" t="s">
        <v>461</v>
      </c>
      <c r="BD50" s="86" t="s">
        <v>462</v>
      </c>
      <c r="BE50" s="86" t="s">
        <v>463</v>
      </c>
      <c r="BF50" s="86" t="s">
        <v>464</v>
      </c>
      <c r="BG50" s="86">
        <v>27</v>
      </c>
      <c r="BH50" s="86">
        <v>100000093</v>
      </c>
    </row>
    <row r="51" spans="1:60" ht="18" hidden="1" x14ac:dyDescent="0.35">
      <c r="A51" s="86">
        <v>6357</v>
      </c>
      <c r="B51" s="10">
        <v>46098</v>
      </c>
      <c r="C51" s="11" t="s">
        <v>330</v>
      </c>
      <c r="D51" s="11" t="s">
        <v>67</v>
      </c>
      <c r="E51" s="11" t="s">
        <v>19</v>
      </c>
      <c r="F51" s="12">
        <f>186.359+40-209-20-54+21</f>
        <v>-35.640999999999991</v>
      </c>
      <c r="G51" s="21"/>
      <c r="H51" s="14">
        <f t="shared" si="15"/>
        <v>37.939999999999991</v>
      </c>
      <c r="I51" s="14">
        <v>2.2989999999999999</v>
      </c>
      <c r="J51" s="14">
        <v>475.56900000000002</v>
      </c>
      <c r="K51" s="15" t="s">
        <v>319</v>
      </c>
      <c r="L51" s="65" t="s">
        <v>396</v>
      </c>
      <c r="M51" s="15">
        <f t="shared" ca="1" si="16"/>
        <v>73</v>
      </c>
      <c r="N51" s="18">
        <v>80483.78748986336</v>
      </c>
      <c r="O51" s="18">
        <v>149.24285714285716</v>
      </c>
      <c r="AZ51" s="86" t="s">
        <v>399</v>
      </c>
      <c r="BA51" s="107">
        <v>6357</v>
      </c>
      <c r="BB51" s="86" t="s">
        <v>433</v>
      </c>
      <c r="BC51" s="86" t="s">
        <v>434</v>
      </c>
    </row>
    <row r="52" spans="1:60" ht="18" x14ac:dyDescent="0.35">
      <c r="B52" s="73">
        <v>46090</v>
      </c>
      <c r="C52" s="74" t="s">
        <v>314</v>
      </c>
      <c r="D52" s="74" t="s">
        <v>67</v>
      </c>
      <c r="E52" s="74" t="s">
        <v>19</v>
      </c>
      <c r="F52" s="79">
        <v>0</v>
      </c>
      <c r="G52" s="76"/>
      <c r="H52" s="75">
        <f t="shared" si="15"/>
        <v>34.11</v>
      </c>
      <c r="I52" s="75">
        <v>34.11</v>
      </c>
      <c r="J52" s="75">
        <v>952.71100000000001</v>
      </c>
      <c r="K52" s="77" t="s">
        <v>319</v>
      </c>
      <c r="L52" s="78" t="s">
        <v>235</v>
      </c>
      <c r="M52" s="15">
        <f t="shared" ca="1" si="16"/>
        <v>81</v>
      </c>
      <c r="N52" s="69"/>
      <c r="O52" s="69"/>
      <c r="AZ52" s="86" t="s">
        <v>435</v>
      </c>
      <c r="BA52" s="107">
        <v>360</v>
      </c>
      <c r="BB52" s="86" t="s">
        <v>436</v>
      </c>
      <c r="BC52" s="86" t="s">
        <v>437</v>
      </c>
    </row>
    <row r="53" spans="1:60" ht="18" hidden="1" x14ac:dyDescent="0.35">
      <c r="B53" s="19"/>
      <c r="C53" s="26" t="s">
        <v>27</v>
      </c>
      <c r="D53" s="11"/>
      <c r="E53" s="11"/>
      <c r="F53" s="20">
        <f>SUBTOTAL(9,F44:F52)</f>
        <v>2462.0230000000001</v>
      </c>
      <c r="G53" s="21">
        <f>F53</f>
        <v>2462.0230000000001</v>
      </c>
      <c r="H53" s="20">
        <f>SUBTOTAL(9,H44:H52)</f>
        <v>193.86799999999994</v>
      </c>
      <c r="I53" s="20">
        <f>SUBTOTAL(9,I44:I52)</f>
        <v>2655.8910000000001</v>
      </c>
      <c r="J53" s="20"/>
      <c r="K53" s="15"/>
      <c r="L53" s="65"/>
      <c r="M53" s="15"/>
      <c r="N53" s="69"/>
      <c r="O53" s="69"/>
      <c r="AZ53" s="86" t="s">
        <v>27</v>
      </c>
    </row>
    <row r="54" spans="1:60" ht="18" hidden="1" x14ac:dyDescent="0.35">
      <c r="B54" s="19"/>
      <c r="C54" s="26"/>
      <c r="D54" s="11"/>
      <c r="E54" s="11"/>
      <c r="F54" s="20"/>
      <c r="G54" s="21"/>
      <c r="H54" s="20"/>
      <c r="I54" s="20"/>
      <c r="J54" s="20"/>
      <c r="K54" s="15"/>
      <c r="L54" s="65"/>
      <c r="M54" s="15"/>
      <c r="N54" s="69"/>
      <c r="O54" s="69"/>
    </row>
    <row r="55" spans="1:60" ht="18" hidden="1" x14ac:dyDescent="0.35">
      <c r="A55" s="86">
        <v>6279</v>
      </c>
      <c r="B55" s="10">
        <v>46071</v>
      </c>
      <c r="C55" s="11" t="s">
        <v>295</v>
      </c>
      <c r="D55" s="11" t="s">
        <v>77</v>
      </c>
      <c r="E55" s="11" t="s">
        <v>9</v>
      </c>
      <c r="F55" s="14">
        <v>-43.89</v>
      </c>
      <c r="G55" s="21"/>
      <c r="H55" s="14">
        <f t="shared" ref="H55" si="17">I55-F55</f>
        <v>43.892000000000003</v>
      </c>
      <c r="I55" s="14">
        <v>2E-3</v>
      </c>
      <c r="J55" s="14">
        <v>800.98800000000006</v>
      </c>
      <c r="K55" s="15" t="s">
        <v>32</v>
      </c>
      <c r="L55" s="65" t="s">
        <v>396</v>
      </c>
      <c r="M55" s="15">
        <f t="shared" ref="M55" ca="1" si="18">TODAY()-B55</f>
        <v>100</v>
      </c>
      <c r="N55" s="18">
        <v>79147.535156581624</v>
      </c>
      <c r="O55" s="18">
        <v>88.166666666666671</v>
      </c>
      <c r="AZ55" s="86" t="s">
        <v>399</v>
      </c>
      <c r="BA55" s="107">
        <v>6279</v>
      </c>
      <c r="BB55" s="86" t="s">
        <v>465</v>
      </c>
    </row>
    <row r="56" spans="1:60" ht="18" hidden="1" x14ac:dyDescent="0.35">
      <c r="B56" s="19"/>
      <c r="C56" s="26" t="s">
        <v>27</v>
      </c>
      <c r="D56" s="11"/>
      <c r="E56" s="11"/>
      <c r="F56" s="20">
        <f>SUBTOTAL(9,F55:F55)</f>
        <v>0</v>
      </c>
      <c r="G56" s="21">
        <f>F56</f>
        <v>0</v>
      </c>
      <c r="H56" s="20">
        <f>SUBTOTAL(9,H55:H55)</f>
        <v>0</v>
      </c>
      <c r="I56" s="20">
        <f>SUBTOTAL(9,I55:I55)</f>
        <v>0</v>
      </c>
      <c r="J56" s="20"/>
      <c r="K56" s="15"/>
      <c r="L56" s="65"/>
      <c r="M56" s="15"/>
      <c r="N56" s="69"/>
      <c r="O56" s="69"/>
      <c r="AZ56" s="86" t="s">
        <v>27</v>
      </c>
    </row>
    <row r="57" spans="1:60" ht="18" hidden="1" x14ac:dyDescent="0.35">
      <c r="B57" s="19"/>
      <c r="C57" s="26"/>
      <c r="D57" s="11"/>
      <c r="E57" s="11"/>
      <c r="F57" s="20"/>
      <c r="G57" s="21"/>
      <c r="H57" s="20"/>
      <c r="I57" s="20"/>
      <c r="J57" s="20"/>
      <c r="K57" s="15"/>
      <c r="L57" s="65"/>
      <c r="M57" s="15"/>
      <c r="N57" s="69"/>
      <c r="O57" s="69"/>
    </row>
    <row r="58" spans="1:60" ht="18" hidden="1" x14ac:dyDescent="0.35">
      <c r="A58" s="86">
        <v>6126</v>
      </c>
      <c r="B58" s="82">
        <v>45922</v>
      </c>
      <c r="C58" s="83" t="s">
        <v>255</v>
      </c>
      <c r="D58" s="83" t="s">
        <v>118</v>
      </c>
      <c r="E58" s="83" t="s">
        <v>9</v>
      </c>
      <c r="F58" s="72">
        <v>-24.72</v>
      </c>
      <c r="G58" s="84"/>
      <c r="H58" s="72">
        <f t="shared" ref="H58" si="19">I58-F58</f>
        <v>24.721</v>
      </c>
      <c r="I58" s="14">
        <v>1E-3</v>
      </c>
      <c r="J58" s="14">
        <v>795.53</v>
      </c>
      <c r="K58" s="85" t="s">
        <v>47</v>
      </c>
      <c r="L58" s="65" t="s">
        <v>396</v>
      </c>
      <c r="M58" s="15">
        <f t="shared" ref="M58" ca="1" si="20">TODAY()-B58</f>
        <v>249</v>
      </c>
      <c r="N58" s="18">
        <v>71939.199997995034</v>
      </c>
      <c r="O58" s="18">
        <v>71.864583333333329</v>
      </c>
      <c r="AZ58" s="86" t="s">
        <v>399</v>
      </c>
      <c r="BA58" s="107">
        <v>6126</v>
      </c>
      <c r="BB58" s="86" t="s">
        <v>450</v>
      </c>
      <c r="BC58" s="86">
        <v>3</v>
      </c>
      <c r="BD58" s="86" t="s">
        <v>451</v>
      </c>
      <c r="BE58" s="86" t="s">
        <v>452</v>
      </c>
    </row>
    <row r="59" spans="1:60" ht="18" hidden="1" x14ac:dyDescent="0.35">
      <c r="B59" s="19"/>
      <c r="C59" s="26" t="s">
        <v>27</v>
      </c>
      <c r="D59" s="11"/>
      <c r="E59" s="11"/>
      <c r="F59" s="20">
        <f>SUBTOTAL(9,F58:F58)</f>
        <v>0</v>
      </c>
      <c r="G59" s="21">
        <f>F59</f>
        <v>0</v>
      </c>
      <c r="H59" s="20">
        <f>SUBTOTAL(9,H58:H58)</f>
        <v>0</v>
      </c>
      <c r="I59" s="20">
        <f>SUBTOTAL(9,I58:I58)</f>
        <v>0</v>
      </c>
      <c r="J59" s="20"/>
      <c r="K59" s="15"/>
      <c r="L59" s="65"/>
      <c r="M59" s="15"/>
      <c r="N59" s="69"/>
      <c r="O59" s="69"/>
      <c r="AZ59" s="86" t="s">
        <v>27</v>
      </c>
    </row>
    <row r="60" spans="1:60" ht="18" hidden="1" x14ac:dyDescent="0.35">
      <c r="B60" s="19"/>
      <c r="C60" s="26"/>
      <c r="D60" s="11"/>
      <c r="E60" s="11"/>
      <c r="F60" s="13"/>
      <c r="G60" s="21"/>
      <c r="H60" s="20"/>
      <c r="I60" s="20"/>
      <c r="J60" s="20"/>
      <c r="K60" s="15"/>
      <c r="L60" s="65"/>
      <c r="M60" s="15"/>
      <c r="N60" s="69"/>
      <c r="O60" s="69"/>
    </row>
    <row r="61" spans="1:60" ht="18" hidden="1" x14ac:dyDescent="0.35">
      <c r="A61" s="86">
        <v>6274</v>
      </c>
      <c r="B61" s="10">
        <v>46086</v>
      </c>
      <c r="C61" s="11" t="s">
        <v>306</v>
      </c>
      <c r="D61" s="11" t="s">
        <v>230</v>
      </c>
      <c r="E61" s="11" t="s">
        <v>13</v>
      </c>
      <c r="F61" s="14">
        <v>0</v>
      </c>
      <c r="G61" s="21"/>
      <c r="H61" s="14">
        <f t="shared" ref="H61:H62" si="21">I61-F61</f>
        <v>4.0000000000000001E-3</v>
      </c>
      <c r="I61" s="14">
        <v>4.0000000000000001E-3</v>
      </c>
      <c r="J61" s="14">
        <v>496.86399999999998</v>
      </c>
      <c r="K61" s="15" t="s">
        <v>21</v>
      </c>
      <c r="L61" s="65" t="s">
        <v>396</v>
      </c>
      <c r="M61" s="15">
        <f t="shared" ref="M61:M62" ca="1" si="22">TODAY()-B61</f>
        <v>85</v>
      </c>
      <c r="N61" s="18">
        <v>63297.509059369702</v>
      </c>
      <c r="O61" s="18">
        <v>74.724999999999994</v>
      </c>
      <c r="AZ61" s="86" t="s">
        <v>399</v>
      </c>
      <c r="BA61" s="107">
        <v>6274</v>
      </c>
      <c r="BB61" s="86" t="s">
        <v>400</v>
      </c>
      <c r="BC61" s="86" t="s">
        <v>466</v>
      </c>
    </row>
    <row r="62" spans="1:60" ht="18" hidden="1" x14ac:dyDescent="0.35">
      <c r="A62" s="86">
        <v>6401</v>
      </c>
      <c r="B62" s="10">
        <v>46156</v>
      </c>
      <c r="C62" s="11" t="s">
        <v>379</v>
      </c>
      <c r="D62" s="11" t="s">
        <v>230</v>
      </c>
      <c r="E62" s="11" t="s">
        <v>13</v>
      </c>
      <c r="F62" s="14">
        <f>306.157-21-65-71-77-30-70</f>
        <v>-27.843000000000018</v>
      </c>
      <c r="G62" s="21"/>
      <c r="H62" s="14">
        <f t="shared" si="21"/>
        <v>204.88500000000002</v>
      </c>
      <c r="I62" s="14">
        <v>177.042</v>
      </c>
      <c r="J62" s="14">
        <v>305.59199999999998</v>
      </c>
      <c r="K62" s="15" t="s">
        <v>21</v>
      </c>
      <c r="L62" s="65" t="s">
        <v>396</v>
      </c>
      <c r="M62" s="15">
        <f t="shared" ca="1" si="22"/>
        <v>15</v>
      </c>
      <c r="N62" s="18">
        <v>115522.70162041044</v>
      </c>
      <c r="O62" s="18">
        <v>135.38888888888889</v>
      </c>
      <c r="AZ62" s="86" t="s">
        <v>399</v>
      </c>
      <c r="BA62" s="107">
        <v>6401</v>
      </c>
      <c r="BB62" s="86" t="s">
        <v>441</v>
      </c>
      <c r="BC62" s="86" t="s">
        <v>467</v>
      </c>
    </row>
    <row r="63" spans="1:60" ht="18" hidden="1" x14ac:dyDescent="0.35">
      <c r="B63" s="19"/>
      <c r="C63" s="26"/>
      <c r="D63" s="11"/>
      <c r="E63" s="11"/>
      <c r="F63" s="20">
        <f>SUBTOTAL(9,F61:F62)</f>
        <v>0</v>
      </c>
      <c r="G63" s="21">
        <f>F63</f>
        <v>0</v>
      </c>
      <c r="H63" s="20">
        <f>SUBTOTAL(9,H61:H62)</f>
        <v>0</v>
      </c>
      <c r="I63" s="20">
        <f>SUBTOTAL(9,I61:I62)</f>
        <v>0</v>
      </c>
      <c r="J63" s="20"/>
      <c r="K63" s="15"/>
      <c r="L63" s="65"/>
      <c r="M63" s="15"/>
      <c r="N63" s="69"/>
      <c r="O63" s="69"/>
    </row>
    <row r="64" spans="1:60" ht="18" hidden="1" x14ac:dyDescent="0.35">
      <c r="B64" s="19"/>
      <c r="C64" s="26"/>
      <c r="D64" s="11"/>
      <c r="E64" s="11"/>
      <c r="F64" s="13"/>
      <c r="G64" s="21"/>
      <c r="H64" s="20"/>
      <c r="I64" s="20"/>
      <c r="J64" s="20"/>
      <c r="K64" s="15"/>
      <c r="L64" s="65"/>
      <c r="M64" s="15"/>
      <c r="N64" s="69"/>
      <c r="O64" s="69"/>
    </row>
    <row r="65" spans="1:55" ht="18" hidden="1" x14ac:dyDescent="0.35">
      <c r="A65" s="86">
        <v>6335</v>
      </c>
      <c r="B65" s="10">
        <v>46161</v>
      </c>
      <c r="C65" s="11" t="s">
        <v>380</v>
      </c>
      <c r="D65" s="11" t="s">
        <v>233</v>
      </c>
      <c r="E65" s="11" t="s">
        <v>9</v>
      </c>
      <c r="F65" s="14">
        <f>734.477-153.14</f>
        <v>581.33699999999999</v>
      </c>
      <c r="G65" s="21"/>
      <c r="H65" s="14">
        <f t="shared" ref="H65" si="23">I65-F65</f>
        <v>87.639999999999986</v>
      </c>
      <c r="I65" s="14">
        <v>668.97699999999998</v>
      </c>
      <c r="J65" s="14">
        <v>734.47699999999998</v>
      </c>
      <c r="K65" s="15" t="s">
        <v>29</v>
      </c>
      <c r="L65" s="65" t="s">
        <v>396</v>
      </c>
      <c r="M65" s="15">
        <f t="shared" ref="M65" ca="1" si="24">TODAY()-B65</f>
        <v>10</v>
      </c>
      <c r="N65" s="18">
        <v>62954.159000213767</v>
      </c>
      <c r="O65" s="18">
        <v>112</v>
      </c>
      <c r="AZ65" s="86" t="s">
        <v>399</v>
      </c>
      <c r="BA65" s="107">
        <v>6335</v>
      </c>
      <c r="BB65" s="86" t="s">
        <v>400</v>
      </c>
      <c r="BC65" s="86" t="s">
        <v>459</v>
      </c>
    </row>
    <row r="66" spans="1:55" ht="18" x14ac:dyDescent="0.35">
      <c r="B66" s="73">
        <v>45607</v>
      </c>
      <c r="C66" s="104" t="s">
        <v>236</v>
      </c>
      <c r="D66" s="74" t="s">
        <v>233</v>
      </c>
      <c r="E66" s="74" t="s">
        <v>9</v>
      </c>
      <c r="F66" s="75">
        <v>0</v>
      </c>
      <c r="G66" s="76"/>
      <c r="H66" s="75">
        <f t="shared" ref="H66:H67" si="25">I66-F66</f>
        <v>114.22199999999999</v>
      </c>
      <c r="I66" s="76">
        <f>178.98-64.758</f>
        <v>114.22199999999999</v>
      </c>
      <c r="J66" s="75"/>
      <c r="K66" s="77" t="s">
        <v>29</v>
      </c>
      <c r="L66" s="78" t="s">
        <v>235</v>
      </c>
      <c r="M66" s="15">
        <f t="shared" ref="M66:M67" ca="1" si="26">TODAY()-B66</f>
        <v>564</v>
      </c>
      <c r="N66" s="69"/>
      <c r="O66" s="69"/>
      <c r="AZ66" s="86" t="s">
        <v>235</v>
      </c>
      <c r="BA66" s="107" t="s">
        <v>468</v>
      </c>
      <c r="BB66" s="86" t="s">
        <v>469</v>
      </c>
      <c r="BC66" s="86" t="s">
        <v>470</v>
      </c>
    </row>
    <row r="67" spans="1:55" ht="18" x14ac:dyDescent="0.35">
      <c r="B67" s="73">
        <v>45809</v>
      </c>
      <c r="C67" s="104" t="s">
        <v>237</v>
      </c>
      <c r="D67" s="74" t="s">
        <v>233</v>
      </c>
      <c r="E67" s="74" t="s">
        <v>9</v>
      </c>
      <c r="F67" s="75">
        <f>663.055-54-105-12-25-20+42+42</f>
        <v>531.05499999999995</v>
      </c>
      <c r="G67" s="76"/>
      <c r="H67" s="75">
        <f t="shared" si="25"/>
        <v>132</v>
      </c>
      <c r="I67" s="76">
        <v>663.05499999999995</v>
      </c>
      <c r="J67" s="75"/>
      <c r="K67" s="77" t="s">
        <v>29</v>
      </c>
      <c r="L67" s="78" t="s">
        <v>235</v>
      </c>
      <c r="M67" s="15">
        <f t="shared" ca="1" si="26"/>
        <v>362</v>
      </c>
      <c r="N67" s="69"/>
      <c r="O67" s="69"/>
      <c r="AZ67" s="86" t="s">
        <v>235</v>
      </c>
      <c r="BA67" s="107" t="s">
        <v>468</v>
      </c>
      <c r="BB67" s="86" t="s">
        <v>441</v>
      </c>
      <c r="BC67" s="86" t="s">
        <v>471</v>
      </c>
    </row>
    <row r="68" spans="1:55" ht="18" hidden="1" x14ac:dyDescent="0.35">
      <c r="B68" s="19"/>
      <c r="C68" s="26" t="s">
        <v>27</v>
      </c>
      <c r="D68" s="11"/>
      <c r="E68" s="11"/>
      <c r="F68" s="20">
        <f>SUBTOTAL(9,F65:F67)</f>
        <v>531.05499999999995</v>
      </c>
      <c r="G68" s="21">
        <f>F68</f>
        <v>531.05499999999995</v>
      </c>
      <c r="H68" s="20">
        <f>SUBTOTAL(9,H65:H67)</f>
        <v>246.22199999999998</v>
      </c>
      <c r="I68" s="20">
        <f>SUBTOTAL(9,I65:I67)</f>
        <v>777.27699999999993</v>
      </c>
      <c r="J68" s="20"/>
      <c r="K68" s="15"/>
      <c r="L68" s="65"/>
      <c r="M68" s="15"/>
      <c r="N68" s="69"/>
      <c r="O68" s="69"/>
      <c r="AZ68" s="86" t="s">
        <v>27</v>
      </c>
    </row>
    <row r="69" spans="1:55" ht="18" hidden="1" x14ac:dyDescent="0.35">
      <c r="B69" s="19"/>
      <c r="C69" s="26"/>
      <c r="D69" s="11"/>
      <c r="E69" s="11"/>
      <c r="F69" s="20"/>
      <c r="G69" s="21"/>
      <c r="H69" s="20"/>
      <c r="I69" s="20"/>
      <c r="J69" s="20"/>
      <c r="K69" s="15"/>
      <c r="L69" s="65"/>
      <c r="M69" s="15"/>
      <c r="N69" s="69"/>
      <c r="O69" s="69"/>
    </row>
    <row r="70" spans="1:55" ht="18" x14ac:dyDescent="0.35">
      <c r="B70" s="91">
        <v>46147</v>
      </c>
      <c r="C70" s="92" t="s">
        <v>373</v>
      </c>
      <c r="D70" s="92" t="s">
        <v>82</v>
      </c>
      <c r="E70" s="92" t="s">
        <v>9</v>
      </c>
      <c r="F70" s="95">
        <f>1731.193-1010-30-50-83-17-47+7.79-50+30</f>
        <v>481.983</v>
      </c>
      <c r="G70" s="100"/>
      <c r="H70" s="95">
        <f t="shared" ref="H70" si="27">I70-F70</f>
        <v>620.36000000000013</v>
      </c>
      <c r="I70" s="95">
        <v>1102.3430000000001</v>
      </c>
      <c r="J70" s="95">
        <v>1731.193</v>
      </c>
      <c r="K70" s="96" t="s">
        <v>32</v>
      </c>
      <c r="L70" s="97" t="s">
        <v>310</v>
      </c>
      <c r="M70" s="96">
        <f t="shared" ref="M70" ca="1" si="28">TODAY()-B70</f>
        <v>24</v>
      </c>
      <c r="N70" s="69"/>
      <c r="O70" s="69"/>
      <c r="AZ70" s="86" t="s">
        <v>420</v>
      </c>
      <c r="BA70" s="107">
        <v>8</v>
      </c>
      <c r="BB70" s="86" t="s">
        <v>400</v>
      </c>
      <c r="BC70" s="86" t="s">
        <v>449</v>
      </c>
    </row>
    <row r="71" spans="1:55" ht="18" hidden="1" x14ac:dyDescent="0.35">
      <c r="A71" s="86">
        <v>6370</v>
      </c>
      <c r="B71" s="10">
        <v>46127</v>
      </c>
      <c r="C71" s="11" t="s">
        <v>349</v>
      </c>
      <c r="D71" s="11" t="s">
        <v>82</v>
      </c>
      <c r="E71" s="11" t="s">
        <v>19</v>
      </c>
      <c r="F71" s="14">
        <v>0</v>
      </c>
      <c r="G71" s="21"/>
      <c r="H71" s="14">
        <f t="shared" ref="H71:H72" si="29">I71-F71</f>
        <v>27.986999999999998</v>
      </c>
      <c r="I71" s="14">
        <v>27.986999999999998</v>
      </c>
      <c r="J71" s="14">
        <v>715.29399999999998</v>
      </c>
      <c r="K71" s="15" t="s">
        <v>26</v>
      </c>
      <c r="L71" s="65" t="s">
        <v>396</v>
      </c>
      <c r="M71" s="15">
        <f t="shared" ref="M71:M72" ca="1" si="30">TODAY()-B71</f>
        <v>44</v>
      </c>
      <c r="N71" s="18">
        <v>136677.64974961345</v>
      </c>
      <c r="O71" s="18">
        <v>186.9</v>
      </c>
      <c r="AZ71" s="86" t="s">
        <v>399</v>
      </c>
      <c r="BA71" s="107">
        <v>6370</v>
      </c>
      <c r="BB71" s="86" t="s">
        <v>455</v>
      </c>
      <c r="BC71" s="86" t="s">
        <v>456</v>
      </c>
    </row>
    <row r="72" spans="1:55" ht="18" x14ac:dyDescent="0.35">
      <c r="B72" s="91">
        <v>46144</v>
      </c>
      <c r="C72" s="92" t="s">
        <v>370</v>
      </c>
      <c r="D72" s="92" t="s">
        <v>82</v>
      </c>
      <c r="E72" s="92" t="s">
        <v>19</v>
      </c>
      <c r="F72" s="95">
        <f>950-318.063-75-105-65-53+30-25-10-70-25-75-50-80</f>
        <v>28.937000000000012</v>
      </c>
      <c r="G72" s="100"/>
      <c r="H72" s="95">
        <f t="shared" si="29"/>
        <v>172.667</v>
      </c>
      <c r="I72" s="95">
        <v>201.60400000000001</v>
      </c>
      <c r="J72" s="95">
        <v>948.20399999999995</v>
      </c>
      <c r="K72" s="96" t="s">
        <v>26</v>
      </c>
      <c r="L72" s="97" t="s">
        <v>310</v>
      </c>
      <c r="M72" s="96">
        <f t="shared" ca="1" si="30"/>
        <v>27</v>
      </c>
      <c r="N72" s="69"/>
      <c r="O72" s="69"/>
      <c r="AZ72" s="86" t="s">
        <v>420</v>
      </c>
      <c r="BA72" s="107">
        <v>11</v>
      </c>
      <c r="BB72" s="86" t="s">
        <v>472</v>
      </c>
      <c r="BC72" s="86" t="s">
        <v>473</v>
      </c>
    </row>
    <row r="73" spans="1:55" ht="18" hidden="1" x14ac:dyDescent="0.35">
      <c r="B73" s="19"/>
      <c r="C73" s="26" t="s">
        <v>27</v>
      </c>
      <c r="D73" s="11"/>
      <c r="E73" s="11"/>
      <c r="F73" s="20">
        <f>SUBTOTAL(9,F69:F72)</f>
        <v>510.92</v>
      </c>
      <c r="G73" s="21">
        <f>F73</f>
        <v>510.92</v>
      </c>
      <c r="H73" s="20">
        <f>SUBTOTAL(9,H69:H72)</f>
        <v>793.02700000000016</v>
      </c>
      <c r="I73" s="20">
        <f>SUBTOTAL(9,I69:I72)</f>
        <v>1303.9470000000001</v>
      </c>
      <c r="J73" s="20"/>
      <c r="K73" s="15"/>
      <c r="L73" s="65"/>
      <c r="M73" s="15"/>
      <c r="N73" s="69"/>
      <c r="O73" s="69"/>
      <c r="AZ73" s="86" t="s">
        <v>27</v>
      </c>
    </row>
    <row r="74" spans="1:55" ht="18" hidden="1" x14ac:dyDescent="0.35">
      <c r="B74" s="19"/>
      <c r="C74" s="26"/>
      <c r="D74" s="11"/>
      <c r="E74" s="11"/>
      <c r="F74" s="20"/>
      <c r="G74" s="21"/>
      <c r="H74" s="20"/>
      <c r="I74" s="20"/>
      <c r="J74" s="20"/>
      <c r="K74" s="15"/>
      <c r="L74" s="65"/>
      <c r="M74" s="15"/>
      <c r="N74" s="69"/>
      <c r="O74" s="69"/>
    </row>
    <row r="75" spans="1:55" ht="18" hidden="1" x14ac:dyDescent="0.35">
      <c r="A75" s="86">
        <v>6238</v>
      </c>
      <c r="B75" s="10">
        <v>45999</v>
      </c>
      <c r="C75" s="11" t="s">
        <v>265</v>
      </c>
      <c r="D75" s="11" t="s">
        <v>229</v>
      </c>
      <c r="E75" s="11" t="s">
        <v>13</v>
      </c>
      <c r="F75" s="12">
        <v>0</v>
      </c>
      <c r="G75" s="13"/>
      <c r="H75" s="14">
        <f t="shared" ref="H75:H77" si="31">I75-F75</f>
        <v>0.23</v>
      </c>
      <c r="I75" s="14">
        <v>0.23</v>
      </c>
      <c r="J75" s="14">
        <v>1989.6610000000001</v>
      </c>
      <c r="K75" s="15" t="s">
        <v>21</v>
      </c>
      <c r="L75" s="65" t="s">
        <v>396</v>
      </c>
      <c r="M75" s="15">
        <f t="shared" ref="M75:M77" ca="1" si="32">TODAY()-B75</f>
        <v>172</v>
      </c>
      <c r="N75" s="18">
        <v>42510.80050251256</v>
      </c>
      <c r="O75" s="18">
        <v>52.024237288135595</v>
      </c>
      <c r="AZ75" s="86" t="s">
        <v>399</v>
      </c>
      <c r="BA75" s="107">
        <v>6238</v>
      </c>
      <c r="BB75" s="86" t="s">
        <v>457</v>
      </c>
      <c r="BC75" s="86" t="s">
        <v>474</v>
      </c>
    </row>
    <row r="76" spans="1:55" ht="18" hidden="1" x14ac:dyDescent="0.35">
      <c r="A76" s="86">
        <v>6383</v>
      </c>
      <c r="B76" s="10">
        <v>46148</v>
      </c>
      <c r="C76" s="11" t="s">
        <v>371</v>
      </c>
      <c r="D76" s="11" t="s">
        <v>229</v>
      </c>
      <c r="E76" s="11" t="s">
        <v>13</v>
      </c>
      <c r="F76" s="12">
        <f>2099.561-336-60-10-181-90-35-25-30-229-62-125-43-100-61-115</f>
        <v>597.56100000000015</v>
      </c>
      <c r="G76" s="13"/>
      <c r="H76" s="14">
        <f t="shared" si="31"/>
        <v>704.88199999999983</v>
      </c>
      <c r="I76" s="14">
        <v>1302.443</v>
      </c>
      <c r="J76" s="14">
        <v>2099.5610000000001</v>
      </c>
      <c r="K76" s="15" t="s">
        <v>21</v>
      </c>
      <c r="L76" s="65" t="s">
        <v>396</v>
      </c>
      <c r="M76" s="15">
        <f t="shared" ca="1" si="32"/>
        <v>23</v>
      </c>
      <c r="N76" s="18">
        <v>75695.217000125253</v>
      </c>
      <c r="O76" s="18">
        <v>69.474999999999994</v>
      </c>
      <c r="AZ76" s="86" t="s">
        <v>399</v>
      </c>
      <c r="BA76" s="107">
        <v>6383</v>
      </c>
      <c r="BB76" s="86" t="s">
        <v>472</v>
      </c>
      <c r="BC76" s="86" t="s">
        <v>473</v>
      </c>
    </row>
    <row r="77" spans="1:55" ht="18" hidden="1" x14ac:dyDescent="0.35">
      <c r="A77" s="86">
        <v>6146</v>
      </c>
      <c r="B77" s="10">
        <v>45948</v>
      </c>
      <c r="C77" s="11" t="s">
        <v>253</v>
      </c>
      <c r="D77" s="11" t="s">
        <v>229</v>
      </c>
      <c r="E77" s="11" t="s">
        <v>9</v>
      </c>
      <c r="F77" s="12">
        <f>93.71-60-25</f>
        <v>8.7099999999999937</v>
      </c>
      <c r="G77" s="13"/>
      <c r="H77" s="14">
        <f t="shared" si="31"/>
        <v>2.3520000000000056</v>
      </c>
      <c r="I77" s="14">
        <v>11.061999999999999</v>
      </c>
      <c r="J77" s="14">
        <v>4979.1419999999998</v>
      </c>
      <c r="K77" s="15" t="s">
        <v>32</v>
      </c>
      <c r="L77" s="65" t="s">
        <v>396</v>
      </c>
      <c r="M77" s="15">
        <f t="shared" ca="1" si="32"/>
        <v>223</v>
      </c>
      <c r="N77" s="18">
        <v>47695.293400000002</v>
      </c>
      <c r="O77" s="18">
        <v>46.246851851851851</v>
      </c>
      <c r="AZ77" s="86" t="s">
        <v>399</v>
      </c>
      <c r="BA77" s="107">
        <v>6146</v>
      </c>
      <c r="BB77" s="86" t="s">
        <v>400</v>
      </c>
      <c r="BC77" s="86" t="s">
        <v>475</v>
      </c>
    </row>
    <row r="78" spans="1:55" ht="18" hidden="1" x14ac:dyDescent="0.35">
      <c r="B78" s="19"/>
      <c r="C78" s="26" t="s">
        <v>27</v>
      </c>
      <c r="D78" s="11"/>
      <c r="E78" s="11"/>
      <c r="F78" s="20">
        <f>SUBTOTAL(9,F75:F77)</f>
        <v>0</v>
      </c>
      <c r="G78" s="21">
        <f>F78</f>
        <v>0</v>
      </c>
      <c r="H78" s="20">
        <f>SUBTOTAL(9,H75:H77)</f>
        <v>0</v>
      </c>
      <c r="I78" s="20">
        <f>SUBTOTAL(9,I75:I77)</f>
        <v>0</v>
      </c>
      <c r="J78" s="20"/>
      <c r="K78" s="15"/>
      <c r="L78" s="65"/>
      <c r="M78" s="15"/>
      <c r="N78" s="69"/>
      <c r="O78" s="69"/>
      <c r="AZ78" s="86" t="s">
        <v>27</v>
      </c>
    </row>
    <row r="79" spans="1:55" ht="18" hidden="1" x14ac:dyDescent="0.35">
      <c r="B79" s="19"/>
      <c r="C79" s="11"/>
      <c r="D79" s="11"/>
      <c r="E79" s="11"/>
      <c r="F79" s="12"/>
      <c r="G79" s="13"/>
      <c r="H79" s="13"/>
      <c r="I79" s="27"/>
      <c r="J79" s="27"/>
      <c r="K79" s="15"/>
      <c r="L79" s="65"/>
      <c r="M79" s="15"/>
      <c r="N79" s="69"/>
      <c r="O79" s="69"/>
    </row>
    <row r="80" spans="1:55" ht="18" hidden="1" x14ac:dyDescent="0.35">
      <c r="A80" s="86">
        <v>6323</v>
      </c>
      <c r="B80" s="10">
        <v>46123</v>
      </c>
      <c r="C80" s="11" t="s">
        <v>344</v>
      </c>
      <c r="D80" s="11" t="s">
        <v>84</v>
      </c>
      <c r="E80" s="11" t="s">
        <v>9</v>
      </c>
      <c r="F80" s="12">
        <f>139.387-60+45-30-100</f>
        <v>-5.6129999999999995</v>
      </c>
      <c r="G80" s="13"/>
      <c r="H80" s="14">
        <f t="shared" ref="H80" si="33">I80-F80</f>
        <v>300.41000000000003</v>
      </c>
      <c r="I80" s="14">
        <v>294.79700000000003</v>
      </c>
      <c r="J80" s="14">
        <v>999.42700000000002</v>
      </c>
      <c r="K80" s="15" t="s">
        <v>47</v>
      </c>
      <c r="L80" s="65" t="s">
        <v>396</v>
      </c>
      <c r="M80" s="15">
        <f t="shared" ref="M80" ca="1" si="34">TODAY()-B80</f>
        <v>48</v>
      </c>
      <c r="N80" s="18">
        <v>78611.74750131827</v>
      </c>
      <c r="O80" s="18">
        <v>110.72058823529412</v>
      </c>
      <c r="AZ80" s="86" t="s">
        <v>399</v>
      </c>
      <c r="BA80" s="107">
        <v>6323</v>
      </c>
      <c r="BB80" s="86" t="s">
        <v>454</v>
      </c>
      <c r="BC80" s="86">
        <v>1</v>
      </c>
    </row>
    <row r="81" spans="1:57" ht="18" hidden="1" x14ac:dyDescent="0.35">
      <c r="B81" s="19"/>
      <c r="C81" s="26" t="s">
        <v>27</v>
      </c>
      <c r="D81" s="11"/>
      <c r="E81" s="11"/>
      <c r="F81" s="20">
        <f>SUBTOTAL(9,F80:F80)</f>
        <v>0</v>
      </c>
      <c r="G81" s="21">
        <f>F81</f>
        <v>0</v>
      </c>
      <c r="H81" s="20">
        <f>SUBTOTAL(9,H80:H80)</f>
        <v>0</v>
      </c>
      <c r="I81" s="20">
        <f>SUBTOTAL(9,I80:I80)</f>
        <v>0</v>
      </c>
      <c r="J81" s="20"/>
      <c r="K81" s="15"/>
      <c r="L81" s="65"/>
      <c r="M81" s="15"/>
      <c r="N81" s="69"/>
      <c r="O81" s="69"/>
      <c r="AZ81" s="86" t="s">
        <v>27</v>
      </c>
    </row>
    <row r="82" spans="1:57" ht="18" hidden="1" x14ac:dyDescent="0.35">
      <c r="B82" s="19"/>
      <c r="C82" s="26"/>
      <c r="D82" s="11"/>
      <c r="E82" s="11"/>
      <c r="F82" s="20"/>
      <c r="G82" s="21"/>
      <c r="H82" s="20"/>
      <c r="I82" s="20"/>
      <c r="J82" s="20"/>
      <c r="K82" s="15"/>
      <c r="L82" s="65"/>
      <c r="M82" s="15"/>
      <c r="N82" s="69"/>
      <c r="O82" s="69"/>
    </row>
    <row r="83" spans="1:57" ht="18" hidden="1" x14ac:dyDescent="0.35">
      <c r="A83" s="86">
        <v>6270</v>
      </c>
      <c r="B83" s="10">
        <v>46068</v>
      </c>
      <c r="C83" s="11" t="s">
        <v>293</v>
      </c>
      <c r="D83" s="11" t="s">
        <v>294</v>
      </c>
      <c r="E83" s="11" t="s">
        <v>9</v>
      </c>
      <c r="F83" s="12">
        <f>106.651-15-25-20</f>
        <v>46.650999999999996</v>
      </c>
      <c r="G83" s="13"/>
      <c r="H83" s="14">
        <f t="shared" ref="H83" si="35">I83-F83</f>
        <v>25.160000000000011</v>
      </c>
      <c r="I83" s="14">
        <v>71.811000000000007</v>
      </c>
      <c r="J83" s="14">
        <v>426.50099999999998</v>
      </c>
      <c r="K83" s="15" t="s">
        <v>32</v>
      </c>
      <c r="L83" s="65" t="s">
        <v>396</v>
      </c>
      <c r="M83" s="15">
        <f t="shared" ref="M83" ca="1" si="36">TODAY()-B83</f>
        <v>103</v>
      </c>
      <c r="N83" s="18">
        <v>84836.10996793129</v>
      </c>
      <c r="O83" s="18">
        <v>107.65</v>
      </c>
      <c r="AZ83" s="86" t="s">
        <v>399</v>
      </c>
      <c r="BA83" s="107">
        <v>6270</v>
      </c>
      <c r="BB83" s="86" t="s">
        <v>476</v>
      </c>
    </row>
    <row r="84" spans="1:57" ht="18" hidden="1" x14ac:dyDescent="0.35">
      <c r="B84" s="19"/>
      <c r="C84" s="26"/>
      <c r="D84" s="11"/>
      <c r="E84" s="11"/>
      <c r="F84" s="20">
        <f>SUBTOTAL(9,F83:F83)</f>
        <v>0</v>
      </c>
      <c r="G84" s="21">
        <f>F84</f>
        <v>0</v>
      </c>
      <c r="H84" s="20">
        <f>SUBTOTAL(9,H83:H83)</f>
        <v>0</v>
      </c>
      <c r="I84" s="20">
        <f>SUBTOTAL(9,I83:I83)</f>
        <v>0</v>
      </c>
      <c r="J84" s="20"/>
      <c r="K84" s="15"/>
      <c r="L84" s="65"/>
      <c r="M84" s="15"/>
      <c r="N84" s="69"/>
      <c r="O84" s="69"/>
    </row>
    <row r="85" spans="1:57" ht="18" hidden="1" x14ac:dyDescent="0.35">
      <c r="B85" s="19"/>
      <c r="C85" s="26"/>
      <c r="D85" s="11"/>
      <c r="E85" s="11"/>
      <c r="F85" s="13"/>
      <c r="G85" s="13"/>
      <c r="H85" s="13"/>
      <c r="I85" s="27"/>
      <c r="J85" s="27"/>
      <c r="K85" s="15"/>
      <c r="L85" s="65"/>
      <c r="M85" s="15"/>
      <c r="N85" s="69"/>
      <c r="O85" s="69"/>
    </row>
    <row r="86" spans="1:57" ht="18" hidden="1" x14ac:dyDescent="0.35">
      <c r="A86" s="86">
        <v>6230</v>
      </c>
      <c r="B86" s="10">
        <v>46013</v>
      </c>
      <c r="C86" s="11" t="s">
        <v>271</v>
      </c>
      <c r="D86" s="11" t="s">
        <v>88</v>
      </c>
      <c r="E86" s="11" t="s">
        <v>9</v>
      </c>
      <c r="F86" s="14">
        <v>30.721</v>
      </c>
      <c r="G86" s="20"/>
      <c r="H86" s="14">
        <f t="shared" ref="H86:H100" si="37">I86-F86</f>
        <v>21.148999999999997</v>
      </c>
      <c r="I86" s="14">
        <v>51.87</v>
      </c>
      <c r="J86" s="14">
        <v>2838.95</v>
      </c>
      <c r="K86" s="15" t="s">
        <v>29</v>
      </c>
      <c r="L86" s="65" t="s">
        <v>396</v>
      </c>
      <c r="M86" s="15">
        <f t="shared" ref="M86:M100" ca="1" si="38">TODAY()-B86</f>
        <v>158</v>
      </c>
      <c r="N86" s="18">
        <v>72839.8</v>
      </c>
      <c r="O86" s="18">
        <v>75.423400000000001</v>
      </c>
      <c r="AZ86" s="86" t="s">
        <v>399</v>
      </c>
      <c r="BA86" s="107">
        <v>6230</v>
      </c>
      <c r="BB86" s="86" t="s">
        <v>400</v>
      </c>
      <c r="BC86" s="86" t="s">
        <v>440</v>
      </c>
    </row>
    <row r="87" spans="1:57" ht="18" hidden="1" x14ac:dyDescent="0.35">
      <c r="A87" s="86">
        <v>6311</v>
      </c>
      <c r="B87" s="10">
        <v>46091</v>
      </c>
      <c r="C87" s="11" t="s">
        <v>317</v>
      </c>
      <c r="D87" s="11" t="s">
        <v>88</v>
      </c>
      <c r="E87" s="11" t="s">
        <v>9</v>
      </c>
      <c r="F87" s="14">
        <f>1570.567-208.51-260-25+21+185-400</f>
        <v>883.05700000000002</v>
      </c>
      <c r="G87" s="20"/>
      <c r="H87" s="14">
        <f t="shared" si="37"/>
        <v>516.90100000000007</v>
      </c>
      <c r="I87" s="14">
        <v>1399.9580000000001</v>
      </c>
      <c r="J87" s="14">
        <v>1575</v>
      </c>
      <c r="K87" s="15" t="s">
        <v>32</v>
      </c>
      <c r="L87" s="65" t="s">
        <v>396</v>
      </c>
      <c r="M87" s="15">
        <f t="shared" ca="1" si="38"/>
        <v>80</v>
      </c>
      <c r="N87" s="18">
        <v>75312.05</v>
      </c>
      <c r="O87" s="18">
        <v>101.25</v>
      </c>
      <c r="AZ87" s="86" t="s">
        <v>399</v>
      </c>
      <c r="BA87" s="107">
        <v>6311</v>
      </c>
      <c r="BB87" s="86" t="s">
        <v>400</v>
      </c>
      <c r="BC87" s="86" t="s">
        <v>440</v>
      </c>
    </row>
    <row r="88" spans="1:57" ht="18" x14ac:dyDescent="0.35">
      <c r="B88" s="10">
        <v>46095</v>
      </c>
      <c r="C88" s="11" t="s">
        <v>325</v>
      </c>
      <c r="D88" s="11" t="s">
        <v>88</v>
      </c>
      <c r="E88" s="11" t="s">
        <v>9</v>
      </c>
      <c r="F88" s="14">
        <v>0</v>
      </c>
      <c r="G88" s="20"/>
      <c r="H88" s="14">
        <f t="shared" si="37"/>
        <v>447.33600000000001</v>
      </c>
      <c r="I88" s="14">
        <v>447.33600000000001</v>
      </c>
      <c r="J88" s="14">
        <v>1275.9259999999999</v>
      </c>
      <c r="K88" s="15" t="s">
        <v>32</v>
      </c>
      <c r="L88" s="65" t="s">
        <v>396</v>
      </c>
      <c r="M88" s="15">
        <f t="shared" ca="1" si="38"/>
        <v>76</v>
      </c>
      <c r="N88" s="69"/>
      <c r="O88" s="69"/>
      <c r="AZ88" s="86" t="s">
        <v>425</v>
      </c>
      <c r="BA88" s="107">
        <v>230</v>
      </c>
      <c r="BB88" s="86" t="s">
        <v>441</v>
      </c>
      <c r="BC88" s="86" t="s">
        <v>477</v>
      </c>
      <c r="BD88" s="106">
        <v>1275.9259999999999</v>
      </c>
      <c r="BE88" s="86" t="s">
        <v>478</v>
      </c>
    </row>
    <row r="89" spans="1:57" ht="18" x14ac:dyDescent="0.35">
      <c r="B89" s="10">
        <v>46095</v>
      </c>
      <c r="C89" s="11" t="s">
        <v>326</v>
      </c>
      <c r="D89" s="11" t="s">
        <v>88</v>
      </c>
      <c r="E89" s="11" t="s">
        <v>9</v>
      </c>
      <c r="F89" s="14">
        <v>0</v>
      </c>
      <c r="G89" s="20"/>
      <c r="H89" s="14">
        <f t="shared" si="37"/>
        <v>26.73</v>
      </c>
      <c r="I89" s="14">
        <v>26.73</v>
      </c>
      <c r="J89" s="14">
        <v>1000</v>
      </c>
      <c r="K89" s="15" t="s">
        <v>47</v>
      </c>
      <c r="L89" s="65" t="s">
        <v>396</v>
      </c>
      <c r="M89" s="15">
        <f t="shared" ca="1" si="38"/>
        <v>76</v>
      </c>
      <c r="N89" s="69"/>
      <c r="O89" s="69"/>
      <c r="AZ89" s="86" t="s">
        <v>425</v>
      </c>
      <c r="BA89" s="107">
        <v>234</v>
      </c>
      <c r="BB89" s="86" t="s">
        <v>479</v>
      </c>
      <c r="BC89" s="86" t="s">
        <v>480</v>
      </c>
      <c r="BD89" s="86" t="s">
        <v>481</v>
      </c>
    </row>
    <row r="90" spans="1:57" ht="18" hidden="1" x14ac:dyDescent="0.35">
      <c r="A90" s="86">
        <v>6344</v>
      </c>
      <c r="B90" s="10">
        <v>46136</v>
      </c>
      <c r="C90" s="11" t="s">
        <v>358</v>
      </c>
      <c r="D90" s="11" t="s">
        <v>88</v>
      </c>
      <c r="E90" s="11" t="s">
        <v>9</v>
      </c>
      <c r="F90" s="14">
        <f>1970.256</f>
        <v>1970.2560000000001</v>
      </c>
      <c r="G90" s="20"/>
      <c r="H90" s="14">
        <f t="shared" si="37"/>
        <v>0</v>
      </c>
      <c r="I90" s="14">
        <f>1960.109+10.147</f>
        <v>1970.2559999999999</v>
      </c>
      <c r="J90" s="14">
        <v>1984.7159999999999</v>
      </c>
      <c r="K90" s="15" t="s">
        <v>369</v>
      </c>
      <c r="L90" s="65" t="s">
        <v>396</v>
      </c>
      <c r="M90" s="15">
        <f t="shared" ca="1" si="38"/>
        <v>35</v>
      </c>
      <c r="N90" s="18">
        <v>105708.066751112</v>
      </c>
      <c r="O90" s="18"/>
      <c r="AZ90" s="86" t="s">
        <v>399</v>
      </c>
      <c r="BA90" s="107">
        <v>6344</v>
      </c>
      <c r="BB90" s="86" t="s">
        <v>482</v>
      </c>
      <c r="BC90" s="86" t="s">
        <v>483</v>
      </c>
    </row>
    <row r="91" spans="1:57" ht="18" x14ac:dyDescent="0.35">
      <c r="B91" s="73">
        <v>46045</v>
      </c>
      <c r="C91" s="74" t="s">
        <v>280</v>
      </c>
      <c r="D91" s="74" t="s">
        <v>88</v>
      </c>
      <c r="E91" s="74" t="s">
        <v>9</v>
      </c>
      <c r="F91" s="79">
        <v>0</v>
      </c>
      <c r="G91" s="81"/>
      <c r="H91" s="75">
        <f t="shared" si="37"/>
        <v>238.90100000000001</v>
      </c>
      <c r="I91" s="75">
        <v>238.90100000000001</v>
      </c>
      <c r="J91" s="75">
        <v>2084.1410000000001</v>
      </c>
      <c r="K91" s="77" t="s">
        <v>32</v>
      </c>
      <c r="L91" s="78" t="s">
        <v>235</v>
      </c>
      <c r="M91" s="77">
        <f t="shared" ca="1" si="38"/>
        <v>126</v>
      </c>
      <c r="N91" s="69"/>
      <c r="O91" s="69"/>
      <c r="AZ91" s="86" t="s">
        <v>435</v>
      </c>
      <c r="BA91" s="107">
        <v>320</v>
      </c>
      <c r="BB91" s="86" t="s">
        <v>472</v>
      </c>
      <c r="BC91" s="86" t="s">
        <v>484</v>
      </c>
    </row>
    <row r="92" spans="1:57" ht="18" x14ac:dyDescent="0.35">
      <c r="B92" s="73">
        <v>46085</v>
      </c>
      <c r="C92" s="74" t="s">
        <v>308</v>
      </c>
      <c r="D92" s="74" t="s">
        <v>88</v>
      </c>
      <c r="E92" s="74" t="s">
        <v>9</v>
      </c>
      <c r="F92" s="79">
        <f>3413.956-57.699-25</f>
        <v>3331.2570000000001</v>
      </c>
      <c r="G92" s="81"/>
      <c r="H92" s="75">
        <f t="shared" si="37"/>
        <v>286.46900000000005</v>
      </c>
      <c r="I92" s="75">
        <v>3617.7260000000001</v>
      </c>
      <c r="J92" s="75">
        <v>5700</v>
      </c>
      <c r="K92" s="77" t="s">
        <v>309</v>
      </c>
      <c r="L92" s="78" t="s">
        <v>235</v>
      </c>
      <c r="M92" s="77">
        <f t="shared" ca="1" si="38"/>
        <v>86</v>
      </c>
      <c r="N92" s="69"/>
      <c r="O92" s="69"/>
      <c r="AZ92" s="86" t="s">
        <v>435</v>
      </c>
      <c r="BA92" s="107">
        <v>317</v>
      </c>
      <c r="BB92" s="86" t="s">
        <v>485</v>
      </c>
      <c r="BC92" s="86" t="s">
        <v>486</v>
      </c>
    </row>
    <row r="93" spans="1:57" ht="18" hidden="1" x14ac:dyDescent="0.35">
      <c r="A93" s="86">
        <v>6231</v>
      </c>
      <c r="B93" s="10">
        <v>46009</v>
      </c>
      <c r="C93" s="11" t="s">
        <v>267</v>
      </c>
      <c r="D93" s="11" t="s">
        <v>88</v>
      </c>
      <c r="E93" s="11" t="s">
        <v>13</v>
      </c>
      <c r="F93" s="12">
        <v>0</v>
      </c>
      <c r="G93" s="13"/>
      <c r="H93" s="14">
        <f t="shared" si="37"/>
        <v>0.751</v>
      </c>
      <c r="I93" s="14">
        <v>0.751</v>
      </c>
      <c r="J93" s="14">
        <v>1416.0609999999999</v>
      </c>
      <c r="K93" s="15" t="s">
        <v>21</v>
      </c>
      <c r="L93" s="65" t="s">
        <v>396</v>
      </c>
      <c r="M93" s="15">
        <f t="shared" ca="1" si="38"/>
        <v>162</v>
      </c>
      <c r="N93" s="18">
        <v>73348.744000000006</v>
      </c>
      <c r="O93" s="18">
        <v>77.436206896551724</v>
      </c>
      <c r="AZ93" s="86" t="s">
        <v>399</v>
      </c>
      <c r="BA93" s="107">
        <v>6231</v>
      </c>
      <c r="BB93" s="86" t="s">
        <v>400</v>
      </c>
      <c r="BC93" s="86" t="s">
        <v>440</v>
      </c>
    </row>
    <row r="94" spans="1:57" ht="18" hidden="1" x14ac:dyDescent="0.35">
      <c r="A94" s="86">
        <v>6307</v>
      </c>
      <c r="B94" s="10">
        <v>46082</v>
      </c>
      <c r="C94" s="11" t="s">
        <v>315</v>
      </c>
      <c r="D94" s="11" t="s">
        <v>88</v>
      </c>
      <c r="E94" s="11" t="s">
        <v>13</v>
      </c>
      <c r="F94" s="12">
        <v>0</v>
      </c>
      <c r="G94" s="13"/>
      <c r="H94" s="14">
        <f t="shared" si="37"/>
        <v>188.077</v>
      </c>
      <c r="I94" s="14">
        <v>188.077</v>
      </c>
      <c r="J94" s="14">
        <v>1895.021</v>
      </c>
      <c r="K94" s="15" t="s">
        <v>21</v>
      </c>
      <c r="L94" s="65" t="s">
        <v>396</v>
      </c>
      <c r="M94" s="15">
        <f t="shared" ca="1" si="38"/>
        <v>89</v>
      </c>
      <c r="N94" s="18">
        <v>76093.460000000006</v>
      </c>
      <c r="O94" s="18">
        <v>99.808888888888887</v>
      </c>
      <c r="AZ94" s="86" t="s">
        <v>399</v>
      </c>
      <c r="BA94" s="107">
        <v>6307</v>
      </c>
      <c r="BB94" s="86" t="s">
        <v>472</v>
      </c>
      <c r="BC94" s="86" t="s">
        <v>487</v>
      </c>
    </row>
    <row r="95" spans="1:57" ht="18" hidden="1" x14ac:dyDescent="0.35">
      <c r="A95" s="86">
        <v>6308</v>
      </c>
      <c r="B95" s="10">
        <v>46082</v>
      </c>
      <c r="C95" s="11" t="s">
        <v>316</v>
      </c>
      <c r="D95" s="11" t="s">
        <v>88</v>
      </c>
      <c r="E95" s="11" t="s">
        <v>13</v>
      </c>
      <c r="F95" s="12">
        <f>1904.769-118-700-160-20-75-30-140-25-92-20</f>
        <v>524.76900000000001</v>
      </c>
      <c r="G95" s="13"/>
      <c r="H95" s="14">
        <f t="shared" si="37"/>
        <v>537.11000000000013</v>
      </c>
      <c r="I95" s="14">
        <f>1904.769-219.49-174.81-223.05-225.54</f>
        <v>1061.8790000000001</v>
      </c>
      <c r="J95" s="14">
        <v>1904.769</v>
      </c>
      <c r="K95" s="15" t="s">
        <v>21</v>
      </c>
      <c r="L95" s="65" t="s">
        <v>396</v>
      </c>
      <c r="M95" s="15">
        <f t="shared" ca="1" si="38"/>
        <v>89</v>
      </c>
      <c r="N95" s="18">
        <v>76093.460001026295</v>
      </c>
      <c r="O95" s="18">
        <v>107.63499999999999</v>
      </c>
      <c r="AZ95" s="86" t="s">
        <v>399</v>
      </c>
      <c r="BA95" s="107">
        <v>6308</v>
      </c>
      <c r="BB95" s="86" t="s">
        <v>472</v>
      </c>
      <c r="BC95" s="86" t="s">
        <v>487</v>
      </c>
    </row>
    <row r="96" spans="1:57" ht="18" x14ac:dyDescent="0.35">
      <c r="B96" s="73">
        <v>46041</v>
      </c>
      <c r="C96" s="74" t="s">
        <v>277</v>
      </c>
      <c r="D96" s="74" t="s">
        <v>88</v>
      </c>
      <c r="E96" s="74" t="s">
        <v>13</v>
      </c>
      <c r="F96" s="79">
        <v>-15.192</v>
      </c>
      <c r="G96" s="81"/>
      <c r="H96" s="75">
        <f t="shared" si="37"/>
        <v>15.524000000000001</v>
      </c>
      <c r="I96" s="75">
        <v>0.33200000000000002</v>
      </c>
      <c r="J96" s="75">
        <v>1007.468</v>
      </c>
      <c r="K96" s="77" t="s">
        <v>21</v>
      </c>
      <c r="L96" s="78" t="s">
        <v>235</v>
      </c>
      <c r="M96" s="77">
        <f t="shared" ca="1" si="38"/>
        <v>130</v>
      </c>
      <c r="N96" s="69"/>
      <c r="O96" s="69"/>
      <c r="AZ96" s="86" t="s">
        <v>435</v>
      </c>
      <c r="BA96" s="107">
        <v>319</v>
      </c>
      <c r="BB96" s="86" t="s">
        <v>472</v>
      </c>
      <c r="BC96" s="86" t="s">
        <v>484</v>
      </c>
    </row>
    <row r="97" spans="1:56" ht="18" x14ac:dyDescent="0.35">
      <c r="B97" s="73">
        <v>46078</v>
      </c>
      <c r="C97" s="74" t="s">
        <v>300</v>
      </c>
      <c r="D97" s="74" t="s">
        <v>88</v>
      </c>
      <c r="E97" s="74" t="s">
        <v>13</v>
      </c>
      <c r="F97" s="79">
        <v>0</v>
      </c>
      <c r="G97" s="81"/>
      <c r="H97" s="75">
        <f t="shared" si="37"/>
        <v>3.202</v>
      </c>
      <c r="I97" s="75">
        <v>3.202</v>
      </c>
      <c r="J97" s="75">
        <v>1992.1869999999999</v>
      </c>
      <c r="K97" s="77" t="s">
        <v>21</v>
      </c>
      <c r="L97" s="78" t="s">
        <v>235</v>
      </c>
      <c r="M97" s="77">
        <f t="shared" ca="1" si="38"/>
        <v>93</v>
      </c>
      <c r="N97" s="69"/>
      <c r="O97" s="69"/>
      <c r="AZ97" s="86" t="s">
        <v>435</v>
      </c>
      <c r="BA97" s="107" t="s">
        <v>488</v>
      </c>
      <c r="BB97" s="86" t="s">
        <v>489</v>
      </c>
      <c r="BC97" s="86" t="s">
        <v>490</v>
      </c>
    </row>
    <row r="98" spans="1:56" ht="18" hidden="1" x14ac:dyDescent="0.35">
      <c r="A98" s="86">
        <v>6273</v>
      </c>
      <c r="B98" s="10">
        <v>46060</v>
      </c>
      <c r="C98" s="11" t="s">
        <v>286</v>
      </c>
      <c r="D98" s="11" t="s">
        <v>88</v>
      </c>
      <c r="E98" s="11" t="s">
        <v>19</v>
      </c>
      <c r="F98" s="12">
        <v>0</v>
      </c>
      <c r="G98" s="13"/>
      <c r="H98" s="14">
        <f t="shared" si="37"/>
        <v>30.495999999999999</v>
      </c>
      <c r="I98" s="14">
        <v>30.495999999999999</v>
      </c>
      <c r="J98" s="14">
        <v>1911.7260000000001</v>
      </c>
      <c r="K98" s="15" t="s">
        <v>26</v>
      </c>
      <c r="L98" s="65" t="s">
        <v>396</v>
      </c>
      <c r="M98" s="15">
        <f t="shared" ca="1" si="38"/>
        <v>111</v>
      </c>
      <c r="N98" s="18">
        <v>72676.141649462676</v>
      </c>
      <c r="O98" s="18">
        <v>84.935416666666669</v>
      </c>
      <c r="AZ98" s="86" t="s">
        <v>399</v>
      </c>
      <c r="BA98" s="107">
        <v>6273</v>
      </c>
      <c r="BB98" s="86" t="s">
        <v>457</v>
      </c>
      <c r="BC98" s="86" t="s">
        <v>458</v>
      </c>
    </row>
    <row r="99" spans="1:56" ht="18" hidden="1" x14ac:dyDescent="0.35">
      <c r="A99" s="86">
        <v>6353</v>
      </c>
      <c r="B99" s="10">
        <v>46131</v>
      </c>
      <c r="C99" s="11" t="s">
        <v>353</v>
      </c>
      <c r="D99" s="11" t="s">
        <v>88</v>
      </c>
      <c r="E99" s="11" t="s">
        <v>19</v>
      </c>
      <c r="F99" s="12">
        <f>1048.539-178-216-510-50-73-16-250</f>
        <v>-244.46100000000001</v>
      </c>
      <c r="G99" s="13"/>
      <c r="H99" s="14">
        <f t="shared" si="37"/>
        <v>249.26600000000002</v>
      </c>
      <c r="I99" s="14">
        <v>4.8049999999999997</v>
      </c>
      <c r="J99" s="14">
        <v>1048.539</v>
      </c>
      <c r="K99" s="15" t="s">
        <v>26</v>
      </c>
      <c r="L99" s="65" t="s">
        <v>396</v>
      </c>
      <c r="M99" s="15">
        <f t="shared" ca="1" si="38"/>
        <v>40</v>
      </c>
      <c r="N99" s="18">
        <v>109058.93699709786</v>
      </c>
      <c r="O99" s="18">
        <v>98.195454545454552</v>
      </c>
      <c r="AZ99" s="86" t="s">
        <v>399</v>
      </c>
      <c r="BA99" s="107">
        <v>6353</v>
      </c>
      <c r="BB99" s="86" t="s">
        <v>491</v>
      </c>
      <c r="BC99" s="86" t="s">
        <v>492</v>
      </c>
    </row>
    <row r="100" spans="1:56" ht="18" hidden="1" x14ac:dyDescent="0.35">
      <c r="A100" s="86">
        <v>6297</v>
      </c>
      <c r="B100" s="10">
        <v>46086</v>
      </c>
      <c r="C100" s="11" t="s">
        <v>307</v>
      </c>
      <c r="D100" s="11" t="s">
        <v>88</v>
      </c>
      <c r="E100" s="11" t="s">
        <v>166</v>
      </c>
      <c r="F100" s="12">
        <f>93.713-120</f>
        <v>-26.287000000000006</v>
      </c>
      <c r="G100" s="13"/>
      <c r="H100" s="14">
        <f t="shared" si="37"/>
        <v>402.01</v>
      </c>
      <c r="I100" s="14">
        <v>375.72300000000001</v>
      </c>
      <c r="J100" s="14">
        <v>2100</v>
      </c>
      <c r="K100" s="15" t="s">
        <v>167</v>
      </c>
      <c r="L100" s="65" t="s">
        <v>396</v>
      </c>
      <c r="M100" s="15">
        <f t="shared" ca="1" si="38"/>
        <v>85</v>
      </c>
      <c r="N100" s="18">
        <v>76908.904399999999</v>
      </c>
      <c r="O100" s="18">
        <v>98.971739130434784</v>
      </c>
      <c r="AZ100" s="86" t="s">
        <v>399</v>
      </c>
      <c r="BA100" s="107">
        <v>6297</v>
      </c>
      <c r="BB100" s="86" t="s">
        <v>451</v>
      </c>
      <c r="BC100" s="86" t="s">
        <v>493</v>
      </c>
    </row>
    <row r="101" spans="1:56" ht="18" hidden="1" x14ac:dyDescent="0.35">
      <c r="B101" s="19"/>
      <c r="C101" s="26" t="s">
        <v>27</v>
      </c>
      <c r="D101" s="11"/>
      <c r="E101" s="11"/>
      <c r="F101" s="20">
        <f>SUBTOTAL(9,F86:F100)</f>
        <v>3316.0650000000001</v>
      </c>
      <c r="G101" s="21">
        <f>F101</f>
        <v>3316.0650000000001</v>
      </c>
      <c r="H101" s="20">
        <f>SUBTOTAL(9,H86:H100)</f>
        <v>1018.1620000000001</v>
      </c>
      <c r="I101" s="20">
        <f>SUBTOTAL(9,I86:I100)</f>
        <v>4334.2270000000008</v>
      </c>
      <c r="J101" s="20"/>
      <c r="K101" s="15"/>
      <c r="L101" s="65"/>
      <c r="M101" s="15"/>
      <c r="N101" s="69"/>
      <c r="O101" s="69"/>
      <c r="AZ101" s="86" t="s">
        <v>27</v>
      </c>
    </row>
    <row r="102" spans="1:56" ht="18" hidden="1" x14ac:dyDescent="0.35">
      <c r="B102" s="19"/>
      <c r="C102" s="11"/>
      <c r="D102" s="11"/>
      <c r="E102" s="11"/>
      <c r="F102" s="12"/>
      <c r="G102" s="13"/>
      <c r="H102" s="13"/>
      <c r="I102" s="20"/>
      <c r="J102" s="20"/>
      <c r="K102" s="15"/>
      <c r="L102" s="65"/>
      <c r="M102" s="15"/>
      <c r="N102" s="69"/>
      <c r="O102" s="69"/>
    </row>
    <row r="103" spans="1:56" ht="19.5" customHeight="1" x14ac:dyDescent="0.35">
      <c r="B103" s="10">
        <v>46107</v>
      </c>
      <c r="C103" s="26" t="s">
        <v>342</v>
      </c>
      <c r="D103" s="11" t="s">
        <v>99</v>
      </c>
      <c r="E103" s="11" t="s">
        <v>13</v>
      </c>
      <c r="F103" s="12">
        <v>3.53</v>
      </c>
      <c r="G103" s="21"/>
      <c r="H103" s="14">
        <f t="shared" ref="H103:H104" si="39">I103-F103</f>
        <v>76.438000000000002</v>
      </c>
      <c r="I103" s="14">
        <v>79.968000000000004</v>
      </c>
      <c r="J103" s="14">
        <v>500</v>
      </c>
      <c r="K103" s="15" t="s">
        <v>21</v>
      </c>
      <c r="L103" s="65" t="s">
        <v>396</v>
      </c>
      <c r="M103" s="15">
        <f t="shared" ref="M103:M104" ca="1" si="40">TODAY()-B103</f>
        <v>64</v>
      </c>
      <c r="N103" s="69"/>
      <c r="O103" s="69"/>
      <c r="AZ103" s="86" t="s">
        <v>425</v>
      </c>
      <c r="BA103" s="107">
        <v>237</v>
      </c>
      <c r="BB103" s="86" t="s">
        <v>400</v>
      </c>
      <c r="BC103" s="86" t="s">
        <v>445</v>
      </c>
    </row>
    <row r="104" spans="1:56" ht="19.5" customHeight="1" x14ac:dyDescent="0.35">
      <c r="B104" s="91">
        <v>46140</v>
      </c>
      <c r="C104" s="92" t="s">
        <v>367</v>
      </c>
      <c r="D104" s="92" t="s">
        <v>99</v>
      </c>
      <c r="E104" s="92" t="s">
        <v>13</v>
      </c>
      <c r="F104" s="93">
        <f>1494.536-60-175-30-23-200+32.4-20-152-50-50-121-85-430-55-30-35-25-30</f>
        <v>-44.063999999999851</v>
      </c>
      <c r="G104" s="100"/>
      <c r="H104" s="95">
        <f t="shared" si="39"/>
        <v>862.77999999999986</v>
      </c>
      <c r="I104" s="95">
        <v>818.71600000000001</v>
      </c>
      <c r="J104" s="95">
        <v>1494.5360000000001</v>
      </c>
      <c r="K104" s="96" t="s">
        <v>21</v>
      </c>
      <c r="L104" s="97" t="s">
        <v>310</v>
      </c>
      <c r="M104" s="96">
        <f t="shared" ca="1" si="40"/>
        <v>31</v>
      </c>
      <c r="N104" s="69"/>
      <c r="O104" s="69"/>
      <c r="AZ104" s="86" t="s">
        <v>420</v>
      </c>
      <c r="BA104" s="107">
        <v>13</v>
      </c>
      <c r="BB104" s="86" t="s">
        <v>400</v>
      </c>
      <c r="BC104" s="86" t="s">
        <v>494</v>
      </c>
    </row>
    <row r="105" spans="1:56" ht="19.5" hidden="1" customHeight="1" x14ac:dyDescent="0.35">
      <c r="B105" s="10"/>
      <c r="C105" s="26" t="s">
        <v>27</v>
      </c>
      <c r="D105" s="11"/>
      <c r="E105" s="11"/>
      <c r="F105" s="20">
        <f>SUBTOTAL(9,F103:F104)</f>
        <v>-40.53399999999985</v>
      </c>
      <c r="G105" s="21">
        <f>F105</f>
        <v>-40.53399999999985</v>
      </c>
      <c r="H105" s="20">
        <f>SUBTOTAL(9,H103:H104)</f>
        <v>939.21799999999985</v>
      </c>
      <c r="I105" s="20">
        <f>SUBTOTAL(9,I103:I104)</f>
        <v>898.68399999999997</v>
      </c>
      <c r="J105" s="20"/>
      <c r="K105" s="15"/>
      <c r="L105" s="65"/>
      <c r="M105" s="15"/>
      <c r="N105" s="69"/>
      <c r="O105" s="69"/>
      <c r="AZ105" s="86" t="s">
        <v>27</v>
      </c>
    </row>
    <row r="106" spans="1:56" ht="18" hidden="1" x14ac:dyDescent="0.35">
      <c r="B106" s="19"/>
      <c r="C106" s="26"/>
      <c r="D106" s="11"/>
      <c r="E106" s="11"/>
      <c r="F106" s="13"/>
      <c r="G106" s="13"/>
      <c r="H106" s="13"/>
      <c r="I106" s="20"/>
      <c r="J106" s="20"/>
      <c r="K106" s="15"/>
      <c r="L106" s="65"/>
      <c r="M106" s="15"/>
      <c r="N106" s="69"/>
      <c r="O106" s="69"/>
    </row>
    <row r="107" spans="1:56" ht="18" hidden="1" x14ac:dyDescent="0.35">
      <c r="A107" s="86">
        <v>6215</v>
      </c>
      <c r="B107" s="10">
        <v>45989</v>
      </c>
      <c r="C107" s="11" t="s">
        <v>263</v>
      </c>
      <c r="D107" s="11" t="s">
        <v>108</v>
      </c>
      <c r="E107" s="11" t="s">
        <v>9</v>
      </c>
      <c r="F107" s="12">
        <v>0</v>
      </c>
      <c r="G107" s="13"/>
      <c r="H107" s="14">
        <f t="shared" ref="H107" si="41">I107-F107</f>
        <v>0.49399999999999999</v>
      </c>
      <c r="I107" s="14">
        <v>0.49399999999999999</v>
      </c>
      <c r="J107" s="14">
        <v>487.03500000000003</v>
      </c>
      <c r="K107" s="15" t="s">
        <v>32</v>
      </c>
      <c r="L107" s="65" t="s">
        <v>396</v>
      </c>
      <c r="M107" s="15">
        <f t="shared" ref="M107" ca="1" si="42">TODAY()-B107</f>
        <v>182</v>
      </c>
      <c r="N107" s="18">
        <v>108126.4485086545</v>
      </c>
      <c r="O107" s="18">
        <v>119.71666666666665</v>
      </c>
      <c r="AZ107" s="86" t="s">
        <v>399</v>
      </c>
      <c r="BA107" s="107">
        <v>6215</v>
      </c>
      <c r="BB107" s="86" t="s">
        <v>495</v>
      </c>
      <c r="BC107" s="86" t="s">
        <v>496</v>
      </c>
      <c r="BD107" s="86" t="s">
        <v>416</v>
      </c>
    </row>
    <row r="108" spans="1:56" ht="18" hidden="1" x14ac:dyDescent="0.35">
      <c r="B108" s="19"/>
      <c r="C108" s="26" t="s">
        <v>27</v>
      </c>
      <c r="D108" s="11"/>
      <c r="E108" s="11"/>
      <c r="F108" s="20">
        <f>SUBTOTAL(9,F107:F107)</f>
        <v>0</v>
      </c>
      <c r="G108" s="21">
        <f>F108</f>
        <v>0</v>
      </c>
      <c r="H108" s="20">
        <f>SUBTOTAL(9,H107:H107)</f>
        <v>0</v>
      </c>
      <c r="I108" s="20">
        <f>SUBTOTAL(9,I107:I107)</f>
        <v>0</v>
      </c>
      <c r="J108" s="20"/>
      <c r="K108" s="15"/>
      <c r="L108" s="65"/>
      <c r="M108" s="15"/>
      <c r="N108" s="69"/>
      <c r="O108" s="69"/>
      <c r="AZ108" s="86" t="s">
        <v>27</v>
      </c>
    </row>
    <row r="109" spans="1:56" ht="18" hidden="1" x14ac:dyDescent="0.35">
      <c r="B109" s="19"/>
      <c r="C109" s="26"/>
      <c r="D109" s="11"/>
      <c r="E109" s="11"/>
      <c r="F109" s="13"/>
      <c r="G109" s="13"/>
      <c r="H109" s="13"/>
      <c r="I109" s="27"/>
      <c r="J109" s="27"/>
      <c r="K109" s="15"/>
      <c r="L109" s="65"/>
      <c r="M109" s="15"/>
      <c r="N109" s="69"/>
      <c r="O109" s="69"/>
    </row>
    <row r="110" spans="1:56" ht="18" hidden="1" x14ac:dyDescent="0.35">
      <c r="A110" s="86">
        <v>6303</v>
      </c>
      <c r="B110" s="10">
        <v>46075</v>
      </c>
      <c r="C110" s="11" t="s">
        <v>299</v>
      </c>
      <c r="D110" s="11" t="s">
        <v>228</v>
      </c>
      <c r="E110" s="11" t="s">
        <v>13</v>
      </c>
      <c r="F110" s="12">
        <v>0</v>
      </c>
      <c r="G110" s="13"/>
      <c r="H110" s="14">
        <f t="shared" ref="H110:H112" si="43">I110-F110</f>
        <v>8.0000000000000002E-3</v>
      </c>
      <c r="I110" s="14">
        <v>8.0000000000000002E-3</v>
      </c>
      <c r="J110" s="14">
        <v>1045.711</v>
      </c>
      <c r="K110" s="15" t="s">
        <v>21</v>
      </c>
      <c r="L110" s="65" t="s">
        <v>396</v>
      </c>
      <c r="M110" s="15">
        <f t="shared" ref="M110:M112" ca="1" si="44">TODAY()-B110</f>
        <v>96</v>
      </c>
      <c r="N110" s="18">
        <v>70590.595600793327</v>
      </c>
      <c r="O110" s="18">
        <v>101.71666666666665</v>
      </c>
      <c r="AZ110" s="86" t="s">
        <v>399</v>
      </c>
      <c r="BA110" s="107">
        <v>6303</v>
      </c>
      <c r="BB110" s="86" t="s">
        <v>441</v>
      </c>
      <c r="BC110" s="86" t="s">
        <v>477</v>
      </c>
    </row>
    <row r="111" spans="1:56" ht="18" hidden="1" x14ac:dyDescent="0.35">
      <c r="A111" s="86">
        <v>6338</v>
      </c>
      <c r="B111" s="10">
        <v>46131</v>
      </c>
      <c r="C111" s="11" t="s">
        <v>351</v>
      </c>
      <c r="D111" s="11" t="s">
        <v>228</v>
      </c>
      <c r="E111" s="11" t="s">
        <v>13</v>
      </c>
      <c r="F111" s="12">
        <f>472.89-100-22+22-25-45-20-128-20-16-100</f>
        <v>18.889999999999986</v>
      </c>
      <c r="G111" s="13"/>
      <c r="H111" s="14">
        <f t="shared" si="43"/>
        <v>290.52000000000004</v>
      </c>
      <c r="I111" s="14">
        <v>309.41000000000003</v>
      </c>
      <c r="J111" s="14">
        <v>472.89</v>
      </c>
      <c r="K111" s="15" t="s">
        <v>21</v>
      </c>
      <c r="L111" s="65" t="s">
        <v>396</v>
      </c>
      <c r="M111" s="15">
        <f t="shared" ca="1" si="44"/>
        <v>40</v>
      </c>
      <c r="N111" s="18">
        <v>102678</v>
      </c>
      <c r="O111" s="18">
        <v>124.4</v>
      </c>
      <c r="AZ111" s="86" t="s">
        <v>399</v>
      </c>
      <c r="BA111" s="107">
        <v>6338</v>
      </c>
      <c r="BB111" s="86" t="s">
        <v>441</v>
      </c>
      <c r="BC111" s="86" t="s">
        <v>497</v>
      </c>
    </row>
    <row r="112" spans="1:56" ht="18" hidden="1" x14ac:dyDescent="0.35">
      <c r="A112" s="86">
        <v>6374</v>
      </c>
      <c r="B112" s="10">
        <v>46128</v>
      </c>
      <c r="C112" s="11" t="s">
        <v>350</v>
      </c>
      <c r="D112" s="11" t="s">
        <v>228</v>
      </c>
      <c r="E112" s="11" t="s">
        <v>16</v>
      </c>
      <c r="F112" s="12">
        <f>948.442-200-27-21-14.5-46-25-35-12-10-46.6-12-85-26-7-26-80-26-20-100</f>
        <v>129.34199999999998</v>
      </c>
      <c r="G112" s="13"/>
      <c r="H112" s="14">
        <f t="shared" si="43"/>
        <v>357.84000000000003</v>
      </c>
      <c r="I112" s="14">
        <v>487.18200000000002</v>
      </c>
      <c r="J112" s="14">
        <v>948.44200000000001</v>
      </c>
      <c r="K112" s="15" t="s">
        <v>23</v>
      </c>
      <c r="L112" s="65" t="s">
        <v>396</v>
      </c>
      <c r="M112" s="15">
        <f t="shared" ca="1" si="44"/>
        <v>43</v>
      </c>
      <c r="N112" s="18">
        <v>104476.125</v>
      </c>
      <c r="O112" s="18">
        <v>126.54347826086956</v>
      </c>
      <c r="AZ112" s="86" t="s">
        <v>399</v>
      </c>
      <c r="BA112" s="107">
        <v>6374</v>
      </c>
      <c r="BB112" s="86" t="s">
        <v>431</v>
      </c>
      <c r="BC112" s="86" t="s">
        <v>432</v>
      </c>
    </row>
    <row r="113" spans="1:55" ht="18" hidden="1" x14ac:dyDescent="0.35">
      <c r="B113" s="19"/>
      <c r="C113" s="26" t="s">
        <v>27</v>
      </c>
      <c r="D113" s="11"/>
      <c r="E113" s="11"/>
      <c r="F113" s="20">
        <f>SUBTOTAL(9,F110:F112)</f>
        <v>0</v>
      </c>
      <c r="G113" s="21">
        <f>F113</f>
        <v>0</v>
      </c>
      <c r="H113" s="20">
        <f>SUBTOTAL(9,H110:H112)</f>
        <v>0</v>
      </c>
      <c r="I113" s="20">
        <f>SUBTOTAL(9,I110:I112)</f>
        <v>0</v>
      </c>
      <c r="J113" s="20"/>
      <c r="K113" s="15"/>
      <c r="L113" s="65"/>
      <c r="M113" s="15"/>
      <c r="N113" s="69"/>
      <c r="O113" s="69"/>
      <c r="AZ113" s="86" t="s">
        <v>27</v>
      </c>
    </row>
    <row r="114" spans="1:55" ht="18" hidden="1" x14ac:dyDescent="0.35">
      <c r="B114" s="19"/>
      <c r="C114" s="11"/>
      <c r="D114" s="11"/>
      <c r="E114" s="11"/>
      <c r="F114" s="13"/>
      <c r="G114" s="13"/>
      <c r="H114" s="13"/>
      <c r="I114" s="27"/>
      <c r="J114" s="27"/>
      <c r="K114" s="15"/>
      <c r="L114" s="65"/>
      <c r="M114" s="15"/>
      <c r="N114" s="69"/>
      <c r="O114" s="69"/>
    </row>
    <row r="115" spans="1:55" ht="18" hidden="1" x14ac:dyDescent="0.35">
      <c r="A115" s="86">
        <v>6161</v>
      </c>
      <c r="B115" s="10">
        <v>45937</v>
      </c>
      <c r="C115" s="11" t="s">
        <v>250</v>
      </c>
      <c r="D115" s="11" t="s">
        <v>122</v>
      </c>
      <c r="E115" s="11" t="s">
        <v>9</v>
      </c>
      <c r="F115" s="12">
        <v>19.943999999999999</v>
      </c>
      <c r="G115" s="13"/>
      <c r="H115" s="14">
        <f t="shared" ref="H115:H121" si="45">I115-F115</f>
        <v>0</v>
      </c>
      <c r="I115" s="14">
        <v>19.943999999999999</v>
      </c>
      <c r="J115" s="14">
        <v>3136.0839999999998</v>
      </c>
      <c r="K115" s="15" t="s">
        <v>32</v>
      </c>
      <c r="L115" s="65" t="s">
        <v>396</v>
      </c>
      <c r="M115" s="15">
        <f t="shared" ref="M115:M121" ca="1" si="46">TODAY()-B115</f>
        <v>234</v>
      </c>
      <c r="N115" s="18">
        <v>74098.748101587305</v>
      </c>
      <c r="O115" s="18">
        <v>71.075000000000003</v>
      </c>
      <c r="AZ115" s="86" t="s">
        <v>399</v>
      </c>
      <c r="BA115" s="107">
        <v>6161</v>
      </c>
      <c r="BB115" s="86" t="s">
        <v>498</v>
      </c>
      <c r="BC115" s="86">
        <v>28</v>
      </c>
    </row>
    <row r="116" spans="1:55" ht="18" hidden="1" x14ac:dyDescent="0.35">
      <c r="A116" s="86">
        <v>6301</v>
      </c>
      <c r="B116" s="10">
        <v>46054</v>
      </c>
      <c r="C116" s="11" t="s">
        <v>291</v>
      </c>
      <c r="D116" s="11" t="s">
        <v>122</v>
      </c>
      <c r="E116" s="11" t="s">
        <v>9</v>
      </c>
      <c r="F116" s="12">
        <v>0.3</v>
      </c>
      <c r="G116" s="13"/>
      <c r="H116" s="14">
        <f t="shared" si="45"/>
        <v>19.099999999999998</v>
      </c>
      <c r="I116" s="14">
        <v>19.399999999999999</v>
      </c>
      <c r="J116" s="14">
        <v>199.7</v>
      </c>
      <c r="K116" s="15" t="s">
        <v>29</v>
      </c>
      <c r="L116" s="65" t="s">
        <v>396</v>
      </c>
      <c r="M116" s="15">
        <f t="shared" ca="1" si="46"/>
        <v>117</v>
      </c>
      <c r="N116" s="18">
        <v>78753.000799999994</v>
      </c>
      <c r="O116" s="18">
        <v>106.25</v>
      </c>
      <c r="AZ116" s="86" t="s">
        <v>399</v>
      </c>
      <c r="BA116" s="107">
        <v>6301</v>
      </c>
      <c r="BB116" s="86" t="s">
        <v>499</v>
      </c>
    </row>
    <row r="117" spans="1:55" ht="18" hidden="1" x14ac:dyDescent="0.35">
      <c r="A117" s="86">
        <v>6350</v>
      </c>
      <c r="B117" s="10">
        <v>46131</v>
      </c>
      <c r="C117" s="11" t="s">
        <v>355</v>
      </c>
      <c r="D117" s="11" t="s">
        <v>122</v>
      </c>
      <c r="E117" s="11" t="s">
        <v>9</v>
      </c>
      <c r="F117" s="12">
        <f>1219.877-57-111-49-120-30-165-150</f>
        <v>537.87699999999995</v>
      </c>
      <c r="G117" s="13"/>
      <c r="H117" s="14">
        <f t="shared" si="45"/>
        <v>1173.942</v>
      </c>
      <c r="I117" s="14">
        <v>1711.819</v>
      </c>
      <c r="J117" s="14">
        <v>1725</v>
      </c>
      <c r="K117" s="15" t="s">
        <v>378</v>
      </c>
      <c r="L117" s="65" t="s">
        <v>396</v>
      </c>
      <c r="M117" s="15">
        <f t="shared" ca="1" si="46"/>
        <v>40</v>
      </c>
      <c r="N117" s="18">
        <v>121100.12849855072</v>
      </c>
      <c r="O117" s="18">
        <v>118</v>
      </c>
      <c r="AZ117" s="86" t="s">
        <v>399</v>
      </c>
      <c r="BA117" s="107">
        <v>6350</v>
      </c>
      <c r="BB117" s="86" t="s">
        <v>455</v>
      </c>
      <c r="BC117" s="86" t="s">
        <v>456</v>
      </c>
    </row>
    <row r="118" spans="1:55" ht="18" hidden="1" x14ac:dyDescent="0.35">
      <c r="A118" s="86">
        <v>6366</v>
      </c>
      <c r="B118" s="10">
        <v>46131</v>
      </c>
      <c r="C118" s="11" t="s">
        <v>356</v>
      </c>
      <c r="D118" s="11" t="s">
        <v>122</v>
      </c>
      <c r="E118" s="11" t="s">
        <v>9</v>
      </c>
      <c r="F118" s="12">
        <v>0</v>
      </c>
      <c r="G118" s="13"/>
      <c r="H118" s="14">
        <f t="shared" ref="H118:H119" si="47">I118-F118</f>
        <v>243.34800000000001</v>
      </c>
      <c r="I118" s="14">
        <v>243.34800000000001</v>
      </c>
      <c r="J118" s="14">
        <v>947.17899999999997</v>
      </c>
      <c r="K118" s="15" t="s">
        <v>29</v>
      </c>
      <c r="L118" s="65" t="s">
        <v>396</v>
      </c>
      <c r="M118" s="15">
        <f t="shared" ref="M118:M119" ca="1" si="48">TODAY()-B118</f>
        <v>40</v>
      </c>
      <c r="N118" s="18">
        <v>119403.44</v>
      </c>
      <c r="O118" s="18">
        <v>114.32142857142857</v>
      </c>
      <c r="AZ118" s="86" t="s">
        <v>399</v>
      </c>
      <c r="BA118" s="107">
        <v>6366</v>
      </c>
      <c r="BB118" s="86" t="s">
        <v>455</v>
      </c>
      <c r="BC118" s="86" t="s">
        <v>456</v>
      </c>
    </row>
    <row r="119" spans="1:55" ht="18" hidden="1" x14ac:dyDescent="0.35">
      <c r="A119" s="86">
        <v>6375</v>
      </c>
      <c r="B119" s="10">
        <v>46136</v>
      </c>
      <c r="C119" s="11" t="s">
        <v>363</v>
      </c>
      <c r="D119" s="11" t="s">
        <v>122</v>
      </c>
      <c r="E119" s="11" t="s">
        <v>9</v>
      </c>
      <c r="F119" s="12">
        <v>313.59300000000002</v>
      </c>
      <c r="G119" s="13"/>
      <c r="H119" s="14">
        <f t="shared" si="47"/>
        <v>0</v>
      </c>
      <c r="I119" s="14">
        <v>313.59300000000002</v>
      </c>
      <c r="J119" s="14">
        <v>313.59300000000002</v>
      </c>
      <c r="K119" s="15" t="s">
        <v>32</v>
      </c>
      <c r="L119" s="65" t="s">
        <v>396</v>
      </c>
      <c r="M119" s="65">
        <f t="shared" ca="1" si="48"/>
        <v>35</v>
      </c>
      <c r="N119" s="18">
        <v>122525</v>
      </c>
      <c r="O119" s="18"/>
      <c r="AZ119" s="86" t="s">
        <v>399</v>
      </c>
      <c r="BA119" s="107">
        <v>6375</v>
      </c>
      <c r="BB119" s="86" t="s">
        <v>500</v>
      </c>
      <c r="BC119" s="86" t="s">
        <v>501</v>
      </c>
    </row>
    <row r="120" spans="1:55" ht="18" hidden="1" x14ac:dyDescent="0.35">
      <c r="A120" s="86">
        <v>6351</v>
      </c>
      <c r="B120" s="10">
        <v>46144</v>
      </c>
      <c r="C120" s="11" t="s">
        <v>366</v>
      </c>
      <c r="D120" s="11" t="s">
        <v>122</v>
      </c>
      <c r="E120" s="11" t="s">
        <v>9</v>
      </c>
      <c r="F120" s="12">
        <v>969.38099999999997</v>
      </c>
      <c r="G120" s="13"/>
      <c r="H120" s="14">
        <f t="shared" ref="H120" si="49">I120-F120</f>
        <v>0</v>
      </c>
      <c r="I120" s="14">
        <v>969.38099999999997</v>
      </c>
      <c r="J120" s="14">
        <v>969.38099999999997</v>
      </c>
      <c r="K120" s="15" t="s">
        <v>276</v>
      </c>
      <c r="L120" s="65" t="s">
        <v>396</v>
      </c>
      <c r="M120" s="65">
        <f t="shared" ref="M120" ca="1" si="50">TODAY()-B120</f>
        <v>27</v>
      </c>
      <c r="N120" s="18">
        <v>121035.884399039</v>
      </c>
      <c r="O120" s="18"/>
      <c r="AZ120" s="86" t="s">
        <v>399</v>
      </c>
      <c r="BA120" s="107">
        <v>6351</v>
      </c>
      <c r="BB120" s="86" t="s">
        <v>485</v>
      </c>
      <c r="BC120" s="86" t="s">
        <v>502</v>
      </c>
    </row>
    <row r="121" spans="1:55" ht="18" x14ac:dyDescent="0.35">
      <c r="B121" s="73">
        <v>45980</v>
      </c>
      <c r="C121" s="74" t="s">
        <v>260</v>
      </c>
      <c r="D121" s="74" t="s">
        <v>122</v>
      </c>
      <c r="E121" s="74" t="s">
        <v>9</v>
      </c>
      <c r="F121" s="79">
        <v>0</v>
      </c>
      <c r="G121" s="81"/>
      <c r="H121" s="75">
        <f t="shared" si="45"/>
        <v>1.885</v>
      </c>
      <c r="I121" s="75">
        <v>1.885</v>
      </c>
      <c r="J121" s="75"/>
      <c r="K121" s="77" t="s">
        <v>47</v>
      </c>
      <c r="L121" s="78" t="s">
        <v>235</v>
      </c>
      <c r="M121" s="65">
        <f t="shared" ca="1" si="46"/>
        <v>191</v>
      </c>
      <c r="N121" s="69"/>
      <c r="O121" s="69"/>
      <c r="AZ121" s="86" t="s">
        <v>235</v>
      </c>
      <c r="BA121" s="107" t="s">
        <v>485</v>
      </c>
      <c r="BB121" s="86" t="s">
        <v>503</v>
      </c>
    </row>
    <row r="122" spans="1:55" ht="18" x14ac:dyDescent="0.35">
      <c r="B122" s="73">
        <v>46037</v>
      </c>
      <c r="C122" s="74" t="s">
        <v>304</v>
      </c>
      <c r="D122" s="74" t="s">
        <v>122</v>
      </c>
      <c r="E122" s="74" t="s">
        <v>9</v>
      </c>
      <c r="F122" s="79">
        <v>0</v>
      </c>
      <c r="G122" s="81"/>
      <c r="H122" s="75">
        <f t="shared" ref="H122:H123" si="51">I122-F122</f>
        <v>0.216</v>
      </c>
      <c r="I122" s="75">
        <v>0.216</v>
      </c>
      <c r="J122" s="75">
        <v>2002.7950000000001</v>
      </c>
      <c r="K122" s="77" t="s">
        <v>32</v>
      </c>
      <c r="L122" s="78" t="s">
        <v>235</v>
      </c>
      <c r="M122" s="65">
        <f t="shared" ref="M122:M124" ca="1" si="52">TODAY()-B122</f>
        <v>134</v>
      </c>
      <c r="N122" s="69"/>
      <c r="O122" s="69"/>
      <c r="AZ122" s="86" t="s">
        <v>435</v>
      </c>
      <c r="BA122" s="107">
        <v>313</v>
      </c>
      <c r="BB122" s="86" t="s">
        <v>400</v>
      </c>
      <c r="BC122" s="86" t="s">
        <v>504</v>
      </c>
    </row>
    <row r="123" spans="1:55" ht="18" x14ac:dyDescent="0.35">
      <c r="B123" s="73">
        <v>46084</v>
      </c>
      <c r="C123" s="74" t="s">
        <v>305</v>
      </c>
      <c r="D123" s="74" t="s">
        <v>122</v>
      </c>
      <c r="E123" s="74" t="s">
        <v>9</v>
      </c>
      <c r="F123" s="79">
        <v>0</v>
      </c>
      <c r="G123" s="81"/>
      <c r="H123" s="75">
        <f t="shared" si="51"/>
        <v>2.2759999999999998</v>
      </c>
      <c r="I123" s="75">
        <v>2.2759999999999998</v>
      </c>
      <c r="J123" s="75">
        <v>2850</v>
      </c>
      <c r="K123" s="77" t="s">
        <v>276</v>
      </c>
      <c r="L123" s="78" t="s">
        <v>235</v>
      </c>
      <c r="M123" s="65">
        <f t="shared" ca="1" si="52"/>
        <v>87</v>
      </c>
      <c r="N123" s="69"/>
      <c r="O123" s="69"/>
      <c r="AZ123" s="86" t="s">
        <v>435</v>
      </c>
      <c r="BA123" s="107">
        <v>316</v>
      </c>
      <c r="BB123" s="86" t="s">
        <v>489</v>
      </c>
      <c r="BC123" s="86" t="s">
        <v>490</v>
      </c>
    </row>
    <row r="124" spans="1:55" ht="18" x14ac:dyDescent="0.35">
      <c r="B124" s="73">
        <v>46106</v>
      </c>
      <c r="C124" s="74" t="s">
        <v>337</v>
      </c>
      <c r="D124" s="74" t="s">
        <v>122</v>
      </c>
      <c r="E124" s="74" t="s">
        <v>9</v>
      </c>
      <c r="F124" s="79">
        <v>0</v>
      </c>
      <c r="G124" s="81"/>
      <c r="H124" s="75">
        <f>I124-F124</f>
        <v>567.90099999999995</v>
      </c>
      <c r="I124" s="75">
        <v>567.90099999999995</v>
      </c>
      <c r="J124" s="75">
        <v>2850</v>
      </c>
      <c r="K124" s="77" t="s">
        <v>32</v>
      </c>
      <c r="L124" s="78" t="s">
        <v>235</v>
      </c>
      <c r="M124" s="65">
        <f t="shared" ca="1" si="52"/>
        <v>65</v>
      </c>
      <c r="N124" s="69"/>
      <c r="O124" s="69"/>
      <c r="AZ124" s="86" t="s">
        <v>435</v>
      </c>
      <c r="BA124" s="107">
        <v>388</v>
      </c>
      <c r="BB124" s="86" t="s">
        <v>505</v>
      </c>
      <c r="BC124" s="86" t="s">
        <v>506</v>
      </c>
    </row>
    <row r="125" spans="1:55" ht="18" hidden="1" x14ac:dyDescent="0.35">
      <c r="B125" s="19"/>
      <c r="C125" s="26" t="s">
        <v>27</v>
      </c>
      <c r="D125" s="11"/>
      <c r="E125" s="11"/>
      <c r="F125" s="20">
        <f>SUBTOTAL(9,F115:F124)</f>
        <v>0</v>
      </c>
      <c r="G125" s="21">
        <f>F125</f>
        <v>0</v>
      </c>
      <c r="H125" s="20">
        <f>SUBTOTAL(9,H115:H124)</f>
        <v>572.27799999999991</v>
      </c>
      <c r="I125" s="20">
        <f>SUBTOTAL(9,I115:I124)</f>
        <v>572.27799999999991</v>
      </c>
      <c r="J125" s="20"/>
      <c r="K125" s="15"/>
      <c r="L125" s="65"/>
      <c r="M125" s="65"/>
      <c r="N125" s="69"/>
      <c r="O125" s="69"/>
      <c r="AZ125" s="86" t="s">
        <v>27</v>
      </c>
    </row>
    <row r="126" spans="1:55" ht="18" hidden="1" x14ac:dyDescent="0.35">
      <c r="B126" s="19"/>
      <c r="C126" s="26"/>
      <c r="D126" s="11"/>
      <c r="E126" s="11"/>
      <c r="F126" s="13"/>
      <c r="G126" s="13"/>
      <c r="H126" s="13"/>
      <c r="I126" s="27"/>
      <c r="J126" s="27"/>
      <c r="K126" s="15"/>
      <c r="L126" s="65"/>
      <c r="M126" s="65"/>
      <c r="N126" s="69"/>
      <c r="O126" s="69"/>
    </row>
    <row r="127" spans="1:55" ht="18" hidden="1" x14ac:dyDescent="0.35">
      <c r="A127" s="86">
        <v>6225</v>
      </c>
      <c r="B127" s="10">
        <v>46005</v>
      </c>
      <c r="C127" s="11" t="s">
        <v>266</v>
      </c>
      <c r="D127" s="11" t="s">
        <v>248</v>
      </c>
      <c r="E127" s="11" t="s">
        <v>19</v>
      </c>
      <c r="F127" s="12">
        <v>0</v>
      </c>
      <c r="G127" s="13"/>
      <c r="H127" s="14">
        <f t="shared" ref="H127:H153" si="53">I127-F127</f>
        <v>111.845</v>
      </c>
      <c r="I127" s="14">
        <v>111.845</v>
      </c>
      <c r="J127" s="14">
        <v>2859.0250000000001</v>
      </c>
      <c r="K127" s="15" t="s">
        <v>26</v>
      </c>
      <c r="L127" s="65" t="s">
        <v>396</v>
      </c>
      <c r="M127" s="65">
        <f t="shared" ref="M127:M153" ca="1" si="54">TODAY()-B127</f>
        <v>166</v>
      </c>
      <c r="N127" s="18">
        <v>72621.029899949528</v>
      </c>
      <c r="O127" s="18">
        <v>78.759302325581402</v>
      </c>
      <c r="AZ127" s="86" t="s">
        <v>399</v>
      </c>
      <c r="BA127" s="107">
        <v>6225</v>
      </c>
      <c r="BB127" s="86" t="s">
        <v>439</v>
      </c>
      <c r="BC127" s="86" t="s">
        <v>451</v>
      </c>
    </row>
    <row r="128" spans="1:55" ht="18" hidden="1" x14ac:dyDescent="0.35">
      <c r="A128" s="86">
        <v>6333</v>
      </c>
      <c r="B128" s="10">
        <v>46111</v>
      </c>
      <c r="C128" s="11" t="s">
        <v>333</v>
      </c>
      <c r="D128" s="11" t="s">
        <v>248</v>
      </c>
      <c r="E128" s="11" t="s">
        <v>19</v>
      </c>
      <c r="F128" s="12">
        <v>0</v>
      </c>
      <c r="G128" s="13"/>
      <c r="H128" s="14">
        <f t="shared" si="53"/>
        <v>28.681000000000001</v>
      </c>
      <c r="I128" s="14">
        <f>51.371-22.69</f>
        <v>28.681000000000001</v>
      </c>
      <c r="J128" s="14">
        <v>997.822</v>
      </c>
      <c r="K128" s="15" t="s">
        <v>26</v>
      </c>
      <c r="L128" s="65" t="s">
        <v>396</v>
      </c>
      <c r="M128" s="65">
        <f t="shared" ca="1" si="54"/>
        <v>60</v>
      </c>
      <c r="N128" s="18">
        <v>75719.574999999997</v>
      </c>
      <c r="O128" s="18">
        <v>100.07142857142857</v>
      </c>
      <c r="AZ128" s="86" t="s">
        <v>399</v>
      </c>
      <c r="BA128" s="107">
        <v>6333</v>
      </c>
      <c r="BB128" s="86" t="s">
        <v>507</v>
      </c>
      <c r="BC128" s="86" t="s">
        <v>508</v>
      </c>
    </row>
    <row r="129" spans="1:61" ht="18" hidden="1" x14ac:dyDescent="0.35">
      <c r="A129" s="86">
        <v>6317</v>
      </c>
      <c r="B129" s="10">
        <v>46111</v>
      </c>
      <c r="C129" s="11" t="s">
        <v>332</v>
      </c>
      <c r="D129" s="11" t="s">
        <v>248</v>
      </c>
      <c r="E129" s="11" t="s">
        <v>19</v>
      </c>
      <c r="F129" s="12">
        <f>997.822-258.413-10+21-75-21-18-31-72-10-40+85</f>
        <v>568.40899999999999</v>
      </c>
      <c r="G129" s="13"/>
      <c r="H129" s="14">
        <f t="shared" ref="H129:H133" si="55">I129-F129</f>
        <v>429.41300000000001</v>
      </c>
      <c r="I129" s="14">
        <v>997.822</v>
      </c>
      <c r="J129" s="14">
        <v>997.822</v>
      </c>
      <c r="K129" s="15" t="s">
        <v>26</v>
      </c>
      <c r="L129" s="65" t="s">
        <v>396</v>
      </c>
      <c r="M129" s="65">
        <f t="shared" ref="M129:M133" ca="1" si="56">TODAY()-B129</f>
        <v>60</v>
      </c>
      <c r="N129" s="18">
        <v>76552.167499999996</v>
      </c>
      <c r="O129" s="18">
        <v>109</v>
      </c>
      <c r="AZ129" s="86" t="s">
        <v>399</v>
      </c>
      <c r="BA129" s="107">
        <v>6317</v>
      </c>
      <c r="BB129" s="86" t="s">
        <v>507</v>
      </c>
      <c r="BC129" s="86" t="s">
        <v>508</v>
      </c>
    </row>
    <row r="130" spans="1:61" ht="18" x14ac:dyDescent="0.35">
      <c r="B130" s="10">
        <v>46131</v>
      </c>
      <c r="C130" s="11" t="s">
        <v>352</v>
      </c>
      <c r="D130" s="11" t="s">
        <v>248</v>
      </c>
      <c r="E130" s="11" t="s">
        <v>19</v>
      </c>
      <c r="F130" s="12">
        <v>953.67100000000005</v>
      </c>
      <c r="G130" s="13"/>
      <c r="H130" s="14">
        <f t="shared" si="55"/>
        <v>0</v>
      </c>
      <c r="I130" s="14">
        <v>953.67100000000005</v>
      </c>
      <c r="J130" s="14">
        <v>953.67100000000005</v>
      </c>
      <c r="K130" s="15" t="s">
        <v>26</v>
      </c>
      <c r="L130" s="65" t="s">
        <v>396</v>
      </c>
      <c r="M130" s="65">
        <f t="shared" ca="1" si="56"/>
        <v>40</v>
      </c>
      <c r="N130" s="69"/>
      <c r="O130" s="69"/>
      <c r="AZ130" s="86" t="s">
        <v>399</v>
      </c>
      <c r="BA130" s="107">
        <v>6352</v>
      </c>
      <c r="BB130" s="86" t="s">
        <v>491</v>
      </c>
      <c r="BC130" s="86" t="s">
        <v>492</v>
      </c>
    </row>
    <row r="131" spans="1:61" ht="18" x14ac:dyDescent="0.35">
      <c r="B131" s="10">
        <v>46165</v>
      </c>
      <c r="C131" s="102" t="s">
        <v>389</v>
      </c>
      <c r="D131" s="11" t="s">
        <v>248</v>
      </c>
      <c r="E131" s="11" t="s">
        <v>19</v>
      </c>
      <c r="F131" s="12">
        <v>100</v>
      </c>
      <c r="G131" s="13"/>
      <c r="H131" s="14">
        <f t="shared" si="55"/>
        <v>0</v>
      </c>
      <c r="I131" s="14">
        <v>100</v>
      </c>
      <c r="J131" s="14">
        <v>100</v>
      </c>
      <c r="K131" s="15" t="s">
        <v>26</v>
      </c>
      <c r="L131" s="65" t="s">
        <v>396</v>
      </c>
      <c r="M131" s="65">
        <f t="shared" ca="1" si="56"/>
        <v>6</v>
      </c>
      <c r="N131" s="69"/>
      <c r="O131" s="69"/>
      <c r="AZ131" s="86" t="s">
        <v>425</v>
      </c>
      <c r="BA131" s="107">
        <v>242</v>
      </c>
      <c r="BB131" s="86" t="s">
        <v>460</v>
      </c>
      <c r="BC131" s="86" t="s">
        <v>509</v>
      </c>
      <c r="BD131" s="86" t="s">
        <v>510</v>
      </c>
      <c r="BE131" s="86" t="s">
        <v>507</v>
      </c>
      <c r="BF131" s="86" t="s">
        <v>508</v>
      </c>
      <c r="BG131" s="86" t="s">
        <v>464</v>
      </c>
      <c r="BH131" s="86">
        <v>27</v>
      </c>
      <c r="BI131" s="86">
        <v>100000106</v>
      </c>
    </row>
    <row r="132" spans="1:61" ht="18" x14ac:dyDescent="0.35">
      <c r="B132" s="10">
        <v>46165</v>
      </c>
      <c r="C132" s="102" t="s">
        <v>390</v>
      </c>
      <c r="D132" s="11" t="s">
        <v>248</v>
      </c>
      <c r="E132" s="11" t="s">
        <v>19</v>
      </c>
      <c r="F132" s="12">
        <v>50</v>
      </c>
      <c r="G132" s="13"/>
      <c r="H132" s="14">
        <f t="shared" si="55"/>
        <v>0</v>
      </c>
      <c r="I132" s="14">
        <v>50</v>
      </c>
      <c r="J132" s="14">
        <v>50</v>
      </c>
      <c r="K132" s="15" t="s">
        <v>26</v>
      </c>
      <c r="L132" s="65" t="s">
        <v>396</v>
      </c>
      <c r="M132" s="65">
        <f t="shared" ca="1" si="56"/>
        <v>6</v>
      </c>
      <c r="N132" s="69"/>
      <c r="O132" s="69"/>
      <c r="AZ132" s="86" t="s">
        <v>425</v>
      </c>
      <c r="BA132" s="107">
        <v>243</v>
      </c>
      <c r="BB132" s="86" t="s">
        <v>460</v>
      </c>
      <c r="BC132" s="86" t="s">
        <v>511</v>
      </c>
      <c r="BD132" s="86" t="s">
        <v>510</v>
      </c>
      <c r="BE132" s="86" t="s">
        <v>491</v>
      </c>
      <c r="BF132" s="86" t="s">
        <v>492</v>
      </c>
      <c r="BG132" s="86" t="s">
        <v>464</v>
      </c>
      <c r="BH132" s="86">
        <v>27</v>
      </c>
      <c r="BI132" s="86">
        <v>100000112</v>
      </c>
    </row>
    <row r="133" spans="1:61" ht="18" x14ac:dyDescent="0.35">
      <c r="B133" s="10">
        <v>46165</v>
      </c>
      <c r="C133" s="102" t="s">
        <v>393</v>
      </c>
      <c r="D133" s="11" t="s">
        <v>248</v>
      </c>
      <c r="E133" s="11" t="s">
        <v>19</v>
      </c>
      <c r="F133" s="12">
        <v>0</v>
      </c>
      <c r="G133" s="13"/>
      <c r="H133" s="14">
        <f t="shared" si="55"/>
        <v>85</v>
      </c>
      <c r="I133" s="14">
        <v>85</v>
      </c>
      <c r="J133" s="14">
        <v>85</v>
      </c>
      <c r="K133" s="15" t="s">
        <v>26</v>
      </c>
      <c r="L133" s="65" t="s">
        <v>396</v>
      </c>
      <c r="M133" s="65">
        <f t="shared" ca="1" si="56"/>
        <v>6</v>
      </c>
      <c r="N133" s="69"/>
      <c r="O133" s="69"/>
      <c r="AZ133" s="86" t="s">
        <v>512</v>
      </c>
      <c r="BA133" s="107">
        <v>0</v>
      </c>
      <c r="BB133" s="86" t="s">
        <v>513</v>
      </c>
      <c r="BC133" s="86">
        <v>9</v>
      </c>
      <c r="BD133" s="86" t="s">
        <v>514</v>
      </c>
      <c r="BE133" s="86" t="s">
        <v>464</v>
      </c>
      <c r="BF133" s="86">
        <v>27</v>
      </c>
      <c r="BG133" s="86">
        <v>100000104</v>
      </c>
    </row>
    <row r="134" spans="1:61" ht="18" hidden="1" x14ac:dyDescent="0.35">
      <c r="A134" s="86">
        <v>6346</v>
      </c>
      <c r="B134" s="10">
        <v>46093</v>
      </c>
      <c r="C134" s="11" t="s">
        <v>320</v>
      </c>
      <c r="D134" s="11" t="s">
        <v>261</v>
      </c>
      <c r="E134" s="11" t="s">
        <v>321</v>
      </c>
      <c r="F134" s="12">
        <f>1553.833-150</f>
        <v>1403.8330000000001</v>
      </c>
      <c r="G134" s="13"/>
      <c r="H134" s="14">
        <f t="shared" si="53"/>
        <v>150</v>
      </c>
      <c r="I134" s="14">
        <v>1553.8330000000001</v>
      </c>
      <c r="J134" s="14">
        <v>1553.837</v>
      </c>
      <c r="K134" s="15" t="s">
        <v>23</v>
      </c>
      <c r="L134" s="65" t="s">
        <v>396</v>
      </c>
      <c r="M134" s="65">
        <f t="shared" ca="1" si="54"/>
        <v>78</v>
      </c>
      <c r="N134" s="18">
        <v>81737.600000000006</v>
      </c>
      <c r="O134" s="18">
        <v>108</v>
      </c>
      <c r="AZ134" s="86" t="s">
        <v>399</v>
      </c>
      <c r="BA134" s="107">
        <v>6346</v>
      </c>
      <c r="BB134" s="86" t="s">
        <v>472</v>
      </c>
      <c r="BC134" s="86" t="s">
        <v>487</v>
      </c>
    </row>
    <row r="135" spans="1:61" ht="18" hidden="1" x14ac:dyDescent="0.35">
      <c r="A135" s="86">
        <v>6309</v>
      </c>
      <c r="B135" s="10">
        <v>46085</v>
      </c>
      <c r="C135" s="11" t="s">
        <v>303</v>
      </c>
      <c r="D135" s="11" t="s">
        <v>248</v>
      </c>
      <c r="E135" s="11" t="s">
        <v>13</v>
      </c>
      <c r="F135" s="12">
        <f>616.995-50-134-25-25+50</f>
        <v>432.995</v>
      </c>
      <c r="G135" s="13"/>
      <c r="H135" s="14">
        <f t="shared" si="53"/>
        <v>33.860000000000014</v>
      </c>
      <c r="I135" s="14">
        <v>466.85500000000002</v>
      </c>
      <c r="J135" s="14">
        <v>947.53499999999997</v>
      </c>
      <c r="K135" s="15" t="s">
        <v>21</v>
      </c>
      <c r="L135" s="65" t="s">
        <v>396</v>
      </c>
      <c r="M135" s="65">
        <f t="shared" ca="1" si="54"/>
        <v>86</v>
      </c>
      <c r="N135" s="18">
        <v>76414.850002523614</v>
      </c>
      <c r="O135" s="18">
        <v>100.46875</v>
      </c>
      <c r="AZ135" s="86" t="s">
        <v>399</v>
      </c>
      <c r="BA135" s="107">
        <v>6309</v>
      </c>
      <c r="BB135" s="86" t="s">
        <v>400</v>
      </c>
      <c r="BC135" s="86" t="s">
        <v>440</v>
      </c>
    </row>
    <row r="136" spans="1:61" ht="18" x14ac:dyDescent="0.35">
      <c r="B136" s="10">
        <v>46165</v>
      </c>
      <c r="C136" s="102" t="s">
        <v>387</v>
      </c>
      <c r="D136" s="11" t="s">
        <v>248</v>
      </c>
      <c r="E136" s="11" t="s">
        <v>13</v>
      </c>
      <c r="F136" s="12">
        <v>0</v>
      </c>
      <c r="G136" s="13"/>
      <c r="H136" s="14">
        <f t="shared" si="53"/>
        <v>50</v>
      </c>
      <c r="I136" s="14">
        <v>50</v>
      </c>
      <c r="J136" s="14">
        <v>50</v>
      </c>
      <c r="K136" s="15" t="s">
        <v>21</v>
      </c>
      <c r="L136" s="65" t="s">
        <v>396</v>
      </c>
      <c r="M136" s="65">
        <f t="shared" ca="1" si="54"/>
        <v>6</v>
      </c>
      <c r="N136" s="69"/>
      <c r="O136" s="69"/>
      <c r="AZ136" s="86" t="s">
        <v>512</v>
      </c>
      <c r="BA136" s="107" t="s">
        <v>515</v>
      </c>
      <c r="BB136" s="86" t="s">
        <v>516</v>
      </c>
      <c r="BC136" s="86" t="s">
        <v>517</v>
      </c>
      <c r="BD136" s="86" t="s">
        <v>518</v>
      </c>
      <c r="BE136" s="86" t="s">
        <v>519</v>
      </c>
      <c r="BF136" s="86" t="s">
        <v>464</v>
      </c>
      <c r="BG136" s="86">
        <v>27</v>
      </c>
      <c r="BH136" s="86">
        <v>100000100</v>
      </c>
    </row>
    <row r="137" spans="1:61" ht="18" x14ac:dyDescent="0.35">
      <c r="B137" s="10">
        <v>46165</v>
      </c>
      <c r="C137" s="102" t="s">
        <v>388</v>
      </c>
      <c r="D137" s="11" t="s">
        <v>248</v>
      </c>
      <c r="E137" s="11" t="s">
        <v>13</v>
      </c>
      <c r="F137" s="12">
        <v>150</v>
      </c>
      <c r="G137" s="13"/>
      <c r="H137" s="14">
        <f t="shared" si="53"/>
        <v>0</v>
      </c>
      <c r="I137" s="14">
        <v>150</v>
      </c>
      <c r="J137" s="14">
        <v>150</v>
      </c>
      <c r="K137" s="15" t="s">
        <v>21</v>
      </c>
      <c r="L137" s="65" t="s">
        <v>396</v>
      </c>
      <c r="M137" s="65">
        <f t="shared" ca="1" si="54"/>
        <v>6</v>
      </c>
      <c r="N137" s="69"/>
      <c r="O137" s="69"/>
      <c r="AZ137" s="86" t="s">
        <v>512</v>
      </c>
      <c r="BA137" s="107" t="s">
        <v>515</v>
      </c>
      <c r="BB137" s="86" t="s">
        <v>516</v>
      </c>
      <c r="BC137" s="86" t="s">
        <v>520</v>
      </c>
      <c r="BD137" s="86" t="s">
        <v>518</v>
      </c>
      <c r="BE137" s="86" t="s">
        <v>519</v>
      </c>
      <c r="BF137" s="86" t="s">
        <v>464</v>
      </c>
      <c r="BG137" s="86">
        <v>27</v>
      </c>
      <c r="BH137" s="86">
        <v>100000107</v>
      </c>
    </row>
    <row r="138" spans="1:61" ht="18" hidden="1" x14ac:dyDescent="0.35">
      <c r="A138" s="86">
        <v>6094</v>
      </c>
      <c r="B138" s="10">
        <v>45927</v>
      </c>
      <c r="C138" s="11" t="s">
        <v>247</v>
      </c>
      <c r="D138" s="11" t="s">
        <v>248</v>
      </c>
      <c r="E138" s="11" t="s">
        <v>9</v>
      </c>
      <c r="F138" s="12">
        <v>0</v>
      </c>
      <c r="G138" s="13"/>
      <c r="H138" s="14">
        <f t="shared" ref="H138" si="57">I138-F138</f>
        <v>2.5</v>
      </c>
      <c r="I138" s="14">
        <v>2.5</v>
      </c>
      <c r="J138" s="14">
        <v>2836.84</v>
      </c>
      <c r="K138" s="15" t="s">
        <v>249</v>
      </c>
      <c r="L138" s="65" t="s">
        <v>396</v>
      </c>
      <c r="M138" s="65">
        <f t="shared" ref="M138" ca="1" si="58">TODAY()-B138</f>
        <v>244</v>
      </c>
      <c r="N138" s="18">
        <v>66630.392000917753</v>
      </c>
      <c r="O138" s="18">
        <v>71.112499999999997</v>
      </c>
      <c r="AZ138" s="86" t="s">
        <v>399</v>
      </c>
      <c r="BA138" s="107">
        <v>6094</v>
      </c>
      <c r="BB138" s="86" t="s">
        <v>521</v>
      </c>
    </row>
    <row r="139" spans="1:61" ht="18" hidden="1" x14ac:dyDescent="0.35">
      <c r="A139" s="86">
        <v>6145</v>
      </c>
      <c r="B139" s="10">
        <v>45965</v>
      </c>
      <c r="C139" s="11" t="s">
        <v>256</v>
      </c>
      <c r="D139" s="11" t="s">
        <v>248</v>
      </c>
      <c r="E139" s="11" t="s">
        <v>9</v>
      </c>
      <c r="F139" s="12">
        <v>0</v>
      </c>
      <c r="G139" s="13"/>
      <c r="H139" s="14">
        <f t="shared" si="53"/>
        <v>7.7329999999999997</v>
      </c>
      <c r="I139" s="14">
        <v>7.7329999999999997</v>
      </c>
      <c r="J139" s="14">
        <v>2995.4349999999999</v>
      </c>
      <c r="K139" s="15" t="s">
        <v>249</v>
      </c>
      <c r="L139" s="65" t="s">
        <v>396</v>
      </c>
      <c r="M139" s="65">
        <f t="shared" ca="1" si="54"/>
        <v>206</v>
      </c>
      <c r="N139" s="18">
        <v>65781.782701267017</v>
      </c>
      <c r="O139" s="18">
        <v>76.675238095238086</v>
      </c>
      <c r="AZ139" s="86" t="s">
        <v>399</v>
      </c>
      <c r="BA139" s="107">
        <v>6145</v>
      </c>
      <c r="BB139" s="86" t="s">
        <v>485</v>
      </c>
      <c r="BC139" s="86" t="s">
        <v>522</v>
      </c>
    </row>
    <row r="140" spans="1:61" ht="18" hidden="1" x14ac:dyDescent="0.35">
      <c r="A140" s="86">
        <v>6188</v>
      </c>
      <c r="B140" s="10">
        <v>45980</v>
      </c>
      <c r="C140" s="11" t="s">
        <v>259</v>
      </c>
      <c r="D140" s="11" t="s">
        <v>248</v>
      </c>
      <c r="E140" s="11" t="s">
        <v>9</v>
      </c>
      <c r="F140" s="12">
        <v>0</v>
      </c>
      <c r="G140" s="13"/>
      <c r="H140" s="14">
        <f t="shared" si="53"/>
        <v>1.173</v>
      </c>
      <c r="I140" s="14">
        <v>1.173</v>
      </c>
      <c r="J140" s="14">
        <v>474.95299999999997</v>
      </c>
      <c r="K140" s="15" t="s">
        <v>32</v>
      </c>
      <c r="L140" s="65" t="s">
        <v>396</v>
      </c>
      <c r="M140" s="65">
        <f t="shared" ca="1" si="54"/>
        <v>191</v>
      </c>
      <c r="N140" s="18">
        <v>65478.2</v>
      </c>
      <c r="O140" s="18">
        <v>78.099999999999994</v>
      </c>
      <c r="AZ140" s="86" t="s">
        <v>399</v>
      </c>
      <c r="BA140" s="107">
        <v>6188</v>
      </c>
      <c r="BB140" s="86" t="s">
        <v>417</v>
      </c>
      <c r="BC140" s="86" t="s">
        <v>523</v>
      </c>
    </row>
    <row r="141" spans="1:61" ht="18" hidden="1" x14ac:dyDescent="0.35">
      <c r="A141" s="86">
        <v>6226</v>
      </c>
      <c r="B141" s="10">
        <v>46018</v>
      </c>
      <c r="C141" s="11" t="s">
        <v>272</v>
      </c>
      <c r="D141" s="11" t="s">
        <v>248</v>
      </c>
      <c r="E141" s="11" t="s">
        <v>9</v>
      </c>
      <c r="F141" s="12">
        <v>0</v>
      </c>
      <c r="G141" s="13"/>
      <c r="H141" s="14">
        <f t="shared" si="53"/>
        <v>14.218</v>
      </c>
      <c r="I141" s="14">
        <v>14.218</v>
      </c>
      <c r="J141" s="14">
        <v>2086.8789999999999</v>
      </c>
      <c r="K141" s="15" t="s">
        <v>130</v>
      </c>
      <c r="L141" s="65" t="s">
        <v>396</v>
      </c>
      <c r="M141" s="65">
        <f t="shared" ca="1" si="54"/>
        <v>153</v>
      </c>
      <c r="N141" s="18">
        <v>74314.197499999995</v>
      </c>
      <c r="O141" s="18">
        <v>78.4375</v>
      </c>
      <c r="AZ141" s="86" t="s">
        <v>399</v>
      </c>
      <c r="BA141" s="107">
        <v>6226</v>
      </c>
      <c r="BB141" s="86" t="s">
        <v>524</v>
      </c>
      <c r="BC141" s="86" t="s">
        <v>525</v>
      </c>
    </row>
    <row r="142" spans="1:61" ht="18" x14ac:dyDescent="0.35">
      <c r="B142" s="10">
        <v>46095</v>
      </c>
      <c r="C142" s="103" t="s">
        <v>322</v>
      </c>
      <c r="D142" s="11" t="s">
        <v>261</v>
      </c>
      <c r="E142" s="11" t="s">
        <v>9</v>
      </c>
      <c r="F142" s="12">
        <v>0</v>
      </c>
      <c r="G142" s="13"/>
      <c r="H142" s="14">
        <f t="shared" si="53"/>
        <v>182.57</v>
      </c>
      <c r="I142" s="14">
        <v>182.57</v>
      </c>
      <c r="J142" s="14">
        <v>1425</v>
      </c>
      <c r="K142" s="15" t="s">
        <v>47</v>
      </c>
      <c r="L142" s="65" t="s">
        <v>396</v>
      </c>
      <c r="M142" s="65">
        <f t="shared" ca="1" si="54"/>
        <v>76</v>
      </c>
      <c r="N142" s="69"/>
      <c r="O142" s="69"/>
      <c r="AZ142" s="86" t="s">
        <v>425</v>
      </c>
      <c r="BA142" s="107">
        <v>233</v>
      </c>
      <c r="BB142" s="86" t="s">
        <v>441</v>
      </c>
      <c r="BC142" s="86" t="s">
        <v>477</v>
      </c>
      <c r="BD142" s="86" t="s">
        <v>526</v>
      </c>
      <c r="BE142" s="86" t="s">
        <v>527</v>
      </c>
    </row>
    <row r="143" spans="1:61" ht="18" x14ac:dyDescent="0.35">
      <c r="B143" s="10">
        <v>46095</v>
      </c>
      <c r="C143" s="103" t="s">
        <v>323</v>
      </c>
      <c r="D143" s="11" t="s">
        <v>261</v>
      </c>
      <c r="E143" s="11" t="s">
        <v>9</v>
      </c>
      <c r="F143" s="12">
        <v>0</v>
      </c>
      <c r="G143" s="13"/>
      <c r="H143" s="14">
        <f t="shared" ref="H143" si="59">I143-F143</f>
        <v>476.89299999999997</v>
      </c>
      <c r="I143" s="14">
        <v>476.89299999999997</v>
      </c>
      <c r="J143" s="14">
        <v>476.89299999999997</v>
      </c>
      <c r="K143" s="15" t="s">
        <v>47</v>
      </c>
      <c r="L143" s="65" t="s">
        <v>396</v>
      </c>
      <c r="M143" s="65">
        <f t="shared" ref="M143" ca="1" si="60">TODAY()-B143</f>
        <v>76</v>
      </c>
      <c r="N143" s="69"/>
      <c r="O143" s="69"/>
      <c r="AZ143" s="86" t="s">
        <v>425</v>
      </c>
      <c r="BA143" s="107">
        <v>235</v>
      </c>
      <c r="BB143" s="86" t="s">
        <v>528</v>
      </c>
      <c r="BC143" s="86" t="s">
        <v>529</v>
      </c>
      <c r="BD143" s="86" t="s">
        <v>530</v>
      </c>
      <c r="BE143" s="86" t="s">
        <v>527</v>
      </c>
    </row>
    <row r="144" spans="1:61" ht="18" x14ac:dyDescent="0.35">
      <c r="B144" s="10">
        <v>46095</v>
      </c>
      <c r="C144" s="103" t="s">
        <v>324</v>
      </c>
      <c r="D144" s="11" t="s">
        <v>248</v>
      </c>
      <c r="E144" s="11" t="s">
        <v>9</v>
      </c>
      <c r="F144" s="12">
        <v>0</v>
      </c>
      <c r="G144" s="13"/>
      <c r="H144" s="14">
        <f t="shared" ref="H144:H145" si="61">I144-F144</f>
        <v>0.47699999999999998</v>
      </c>
      <c r="I144" s="14">
        <v>0.47699999999999998</v>
      </c>
      <c r="J144" s="14">
        <v>523.10699999999997</v>
      </c>
      <c r="K144" s="15" t="s">
        <v>23</v>
      </c>
      <c r="L144" s="65" t="s">
        <v>396</v>
      </c>
      <c r="M144" s="65">
        <f t="shared" ref="M144:M145" ca="1" si="62">TODAY()-B144</f>
        <v>76</v>
      </c>
      <c r="N144" s="69"/>
      <c r="O144" s="69"/>
      <c r="AZ144" s="86" t="s">
        <v>425</v>
      </c>
      <c r="BA144" s="107">
        <v>236</v>
      </c>
      <c r="BB144" s="86" t="s">
        <v>528</v>
      </c>
      <c r="BC144" s="86" t="s">
        <v>529</v>
      </c>
      <c r="BD144" s="86" t="s">
        <v>531</v>
      </c>
      <c r="BE144" s="86" t="s">
        <v>532</v>
      </c>
    </row>
    <row r="145" spans="2:61" ht="18" x14ac:dyDescent="0.35">
      <c r="B145" s="10">
        <v>46155</v>
      </c>
      <c r="C145" s="102" t="s">
        <v>375</v>
      </c>
      <c r="D145" s="11" t="s">
        <v>248</v>
      </c>
      <c r="E145" s="11" t="s">
        <v>9</v>
      </c>
      <c r="F145" s="12">
        <v>300</v>
      </c>
      <c r="G145" s="13"/>
      <c r="H145" s="14">
        <f t="shared" si="61"/>
        <v>0</v>
      </c>
      <c r="I145" s="14">
        <v>300</v>
      </c>
      <c r="J145" s="14">
        <v>300</v>
      </c>
      <c r="K145" s="15" t="s">
        <v>29</v>
      </c>
      <c r="L145" s="65" t="s">
        <v>396</v>
      </c>
      <c r="M145" s="65">
        <f t="shared" ca="1" si="62"/>
        <v>16</v>
      </c>
      <c r="N145" s="69"/>
      <c r="O145" s="69"/>
      <c r="AZ145" s="86" t="s">
        <v>512</v>
      </c>
      <c r="BA145" s="107">
        <v>0</v>
      </c>
      <c r="BB145" s="86" t="s">
        <v>513</v>
      </c>
      <c r="BC145" s="86">
        <v>5</v>
      </c>
      <c r="BD145" s="86" t="s">
        <v>533</v>
      </c>
      <c r="BE145" s="86" t="s">
        <v>534</v>
      </c>
      <c r="BF145" s="86" t="s">
        <v>464</v>
      </c>
      <c r="BG145" s="86">
        <v>27</v>
      </c>
      <c r="BH145" s="86">
        <v>100000095</v>
      </c>
    </row>
    <row r="146" spans="2:61" ht="18" x14ac:dyDescent="0.35">
      <c r="B146" s="10">
        <v>46155</v>
      </c>
      <c r="C146" s="102" t="s">
        <v>376</v>
      </c>
      <c r="D146" s="11" t="s">
        <v>248</v>
      </c>
      <c r="E146" s="11" t="s">
        <v>9</v>
      </c>
      <c r="F146" s="12">
        <f>1500-1500</f>
        <v>0</v>
      </c>
      <c r="G146" s="13"/>
      <c r="H146" s="14">
        <f t="shared" ref="H146" si="63">I146-F146</f>
        <v>1500</v>
      </c>
      <c r="I146" s="14">
        <v>1500</v>
      </c>
      <c r="J146" s="14">
        <v>1500</v>
      </c>
      <c r="K146" s="15" t="s">
        <v>29</v>
      </c>
      <c r="L146" s="65" t="s">
        <v>396</v>
      </c>
      <c r="M146" s="65">
        <f t="shared" ref="M146" ca="1" si="64">TODAY()-B146</f>
        <v>16</v>
      </c>
      <c r="N146" s="69"/>
      <c r="O146" s="69"/>
      <c r="AZ146" s="86" t="s">
        <v>512</v>
      </c>
      <c r="BA146" s="107">
        <v>0</v>
      </c>
      <c r="BB146" s="86" t="s">
        <v>513</v>
      </c>
      <c r="BC146" s="86">
        <v>7</v>
      </c>
      <c r="BD146" s="86" t="s">
        <v>461</v>
      </c>
      <c r="BE146" s="86" t="s">
        <v>464</v>
      </c>
      <c r="BF146" s="86">
        <v>27</v>
      </c>
      <c r="BG146" s="86">
        <v>100000096</v>
      </c>
    </row>
    <row r="147" spans="2:61" ht="18" x14ac:dyDescent="0.35">
      <c r="B147" s="10">
        <v>46155</v>
      </c>
      <c r="C147" s="102" t="s">
        <v>377</v>
      </c>
      <c r="D147" s="11" t="s">
        <v>248</v>
      </c>
      <c r="E147" s="11" t="s">
        <v>9</v>
      </c>
      <c r="F147" s="12">
        <f>450-122-150+16+140+21</f>
        <v>355</v>
      </c>
      <c r="G147" s="13"/>
      <c r="H147" s="14">
        <f t="shared" ref="H147:H152" si="65">I147-F147</f>
        <v>95</v>
      </c>
      <c r="I147" s="14">
        <v>450</v>
      </c>
      <c r="J147" s="14">
        <v>450</v>
      </c>
      <c r="K147" s="15" t="s">
        <v>29</v>
      </c>
      <c r="L147" s="65" t="s">
        <v>396</v>
      </c>
      <c r="M147" s="65">
        <f t="shared" ref="M147:M152" ca="1" si="66">TODAY()-B147</f>
        <v>16</v>
      </c>
      <c r="N147" s="69"/>
      <c r="O147" s="69"/>
      <c r="AZ147" s="86" t="s">
        <v>512</v>
      </c>
      <c r="BA147" s="107">
        <v>0</v>
      </c>
      <c r="BB147" s="86" t="s">
        <v>513</v>
      </c>
      <c r="BC147" s="86">
        <v>6</v>
      </c>
      <c r="BD147" s="86" t="s">
        <v>535</v>
      </c>
      <c r="BE147" s="86" t="s">
        <v>443</v>
      </c>
      <c r="BF147" s="86" t="s">
        <v>464</v>
      </c>
      <c r="BG147" s="86">
        <v>27</v>
      </c>
    </row>
    <row r="148" spans="2:61" ht="18" x14ac:dyDescent="0.35">
      <c r="B148" s="10">
        <v>46162</v>
      </c>
      <c r="C148" s="102" t="s">
        <v>382</v>
      </c>
      <c r="D148" s="11" t="s">
        <v>248</v>
      </c>
      <c r="E148" s="11" t="s">
        <v>9</v>
      </c>
      <c r="F148" s="12">
        <v>0</v>
      </c>
      <c r="G148" s="13"/>
      <c r="H148" s="14">
        <f t="shared" si="65"/>
        <v>44.38</v>
      </c>
      <c r="I148" s="14">
        <v>44.38</v>
      </c>
      <c r="J148" s="14">
        <v>200</v>
      </c>
      <c r="K148" s="15" t="s">
        <v>29</v>
      </c>
      <c r="L148" s="65" t="s">
        <v>396</v>
      </c>
      <c r="M148" s="65">
        <f t="shared" ca="1" si="66"/>
        <v>9</v>
      </c>
      <c r="N148" s="69"/>
      <c r="O148" s="69"/>
      <c r="AZ148" s="86" t="s">
        <v>512</v>
      </c>
      <c r="BA148" s="107" t="s">
        <v>515</v>
      </c>
      <c r="BB148" s="86" t="s">
        <v>516</v>
      </c>
      <c r="BC148" s="86" t="s">
        <v>536</v>
      </c>
      <c r="BD148" s="86" t="s">
        <v>537</v>
      </c>
      <c r="BE148" s="86" t="s">
        <v>464</v>
      </c>
      <c r="BF148" s="86">
        <v>27</v>
      </c>
      <c r="BG148" s="86">
        <v>100000108</v>
      </c>
    </row>
    <row r="149" spans="2:61" ht="18" x14ac:dyDescent="0.35">
      <c r="B149" s="10">
        <v>46165</v>
      </c>
      <c r="C149" s="102" t="s">
        <v>386</v>
      </c>
      <c r="D149" s="11" t="s">
        <v>248</v>
      </c>
      <c r="E149" s="11" t="s">
        <v>9</v>
      </c>
      <c r="F149" s="12">
        <v>100</v>
      </c>
      <c r="G149" s="13"/>
      <c r="H149" s="14">
        <f t="shared" si="65"/>
        <v>0</v>
      </c>
      <c r="I149" s="14">
        <v>100</v>
      </c>
      <c r="J149" s="14">
        <v>100</v>
      </c>
      <c r="K149" s="15" t="s">
        <v>47</v>
      </c>
      <c r="L149" s="65" t="s">
        <v>396</v>
      </c>
      <c r="M149" s="65">
        <f t="shared" ca="1" si="66"/>
        <v>6</v>
      </c>
      <c r="N149" s="69"/>
      <c r="O149" s="69"/>
      <c r="AZ149" s="86" t="s">
        <v>425</v>
      </c>
      <c r="BA149" s="107">
        <v>241</v>
      </c>
      <c r="BB149" s="86" t="s">
        <v>460</v>
      </c>
      <c r="BC149" s="86" t="s">
        <v>538</v>
      </c>
      <c r="BD149" s="86" t="s">
        <v>510</v>
      </c>
      <c r="BE149" s="86" t="s">
        <v>507</v>
      </c>
      <c r="BF149" s="86" t="s">
        <v>508</v>
      </c>
      <c r="BG149" s="86" t="s">
        <v>464</v>
      </c>
      <c r="BH149" s="86">
        <v>27</v>
      </c>
      <c r="BI149" s="86">
        <v>100000113</v>
      </c>
    </row>
    <row r="150" spans="2:61" ht="18" x14ac:dyDescent="0.35">
      <c r="B150" s="10">
        <v>46165</v>
      </c>
      <c r="C150" s="102" t="s">
        <v>383</v>
      </c>
      <c r="D150" s="11" t="s">
        <v>248</v>
      </c>
      <c r="E150" s="11" t="s">
        <v>9</v>
      </c>
      <c r="F150" s="12">
        <v>200</v>
      </c>
      <c r="G150" s="13"/>
      <c r="H150" s="14">
        <f t="shared" si="65"/>
        <v>0</v>
      </c>
      <c r="I150" s="14">
        <v>200</v>
      </c>
      <c r="J150" s="14">
        <v>200</v>
      </c>
      <c r="K150" s="15" t="s">
        <v>29</v>
      </c>
      <c r="L150" s="65" t="s">
        <v>396</v>
      </c>
      <c r="M150" s="65">
        <f t="shared" ca="1" si="66"/>
        <v>6</v>
      </c>
      <c r="N150" s="69"/>
      <c r="O150" s="69"/>
      <c r="AZ150" s="86" t="s">
        <v>425</v>
      </c>
      <c r="BA150" s="107">
        <v>244</v>
      </c>
      <c r="BB150" s="86" t="s">
        <v>460</v>
      </c>
      <c r="BC150" s="86" t="s">
        <v>511</v>
      </c>
      <c r="BD150" s="86" t="s">
        <v>510</v>
      </c>
      <c r="BE150" s="86" t="s">
        <v>469</v>
      </c>
      <c r="BF150" s="86" t="s">
        <v>539</v>
      </c>
      <c r="BG150" s="86" t="s">
        <v>464</v>
      </c>
      <c r="BH150" s="86">
        <v>27</v>
      </c>
      <c r="BI150" s="86">
        <v>100000109</v>
      </c>
    </row>
    <row r="151" spans="2:61" ht="18" x14ac:dyDescent="0.35">
      <c r="B151" s="10">
        <v>46165</v>
      </c>
      <c r="C151" s="102" t="s">
        <v>384</v>
      </c>
      <c r="D151" s="11" t="s">
        <v>248</v>
      </c>
      <c r="E151" s="11" t="s">
        <v>9</v>
      </c>
      <c r="F151" s="12">
        <f>100-21</f>
        <v>79</v>
      </c>
      <c r="G151" s="13"/>
      <c r="H151" s="14">
        <f t="shared" si="65"/>
        <v>21</v>
      </c>
      <c r="I151" s="14">
        <v>100</v>
      </c>
      <c r="J151" s="14">
        <v>100</v>
      </c>
      <c r="K151" s="15" t="s">
        <v>29</v>
      </c>
      <c r="L151" s="65" t="s">
        <v>396</v>
      </c>
      <c r="M151" s="65">
        <f t="shared" ca="1" si="66"/>
        <v>6</v>
      </c>
      <c r="N151" s="69"/>
      <c r="O151" s="69"/>
      <c r="AZ151" s="86" t="s">
        <v>425</v>
      </c>
      <c r="BA151" s="107">
        <v>245</v>
      </c>
      <c r="BB151" s="86" t="s">
        <v>460</v>
      </c>
      <c r="BC151" s="86" t="s">
        <v>511</v>
      </c>
      <c r="BD151" s="86" t="s">
        <v>510</v>
      </c>
      <c r="BE151" s="86" t="s">
        <v>455</v>
      </c>
      <c r="BF151" s="86" t="s">
        <v>456</v>
      </c>
      <c r="BG151" s="86" t="s">
        <v>464</v>
      </c>
      <c r="BH151" s="86">
        <v>27</v>
      </c>
      <c r="BI151" s="86">
        <v>100000111</v>
      </c>
    </row>
    <row r="152" spans="2:61" ht="18" x14ac:dyDescent="0.35">
      <c r="B152" s="10">
        <v>46165</v>
      </c>
      <c r="C152" s="102" t="s">
        <v>385</v>
      </c>
      <c r="D152" s="11" t="s">
        <v>248</v>
      </c>
      <c r="E152" s="11" t="s">
        <v>9</v>
      </c>
      <c r="F152" s="12">
        <v>100</v>
      </c>
      <c r="G152" s="13"/>
      <c r="H152" s="14">
        <f t="shared" si="65"/>
        <v>0</v>
      </c>
      <c r="I152" s="14">
        <v>100</v>
      </c>
      <c r="J152" s="14">
        <v>100</v>
      </c>
      <c r="K152" s="15" t="s">
        <v>29</v>
      </c>
      <c r="L152" s="65" t="s">
        <v>396</v>
      </c>
      <c r="M152" s="65">
        <f t="shared" ca="1" si="66"/>
        <v>6</v>
      </c>
      <c r="N152" s="69"/>
      <c r="O152" s="69"/>
      <c r="AZ152" s="86" t="s">
        <v>425</v>
      </c>
      <c r="BA152" s="107">
        <v>246</v>
      </c>
      <c r="BB152" s="86" t="s">
        <v>460</v>
      </c>
      <c r="BC152" s="86" t="s">
        <v>511</v>
      </c>
      <c r="BD152" s="86" t="s">
        <v>510</v>
      </c>
      <c r="BE152" s="86" t="s">
        <v>469</v>
      </c>
      <c r="BF152" s="86" t="s">
        <v>539</v>
      </c>
      <c r="BG152" s="86" t="s">
        <v>464</v>
      </c>
      <c r="BH152" s="86">
        <v>27</v>
      </c>
      <c r="BI152" s="86">
        <v>100000110</v>
      </c>
    </row>
    <row r="153" spans="2:61" ht="18" x14ac:dyDescent="0.35">
      <c r="B153" s="73">
        <v>46045</v>
      </c>
      <c r="C153" s="74" t="s">
        <v>281</v>
      </c>
      <c r="D153" s="74" t="s">
        <v>248</v>
      </c>
      <c r="E153" s="74" t="s">
        <v>9</v>
      </c>
      <c r="F153" s="79">
        <v>0</v>
      </c>
      <c r="G153" s="81"/>
      <c r="H153" s="75">
        <f t="shared" si="53"/>
        <v>126.598</v>
      </c>
      <c r="I153" s="75">
        <v>126.598</v>
      </c>
      <c r="J153" s="75">
        <v>4809.5529999999999</v>
      </c>
      <c r="K153" s="77" t="s">
        <v>284</v>
      </c>
      <c r="L153" s="78" t="s">
        <v>235</v>
      </c>
      <c r="M153" s="65">
        <f t="shared" ca="1" si="54"/>
        <v>126</v>
      </c>
      <c r="N153" s="69"/>
      <c r="O153" s="69"/>
      <c r="AZ153" s="86" t="s">
        <v>435</v>
      </c>
      <c r="BA153" s="107">
        <v>321</v>
      </c>
      <c r="BB153" s="86" t="s">
        <v>472</v>
      </c>
      <c r="BC153" s="86" t="s">
        <v>484</v>
      </c>
      <c r="BD153" s="86" t="s">
        <v>532</v>
      </c>
    </row>
    <row r="154" spans="2:61" ht="18" x14ac:dyDescent="0.35">
      <c r="B154" s="73">
        <v>46045</v>
      </c>
      <c r="C154" s="104" t="s">
        <v>282</v>
      </c>
      <c r="D154" s="74" t="s">
        <v>261</v>
      </c>
      <c r="E154" s="74" t="s">
        <v>9</v>
      </c>
      <c r="F154" s="79">
        <f>160.534-64-20-30-20</f>
        <v>26.533999999999992</v>
      </c>
      <c r="G154" s="81"/>
      <c r="H154" s="75">
        <f t="shared" ref="H154:H157" si="67">I154-F154</f>
        <v>119.244</v>
      </c>
      <c r="I154" s="75">
        <v>145.77799999999999</v>
      </c>
      <c r="J154" s="75">
        <v>961.16800000000001</v>
      </c>
      <c r="K154" s="77" t="s">
        <v>29</v>
      </c>
      <c r="L154" s="78" t="s">
        <v>235</v>
      </c>
      <c r="M154" s="65">
        <f t="shared" ref="M154:M157" ca="1" si="68">TODAY()-B154</f>
        <v>126</v>
      </c>
      <c r="N154" s="69"/>
      <c r="O154" s="69"/>
      <c r="AZ154" s="86" t="s">
        <v>435</v>
      </c>
      <c r="BA154" s="107">
        <v>322</v>
      </c>
      <c r="BB154" s="86" t="s">
        <v>472</v>
      </c>
      <c r="BC154" s="86" t="s">
        <v>484</v>
      </c>
    </row>
    <row r="155" spans="2:61" ht="18" x14ac:dyDescent="0.35">
      <c r="B155" s="91">
        <v>46085</v>
      </c>
      <c r="C155" s="92" t="s">
        <v>341</v>
      </c>
      <c r="D155" s="92" t="s">
        <v>248</v>
      </c>
      <c r="E155" s="92" t="s">
        <v>9</v>
      </c>
      <c r="F155" s="93">
        <v>0</v>
      </c>
      <c r="G155" s="94"/>
      <c r="H155" s="95">
        <f t="shared" si="67"/>
        <v>3003.3620000000001</v>
      </c>
      <c r="I155" s="95">
        <v>3003.3620000000001</v>
      </c>
      <c r="J155" s="95">
        <v>3981.2449999999999</v>
      </c>
      <c r="K155" s="96" t="s">
        <v>29</v>
      </c>
      <c r="L155" s="97" t="s">
        <v>310</v>
      </c>
      <c r="M155" s="96">
        <f t="shared" ca="1" si="68"/>
        <v>86</v>
      </c>
      <c r="N155" s="69"/>
      <c r="O155" s="69"/>
      <c r="AZ155" s="86" t="s">
        <v>420</v>
      </c>
      <c r="BA155" s="107">
        <v>6</v>
      </c>
      <c r="BB155" s="86" t="s">
        <v>485</v>
      </c>
      <c r="BC155" s="86" t="s">
        <v>486</v>
      </c>
    </row>
    <row r="156" spans="2:61" ht="18" x14ac:dyDescent="0.35">
      <c r="B156" s="91">
        <v>46106</v>
      </c>
      <c r="C156" s="92" t="s">
        <v>335</v>
      </c>
      <c r="D156" s="92" t="s">
        <v>261</v>
      </c>
      <c r="E156" s="92" t="s">
        <v>9</v>
      </c>
      <c r="F156" s="93">
        <v>57.665999999999997</v>
      </c>
      <c r="G156" s="94"/>
      <c r="H156" s="95">
        <f t="shared" si="67"/>
        <v>1791.0600000000002</v>
      </c>
      <c r="I156" s="95">
        <v>1848.7260000000001</v>
      </c>
      <c r="J156" s="95">
        <v>2000</v>
      </c>
      <c r="K156" s="96" t="s">
        <v>29</v>
      </c>
      <c r="L156" s="97" t="s">
        <v>310</v>
      </c>
      <c r="M156" s="96">
        <f t="shared" ca="1" si="68"/>
        <v>65</v>
      </c>
      <c r="N156" s="69"/>
      <c r="O156" s="69"/>
      <c r="AZ156" s="86" t="s">
        <v>420</v>
      </c>
      <c r="BA156" s="107">
        <v>4</v>
      </c>
      <c r="BB156" s="86" t="s">
        <v>505</v>
      </c>
      <c r="BC156" s="86" t="s">
        <v>506</v>
      </c>
    </row>
    <row r="157" spans="2:61" ht="18" x14ac:dyDescent="0.35">
      <c r="B157" s="91">
        <v>46106</v>
      </c>
      <c r="C157" s="92" t="s">
        <v>336</v>
      </c>
      <c r="D157" s="92" t="s">
        <v>248</v>
      </c>
      <c r="E157" s="92" t="s">
        <v>9</v>
      </c>
      <c r="F157" s="94">
        <v>0</v>
      </c>
      <c r="G157" s="94"/>
      <c r="H157" s="95">
        <f t="shared" si="67"/>
        <v>1969.9359999999999</v>
      </c>
      <c r="I157" s="95">
        <v>1969.9359999999999</v>
      </c>
      <c r="J157" s="95">
        <v>1996.271</v>
      </c>
      <c r="K157" s="96" t="s">
        <v>29</v>
      </c>
      <c r="L157" s="97" t="s">
        <v>310</v>
      </c>
      <c r="M157" s="96">
        <f t="shared" ca="1" si="68"/>
        <v>65</v>
      </c>
      <c r="N157" s="69"/>
      <c r="O157" s="69"/>
      <c r="AZ157" s="86" t="s">
        <v>420</v>
      </c>
      <c r="BA157" s="107">
        <v>5</v>
      </c>
      <c r="BB157" s="86" t="s">
        <v>505</v>
      </c>
      <c r="BC157" s="86" t="s">
        <v>506</v>
      </c>
    </row>
    <row r="158" spans="2:61" ht="18" hidden="1" x14ac:dyDescent="0.35">
      <c r="B158" s="19"/>
      <c r="C158" s="26" t="s">
        <v>27</v>
      </c>
      <c r="D158" s="11"/>
      <c r="E158" s="11"/>
      <c r="F158" s="20">
        <f>SUBTOTAL(9,F127:F157)</f>
        <v>2471.8710000000005</v>
      </c>
      <c r="G158" s="21">
        <f>F158</f>
        <v>2471.8710000000005</v>
      </c>
      <c r="H158" s="20">
        <f>SUBTOTAL(9,H127:H157)</f>
        <v>9465.52</v>
      </c>
      <c r="I158" s="20">
        <f>SUBTOTAL(9,I127:I157)</f>
        <v>11937.391</v>
      </c>
      <c r="J158" s="20"/>
      <c r="K158" s="15"/>
      <c r="L158" s="65"/>
      <c r="M158" s="15"/>
      <c r="N158" s="69"/>
      <c r="O158" s="69"/>
      <c r="AZ158" s="86" t="s">
        <v>27</v>
      </c>
    </row>
    <row r="159" spans="2:61" ht="18" hidden="1" x14ac:dyDescent="0.35">
      <c r="B159" s="19"/>
      <c r="C159" s="26"/>
      <c r="D159" s="11"/>
      <c r="E159" s="11"/>
      <c r="F159" s="13"/>
      <c r="G159" s="21"/>
      <c r="H159" s="20"/>
      <c r="I159" s="20"/>
      <c r="J159" s="20"/>
      <c r="K159" s="15"/>
      <c r="L159" s="65"/>
      <c r="M159" s="15"/>
      <c r="N159" s="69"/>
      <c r="O159" s="69"/>
    </row>
    <row r="160" spans="2:61" ht="18" x14ac:dyDescent="0.35">
      <c r="B160" s="10">
        <v>46125</v>
      </c>
      <c r="C160" s="11" t="s">
        <v>346</v>
      </c>
      <c r="D160" s="11" t="s">
        <v>347</v>
      </c>
      <c r="E160" s="11" t="s">
        <v>9</v>
      </c>
      <c r="F160" s="12">
        <f>100-100</f>
        <v>0</v>
      </c>
      <c r="G160" s="21"/>
      <c r="H160" s="14">
        <f t="shared" ref="H160" si="69">I160-F160</f>
        <v>65.27</v>
      </c>
      <c r="I160" s="14">
        <v>65.27</v>
      </c>
      <c r="J160" s="14">
        <v>100</v>
      </c>
      <c r="K160" s="15" t="s">
        <v>29</v>
      </c>
      <c r="L160" s="65" t="s">
        <v>396</v>
      </c>
      <c r="M160" s="15">
        <f t="shared" ref="M160" ca="1" si="70">TODAY()-B160</f>
        <v>46</v>
      </c>
      <c r="N160" s="69"/>
      <c r="O160" s="69"/>
      <c r="AZ160" s="86" t="s">
        <v>540</v>
      </c>
      <c r="BA160" s="107" t="s">
        <v>541</v>
      </c>
      <c r="BB160" s="86" t="s">
        <v>542</v>
      </c>
      <c r="BC160" s="86" t="s">
        <v>543</v>
      </c>
    </row>
    <row r="161" spans="1:58" ht="18" hidden="1" x14ac:dyDescent="0.35">
      <c r="B161" s="10"/>
      <c r="C161" s="26" t="s">
        <v>27</v>
      </c>
      <c r="D161" s="11"/>
      <c r="E161" s="11"/>
      <c r="F161" s="20">
        <f>SUBTOTAL(9,F160:F160)</f>
        <v>0</v>
      </c>
      <c r="G161" s="21">
        <f>F161</f>
        <v>0</v>
      </c>
      <c r="H161" s="20">
        <f>SUBTOTAL(9,H160:H160)</f>
        <v>65.27</v>
      </c>
      <c r="I161" s="20">
        <f>SUBTOTAL(9,I160:I160)</f>
        <v>65.27</v>
      </c>
      <c r="J161" s="20"/>
      <c r="K161" s="15"/>
      <c r="L161" s="65"/>
      <c r="M161" s="15"/>
      <c r="N161" s="69"/>
      <c r="O161" s="69"/>
      <c r="AZ161" s="86" t="s">
        <v>27</v>
      </c>
    </row>
    <row r="162" spans="1:58" ht="18" hidden="1" x14ac:dyDescent="0.35">
      <c r="B162" s="10"/>
      <c r="C162" s="11"/>
      <c r="D162" s="11"/>
      <c r="E162" s="11"/>
      <c r="F162" s="12"/>
      <c r="G162" s="21"/>
      <c r="H162" s="20"/>
      <c r="I162" s="20"/>
      <c r="J162" s="20"/>
      <c r="K162" s="15"/>
      <c r="L162" s="65"/>
      <c r="M162" s="15"/>
      <c r="N162" s="69"/>
      <c r="O162" s="69"/>
    </row>
    <row r="163" spans="1:58" ht="18" hidden="1" x14ac:dyDescent="0.35">
      <c r="A163" s="86">
        <v>6284</v>
      </c>
      <c r="B163" s="10">
        <v>46069</v>
      </c>
      <c r="C163" s="11" t="s">
        <v>292</v>
      </c>
      <c r="D163" s="11" t="s">
        <v>114</v>
      </c>
      <c r="E163" s="11" t="s">
        <v>13</v>
      </c>
      <c r="F163" s="12">
        <v>0</v>
      </c>
      <c r="G163" s="20"/>
      <c r="H163" s="14">
        <f t="shared" ref="H163:H167" si="71">I163-F163</f>
        <v>0.38200000000000001</v>
      </c>
      <c r="I163" s="14">
        <v>0.38200000000000001</v>
      </c>
      <c r="J163" s="14">
        <v>800.42899999999997</v>
      </c>
      <c r="K163" s="15" t="s">
        <v>21</v>
      </c>
      <c r="L163" s="65" t="s">
        <v>396</v>
      </c>
      <c r="M163" s="15">
        <f t="shared" ref="M163:M167" ca="1" si="72">TODAY()-B163</f>
        <v>102</v>
      </c>
      <c r="N163" s="18">
        <v>89694.111907489612</v>
      </c>
      <c r="O163" s="18">
        <v>107.15625</v>
      </c>
      <c r="AZ163" s="86" t="s">
        <v>399</v>
      </c>
      <c r="BA163" s="107">
        <v>6284</v>
      </c>
      <c r="BB163" s="86" t="s">
        <v>544</v>
      </c>
      <c r="BC163" s="86" t="s">
        <v>545</v>
      </c>
    </row>
    <row r="164" spans="1:58" ht="18" hidden="1" x14ac:dyDescent="0.35">
      <c r="A164" s="86">
        <v>6310</v>
      </c>
      <c r="B164" s="10">
        <v>46080</v>
      </c>
      <c r="C164" s="11" t="s">
        <v>302</v>
      </c>
      <c r="D164" s="11" t="s">
        <v>114</v>
      </c>
      <c r="E164" s="11" t="s">
        <v>13</v>
      </c>
      <c r="F164" s="12">
        <v>21.053000000000001</v>
      </c>
      <c r="G164" s="20"/>
      <c r="H164" s="14">
        <f t="shared" si="71"/>
        <v>11.27</v>
      </c>
      <c r="I164" s="14">
        <v>32.323</v>
      </c>
      <c r="J164" s="14">
        <v>1047.319</v>
      </c>
      <c r="K164" s="15" t="s">
        <v>21</v>
      </c>
      <c r="L164" s="65" t="s">
        <v>396</v>
      </c>
      <c r="M164" s="15">
        <f t="shared" ca="1" si="72"/>
        <v>91</v>
      </c>
      <c r="N164" s="18">
        <v>94189.495794797549</v>
      </c>
      <c r="O164" s="18">
        <v>180.32142857142858</v>
      </c>
      <c r="AZ164" s="86" t="s">
        <v>399</v>
      </c>
      <c r="BA164" s="107">
        <v>6310</v>
      </c>
      <c r="BB164" s="86" t="s">
        <v>546</v>
      </c>
    </row>
    <row r="165" spans="1:58" ht="18" x14ac:dyDescent="0.35">
      <c r="B165" s="91">
        <v>46163</v>
      </c>
      <c r="C165" s="92" t="s">
        <v>392</v>
      </c>
      <c r="D165" s="92" t="s">
        <v>114</v>
      </c>
      <c r="E165" s="92" t="s">
        <v>13</v>
      </c>
      <c r="F165" s="93">
        <f>607.03-563</f>
        <v>44.029999999999973</v>
      </c>
      <c r="G165" s="94"/>
      <c r="H165" s="95">
        <f t="shared" si="71"/>
        <v>563</v>
      </c>
      <c r="I165" s="95">
        <v>607.03</v>
      </c>
      <c r="J165" s="95">
        <v>607.03</v>
      </c>
      <c r="K165" s="96" t="s">
        <v>21</v>
      </c>
      <c r="L165" s="65" t="s">
        <v>396</v>
      </c>
      <c r="M165" s="96">
        <f t="shared" ca="1" si="72"/>
        <v>8</v>
      </c>
      <c r="N165" s="69"/>
      <c r="O165" s="69"/>
      <c r="AZ165" s="86" t="s">
        <v>420</v>
      </c>
      <c r="BA165" s="107">
        <v>17</v>
      </c>
      <c r="BB165" s="86" t="s">
        <v>547</v>
      </c>
    </row>
    <row r="166" spans="1:58" ht="18" hidden="1" x14ac:dyDescent="0.35">
      <c r="A166" s="86">
        <v>6373</v>
      </c>
      <c r="B166" s="10">
        <v>46139</v>
      </c>
      <c r="C166" s="11" t="s">
        <v>364</v>
      </c>
      <c r="D166" s="11" t="s">
        <v>114</v>
      </c>
      <c r="E166" s="11" t="s">
        <v>9</v>
      </c>
      <c r="F166" s="12">
        <v>-5.8520000000000003</v>
      </c>
      <c r="G166" s="20"/>
      <c r="H166" s="14">
        <f t="shared" si="71"/>
        <v>331.84</v>
      </c>
      <c r="I166" s="14">
        <v>325.988</v>
      </c>
      <c r="J166" s="14">
        <v>1998.7049999999999</v>
      </c>
      <c r="K166" s="15" t="s">
        <v>23</v>
      </c>
      <c r="L166" s="65" t="s">
        <v>396</v>
      </c>
      <c r="M166" s="15">
        <f t="shared" ca="1" si="72"/>
        <v>32</v>
      </c>
      <c r="N166" s="18">
        <v>135097.68359752669</v>
      </c>
      <c r="O166" s="18">
        <v>164.40909090909091</v>
      </c>
      <c r="AZ166" s="86" t="s">
        <v>399</v>
      </c>
      <c r="BA166" s="107">
        <v>6373</v>
      </c>
      <c r="BB166" s="86" t="s">
        <v>457</v>
      </c>
      <c r="BC166" s="86" t="s">
        <v>458</v>
      </c>
    </row>
    <row r="167" spans="1:58" ht="18" x14ac:dyDescent="0.35">
      <c r="B167" s="91">
        <v>46131</v>
      </c>
      <c r="C167" s="92" t="s">
        <v>357</v>
      </c>
      <c r="D167" s="92" t="s">
        <v>114</v>
      </c>
      <c r="E167" s="92" t="s">
        <v>9</v>
      </c>
      <c r="F167" s="93">
        <v>-8.0090000000000003</v>
      </c>
      <c r="G167" s="94"/>
      <c r="H167" s="95">
        <f t="shared" si="71"/>
        <v>62.99</v>
      </c>
      <c r="I167" s="95">
        <v>54.981000000000002</v>
      </c>
      <c r="J167" s="95">
        <v>2850</v>
      </c>
      <c r="K167" s="96" t="s">
        <v>23</v>
      </c>
      <c r="L167" s="97" t="s">
        <v>310</v>
      </c>
      <c r="M167" s="96">
        <f t="shared" ca="1" si="72"/>
        <v>40</v>
      </c>
      <c r="N167" s="69"/>
      <c r="O167" s="69"/>
      <c r="AZ167" s="86" t="s">
        <v>420</v>
      </c>
      <c r="BA167" s="107">
        <v>12</v>
      </c>
      <c r="BB167" s="86" t="s">
        <v>455</v>
      </c>
      <c r="BC167" s="86" t="s">
        <v>456</v>
      </c>
    </row>
    <row r="168" spans="1:58" ht="18" hidden="1" x14ac:dyDescent="0.35">
      <c r="B168" s="10"/>
      <c r="C168" s="26" t="s">
        <v>27</v>
      </c>
      <c r="D168" s="11"/>
      <c r="E168" s="11"/>
      <c r="F168" s="20">
        <f>SUBTOTAL(9,F163:F167)</f>
        <v>36.020999999999972</v>
      </c>
      <c r="G168" s="21">
        <f>F168</f>
        <v>36.020999999999972</v>
      </c>
      <c r="H168" s="20">
        <f>SUBTOTAL(9,H163:H167)</f>
        <v>625.99</v>
      </c>
      <c r="I168" s="20">
        <f>SUBTOTAL(9,I163:I167)</f>
        <v>662.01099999999997</v>
      </c>
      <c r="J168" s="20"/>
      <c r="K168" s="15"/>
      <c r="L168" s="65"/>
      <c r="M168" s="15"/>
      <c r="N168" s="69"/>
      <c r="O168" s="69"/>
      <c r="AZ168" s="86" t="s">
        <v>27</v>
      </c>
    </row>
    <row r="169" spans="1:58" ht="18" hidden="1" x14ac:dyDescent="0.35">
      <c r="B169" s="19"/>
      <c r="C169" s="11"/>
      <c r="D169" s="11"/>
      <c r="E169" s="11"/>
      <c r="F169" s="13"/>
      <c r="G169" s="13"/>
      <c r="H169" s="20"/>
      <c r="I169" s="20"/>
      <c r="J169" s="20"/>
      <c r="K169" s="15"/>
      <c r="L169" s="65"/>
      <c r="M169" s="15"/>
      <c r="N169" s="69"/>
      <c r="O169" s="69"/>
    </row>
    <row r="170" spans="1:58" ht="18" hidden="1" x14ac:dyDescent="0.35">
      <c r="A170" s="86">
        <v>6254</v>
      </c>
      <c r="B170" s="10">
        <v>46045</v>
      </c>
      <c r="C170" s="11" t="s">
        <v>278</v>
      </c>
      <c r="D170" s="11" t="s">
        <v>149</v>
      </c>
      <c r="E170" s="11" t="s">
        <v>13</v>
      </c>
      <c r="F170" s="12">
        <v>-19.875</v>
      </c>
      <c r="G170" s="20"/>
      <c r="H170" s="14">
        <f t="shared" ref="H170" si="73">I170-F170</f>
        <v>19.876000000000001</v>
      </c>
      <c r="I170" s="14">
        <v>1E-3</v>
      </c>
      <c r="J170" s="14">
        <v>508.04500000000002</v>
      </c>
      <c r="K170" s="15" t="s">
        <v>21</v>
      </c>
      <c r="L170" s="65" t="s">
        <v>396</v>
      </c>
      <c r="M170" s="15">
        <f t="shared" ref="M170" ca="1" si="74">TODAY()-B170</f>
        <v>126</v>
      </c>
      <c r="N170" s="18">
        <v>18242.918392156866</v>
      </c>
      <c r="O170" s="18">
        <v>34.125999999999998</v>
      </c>
      <c r="AZ170" s="86" t="s">
        <v>399</v>
      </c>
      <c r="BA170" s="107">
        <v>6254</v>
      </c>
      <c r="BB170" s="86" t="s">
        <v>548</v>
      </c>
      <c r="BC170" s="86" t="s">
        <v>549</v>
      </c>
    </row>
    <row r="171" spans="1:58" ht="18" x14ac:dyDescent="0.35">
      <c r="B171" s="58">
        <v>46104</v>
      </c>
      <c r="C171" s="98" t="s">
        <v>340</v>
      </c>
      <c r="D171" s="57" t="s">
        <v>149</v>
      </c>
      <c r="E171" s="57" t="s">
        <v>9</v>
      </c>
      <c r="F171" s="59">
        <f>113.97-10</f>
        <v>103.97</v>
      </c>
      <c r="G171" s="61"/>
      <c r="H171" s="56">
        <f t="shared" ref="H171" si="75">I171-F171</f>
        <v>172.79999999999998</v>
      </c>
      <c r="I171" s="56">
        <v>276.77</v>
      </c>
      <c r="J171" s="56">
        <v>500</v>
      </c>
      <c r="K171" s="60" t="s">
        <v>32</v>
      </c>
      <c r="L171" s="66" t="s">
        <v>226</v>
      </c>
      <c r="M171" s="15">
        <f t="shared" ref="M171" ca="1" si="76">TODAY()-B171</f>
        <v>67</v>
      </c>
      <c r="N171" s="70"/>
      <c r="O171" s="70"/>
      <c r="AZ171" s="86" t="s">
        <v>425</v>
      </c>
      <c r="BA171" s="107" t="s">
        <v>550</v>
      </c>
      <c r="BB171" s="86" t="s">
        <v>551</v>
      </c>
      <c r="BC171" s="86" t="s">
        <v>552</v>
      </c>
      <c r="BD171" s="86">
        <v>18</v>
      </c>
      <c r="BE171" s="86">
        <v>3</v>
      </c>
      <c r="BF171" s="86">
        <v>2026</v>
      </c>
    </row>
    <row r="172" spans="1:58" ht="18" hidden="1" x14ac:dyDescent="0.35">
      <c r="B172" s="19"/>
      <c r="C172" s="26" t="s">
        <v>27</v>
      </c>
      <c r="D172" s="11"/>
      <c r="E172" s="11"/>
      <c r="F172" s="20">
        <f>SUBTOTAL(9,F170:F170)</f>
        <v>0</v>
      </c>
      <c r="G172" s="21">
        <f>F172</f>
        <v>0</v>
      </c>
      <c r="H172" s="20">
        <f>SUBTOTAL(9,H170:H170)</f>
        <v>0</v>
      </c>
      <c r="I172" s="20">
        <f>SUBTOTAL(9,I169:I170)</f>
        <v>0</v>
      </c>
      <c r="J172" s="20"/>
      <c r="K172" s="15"/>
      <c r="L172" s="65"/>
      <c r="M172" s="15"/>
      <c r="N172" s="69"/>
      <c r="O172" s="69"/>
      <c r="AZ172" s="86" t="s">
        <v>27</v>
      </c>
    </row>
    <row r="173" spans="1:58" ht="18" hidden="1" x14ac:dyDescent="0.35">
      <c r="B173" s="19"/>
      <c r="C173" s="26"/>
      <c r="D173" s="11"/>
      <c r="E173" s="11"/>
      <c r="F173" s="13"/>
      <c r="G173" s="21"/>
      <c r="H173" s="20"/>
      <c r="I173" s="20"/>
      <c r="J173" s="20"/>
      <c r="K173" s="15"/>
      <c r="L173" s="65"/>
      <c r="M173" s="15"/>
      <c r="N173" s="69"/>
      <c r="O173" s="69"/>
    </row>
    <row r="174" spans="1:58" ht="18" hidden="1" x14ac:dyDescent="0.35">
      <c r="A174" s="86">
        <v>6272</v>
      </c>
      <c r="B174" s="10">
        <v>46071</v>
      </c>
      <c r="C174" s="11" t="s">
        <v>296</v>
      </c>
      <c r="D174" s="11" t="s">
        <v>154</v>
      </c>
      <c r="E174" s="11" t="s">
        <v>9</v>
      </c>
      <c r="F174" s="12">
        <f>1047.84-828-600-100-50-90</f>
        <v>-620.16000000000008</v>
      </c>
      <c r="G174" s="21"/>
      <c r="H174" s="14">
        <f t="shared" ref="H174" si="77">I174-F174</f>
        <v>620.24000000000012</v>
      </c>
      <c r="I174" s="14">
        <v>0.08</v>
      </c>
      <c r="J174" s="14">
        <v>1047.8399999999999</v>
      </c>
      <c r="K174" s="15" t="s">
        <v>32</v>
      </c>
      <c r="L174" s="65" t="s">
        <v>396</v>
      </c>
      <c r="M174" s="15">
        <f t="shared" ref="M174" ca="1" si="78">TODAY()-B174</f>
        <v>100</v>
      </c>
      <c r="N174" s="18">
        <v>113532.59999618263</v>
      </c>
      <c r="O174" s="18">
        <v>155.9</v>
      </c>
      <c r="AZ174" s="86" t="s">
        <v>399</v>
      </c>
      <c r="BA174" s="107">
        <v>6272</v>
      </c>
      <c r="BB174" s="86" t="s">
        <v>465</v>
      </c>
    </row>
    <row r="175" spans="1:58" ht="18" hidden="1" x14ac:dyDescent="0.35">
      <c r="A175" s="86">
        <v>6271</v>
      </c>
      <c r="B175" s="10">
        <v>46063</v>
      </c>
      <c r="C175" s="11" t="s">
        <v>287</v>
      </c>
      <c r="D175" s="11" t="s">
        <v>225</v>
      </c>
      <c r="E175" s="11" t="s">
        <v>9</v>
      </c>
      <c r="F175" s="12">
        <f>1125.224-200-298-18-100-195-150</f>
        <v>164.22399999999993</v>
      </c>
      <c r="G175" s="21"/>
      <c r="H175" s="14">
        <f t="shared" ref="H175" si="79">I175-F175</f>
        <v>392.72</v>
      </c>
      <c r="I175" s="14">
        <v>556.94399999999996</v>
      </c>
      <c r="J175" s="14">
        <v>1869.5719999999999</v>
      </c>
      <c r="K175" s="15" t="s">
        <v>32</v>
      </c>
      <c r="L175" s="65" t="s">
        <v>396</v>
      </c>
      <c r="M175" s="15">
        <f t="shared" ref="M175" ca="1" si="80">TODAY()-B175</f>
        <v>108</v>
      </c>
      <c r="N175" s="18">
        <v>104906.49999572095</v>
      </c>
      <c r="O175" s="18">
        <v>146.5</v>
      </c>
      <c r="AZ175" s="86" t="s">
        <v>399</v>
      </c>
      <c r="BA175" s="107">
        <v>6271</v>
      </c>
      <c r="BB175" s="86" t="s">
        <v>544</v>
      </c>
      <c r="BC175" s="86" t="s">
        <v>545</v>
      </c>
    </row>
    <row r="176" spans="1:58" ht="18" hidden="1" x14ac:dyDescent="0.35">
      <c r="A176" s="86">
        <v>6196</v>
      </c>
      <c r="B176" s="10">
        <v>45996</v>
      </c>
      <c r="C176" s="11" t="s">
        <v>264</v>
      </c>
      <c r="D176" s="11" t="s">
        <v>225</v>
      </c>
      <c r="E176" s="11" t="s">
        <v>227</v>
      </c>
      <c r="F176" s="12">
        <v>-59.215000000000003</v>
      </c>
      <c r="G176" s="21"/>
      <c r="H176" s="14">
        <f t="shared" ref="H176" si="81">I176-F176</f>
        <v>59.82</v>
      </c>
      <c r="I176" s="14">
        <v>0.60499999999999998</v>
      </c>
      <c r="J176" s="14">
        <v>1451.973</v>
      </c>
      <c r="K176" s="15" t="s">
        <v>136</v>
      </c>
      <c r="L176" s="65" t="s">
        <v>396</v>
      </c>
      <c r="M176" s="15">
        <f t="shared" ref="M176" ca="1" si="82">TODAY()-B176</f>
        <v>175</v>
      </c>
      <c r="N176" s="18">
        <v>101594.60000055042</v>
      </c>
      <c r="O176" s="18">
        <v>124.83448275862068</v>
      </c>
      <c r="AZ176" s="86" t="s">
        <v>399</v>
      </c>
      <c r="BA176" s="107">
        <v>6196</v>
      </c>
      <c r="BB176" s="86" t="s">
        <v>553</v>
      </c>
      <c r="BC176" s="86" t="s">
        <v>452</v>
      </c>
    </row>
    <row r="177" spans="1:55" ht="18" hidden="1" x14ac:dyDescent="0.35">
      <c r="B177" s="19"/>
      <c r="C177" s="26" t="s">
        <v>27</v>
      </c>
      <c r="D177" s="11"/>
      <c r="E177" s="11"/>
      <c r="F177" s="20">
        <f>SUBTOTAL(9,F174:F176)</f>
        <v>0</v>
      </c>
      <c r="G177" s="21">
        <f>F177</f>
        <v>0</v>
      </c>
      <c r="H177" s="20">
        <f>SUBTOTAL(9,H174:H176)</f>
        <v>0</v>
      </c>
      <c r="I177" s="20">
        <f>SUBTOTAL(9,I174:I176)</f>
        <v>0</v>
      </c>
      <c r="J177" s="20"/>
      <c r="K177" s="15"/>
      <c r="L177" s="65"/>
      <c r="M177" s="15"/>
      <c r="N177" s="69"/>
      <c r="O177" s="69"/>
      <c r="AZ177" s="86" t="s">
        <v>27</v>
      </c>
    </row>
    <row r="178" spans="1:55" ht="18" hidden="1" x14ac:dyDescent="0.35">
      <c r="B178" s="19"/>
      <c r="C178" s="26"/>
      <c r="D178" s="11"/>
      <c r="E178" s="11"/>
      <c r="F178" s="20"/>
      <c r="G178" s="21"/>
      <c r="H178" s="20"/>
      <c r="I178" s="20"/>
      <c r="J178" s="20"/>
      <c r="K178" s="15"/>
      <c r="L178" s="65"/>
      <c r="M178" s="15"/>
      <c r="N178" s="69"/>
      <c r="O178" s="69"/>
    </row>
    <row r="179" spans="1:55" ht="18" hidden="1" x14ac:dyDescent="0.35">
      <c r="A179" s="86">
        <v>6280</v>
      </c>
      <c r="B179" s="10">
        <v>46037</v>
      </c>
      <c r="C179" s="11" t="s">
        <v>275</v>
      </c>
      <c r="D179" s="11" t="s">
        <v>159</v>
      </c>
      <c r="E179" s="11" t="s">
        <v>166</v>
      </c>
      <c r="F179" s="12">
        <v>0.29299999999999998</v>
      </c>
      <c r="G179" s="13"/>
      <c r="H179" s="14">
        <f t="shared" ref="H179:H186" si="83">I179-F179</f>
        <v>36.71</v>
      </c>
      <c r="I179" s="14">
        <v>37.003</v>
      </c>
      <c r="J179" s="14">
        <v>4023.86</v>
      </c>
      <c r="K179" s="15" t="s">
        <v>167</v>
      </c>
      <c r="L179" s="65" t="s">
        <v>396</v>
      </c>
      <c r="M179" s="15">
        <f t="shared" ref="M179:M186" ca="1" si="84">TODAY()-B179</f>
        <v>134</v>
      </c>
      <c r="N179" s="18">
        <v>28833.439999404811</v>
      </c>
      <c r="O179" s="18">
        <v>40.388181818181813</v>
      </c>
      <c r="AZ179" s="86" t="s">
        <v>399</v>
      </c>
      <c r="BA179" s="107">
        <v>6280</v>
      </c>
      <c r="BB179" s="86" t="s">
        <v>554</v>
      </c>
      <c r="BC179" s="86" t="s">
        <v>555</v>
      </c>
    </row>
    <row r="180" spans="1:55" ht="18" hidden="1" x14ac:dyDescent="0.35">
      <c r="A180" s="86">
        <v>6348</v>
      </c>
      <c r="B180" s="10">
        <v>46111</v>
      </c>
      <c r="C180" s="11" t="s">
        <v>334</v>
      </c>
      <c r="D180" s="11" t="s">
        <v>159</v>
      </c>
      <c r="E180" s="11" t="s">
        <v>166</v>
      </c>
      <c r="F180" s="12">
        <f>4454.687-516-1873-486.68-244-26-30-370-30+500-48-73-263-162-425-19-500-24+115+25-26-25-20</f>
        <v>-65.993000000000166</v>
      </c>
      <c r="G180" s="13"/>
      <c r="H180" s="14">
        <f t="shared" si="83"/>
        <v>550.15200000000016</v>
      </c>
      <c r="I180" s="14">
        <v>484.15899999999999</v>
      </c>
      <c r="J180" s="14">
        <v>4454.6869999999999</v>
      </c>
      <c r="K180" s="15" t="s">
        <v>167</v>
      </c>
      <c r="L180" s="65" t="s">
        <v>396</v>
      </c>
      <c r="M180" s="15">
        <f t="shared" ca="1" si="84"/>
        <v>60</v>
      </c>
      <c r="N180" s="18">
        <v>30023.927499283338</v>
      </c>
      <c r="O180" s="18">
        <v>60.71120689655173</v>
      </c>
      <c r="AZ180" s="86" t="s">
        <v>399</v>
      </c>
      <c r="BA180" s="107">
        <v>6348</v>
      </c>
      <c r="BB180" s="86" t="s">
        <v>556</v>
      </c>
      <c r="BC180" s="86" t="s">
        <v>557</v>
      </c>
    </row>
    <row r="181" spans="1:55" ht="18" hidden="1" x14ac:dyDescent="0.35">
      <c r="A181" s="86">
        <v>6252</v>
      </c>
      <c r="B181" s="10">
        <v>46027</v>
      </c>
      <c r="C181" s="11" t="s">
        <v>273</v>
      </c>
      <c r="D181" s="11" t="s">
        <v>159</v>
      </c>
      <c r="E181" s="11" t="s">
        <v>13</v>
      </c>
      <c r="F181" s="12">
        <v>0</v>
      </c>
      <c r="G181" s="13"/>
      <c r="H181" s="14">
        <f t="shared" si="83"/>
        <v>11.332000000000001</v>
      </c>
      <c r="I181" s="14">
        <v>11.332000000000001</v>
      </c>
      <c r="J181" s="14">
        <v>10459.857</v>
      </c>
      <c r="K181" s="15" t="s">
        <v>21</v>
      </c>
      <c r="L181" s="65" t="s">
        <v>396</v>
      </c>
      <c r="M181" s="15">
        <f t="shared" ca="1" si="84"/>
        <v>144</v>
      </c>
      <c r="N181" s="18">
        <v>29548.237499999999</v>
      </c>
      <c r="O181" s="18">
        <v>30.853333333333328</v>
      </c>
      <c r="AZ181" s="86" t="s">
        <v>399</v>
      </c>
      <c r="BA181" s="107">
        <v>6252</v>
      </c>
      <c r="BB181" s="86" t="s">
        <v>558</v>
      </c>
      <c r="BC181" s="86" t="s">
        <v>559</v>
      </c>
    </row>
    <row r="182" spans="1:55" ht="18" hidden="1" x14ac:dyDescent="0.35">
      <c r="A182" s="86">
        <v>6291</v>
      </c>
      <c r="B182" s="10">
        <v>46067</v>
      </c>
      <c r="C182" s="11" t="s">
        <v>288</v>
      </c>
      <c r="D182" s="11" t="s">
        <v>159</v>
      </c>
      <c r="E182" s="11" t="s">
        <v>13</v>
      </c>
      <c r="F182" s="12">
        <v>0</v>
      </c>
      <c r="G182" s="13"/>
      <c r="H182" s="14">
        <f t="shared" si="83"/>
        <v>1.9E-2</v>
      </c>
      <c r="I182" s="14">
        <v>1.9E-2</v>
      </c>
      <c r="J182" s="14">
        <v>20118.866999999998</v>
      </c>
      <c r="K182" s="15" t="s">
        <v>21</v>
      </c>
      <c r="L182" s="65" t="s">
        <v>396</v>
      </c>
      <c r="M182" s="15">
        <f t="shared" ca="1" si="84"/>
        <v>104</v>
      </c>
      <c r="N182" s="18">
        <v>28332.895000109449</v>
      </c>
      <c r="O182" s="18">
        <v>38.032941176470594</v>
      </c>
      <c r="AZ182" s="86" t="s">
        <v>399</v>
      </c>
      <c r="BA182" s="107">
        <v>6291</v>
      </c>
      <c r="BB182" s="86" t="s">
        <v>560</v>
      </c>
      <c r="BC182" s="86" t="s">
        <v>561</v>
      </c>
    </row>
    <row r="183" spans="1:55" ht="18" hidden="1" x14ac:dyDescent="0.35">
      <c r="A183" s="86">
        <v>6385</v>
      </c>
      <c r="B183" s="10">
        <v>46121</v>
      </c>
      <c r="C183" s="11" t="s">
        <v>343</v>
      </c>
      <c r="D183" s="11" t="s">
        <v>159</v>
      </c>
      <c r="E183" s="11" t="s">
        <v>13</v>
      </c>
      <c r="F183" s="12">
        <f>2991.197-167.506-62-600-23-825-483-40-200-64-25+26-40-250-32-16</f>
        <v>189.69100000000026</v>
      </c>
      <c r="G183" s="13"/>
      <c r="H183" s="14">
        <f t="shared" si="83"/>
        <v>293.22399999999976</v>
      </c>
      <c r="I183" s="14">
        <v>482.91500000000002</v>
      </c>
      <c r="J183" s="14">
        <v>2991.1970000000001</v>
      </c>
      <c r="K183" s="15" t="s">
        <v>21</v>
      </c>
      <c r="L183" s="65" t="s">
        <v>396</v>
      </c>
      <c r="M183" s="15">
        <f t="shared" ca="1" si="84"/>
        <v>50</v>
      </c>
      <c r="N183" s="18">
        <v>71288</v>
      </c>
      <c r="O183" s="18">
        <v>66.515384615384619</v>
      </c>
      <c r="AZ183" s="86" t="s">
        <v>399</v>
      </c>
      <c r="BA183" s="107">
        <v>6385</v>
      </c>
      <c r="BB183" s="86" t="s">
        <v>562</v>
      </c>
      <c r="BC183" s="86" t="s">
        <v>563</v>
      </c>
    </row>
    <row r="184" spans="1:55" s="89" customFormat="1" ht="18" hidden="1" x14ac:dyDescent="0.35">
      <c r="A184" s="89">
        <v>6267</v>
      </c>
      <c r="B184" s="88">
        <v>46032</v>
      </c>
      <c r="C184" s="26" t="s">
        <v>274</v>
      </c>
      <c r="D184" s="26" t="s">
        <v>159</v>
      </c>
      <c r="E184" s="26" t="s">
        <v>9</v>
      </c>
      <c r="F184" s="13">
        <v>0</v>
      </c>
      <c r="G184" s="13"/>
      <c r="H184" s="21">
        <f t="shared" si="83"/>
        <v>12.464</v>
      </c>
      <c r="I184" s="21">
        <v>12.464</v>
      </c>
      <c r="J184" s="21">
        <v>4981.598</v>
      </c>
      <c r="K184" s="23" t="s">
        <v>29</v>
      </c>
      <c r="L184" s="65" t="s">
        <v>396</v>
      </c>
      <c r="M184" s="23">
        <f t="shared" ca="1" si="84"/>
        <v>139</v>
      </c>
      <c r="N184" s="18">
        <v>29393.24</v>
      </c>
      <c r="O184" s="18">
        <v>37.986538461538466</v>
      </c>
      <c r="AZ184" s="89" t="s">
        <v>399</v>
      </c>
      <c r="BA184" s="108">
        <v>6267</v>
      </c>
      <c r="BB184" s="89" t="s">
        <v>564</v>
      </c>
      <c r="BC184" s="89" t="s">
        <v>565</v>
      </c>
    </row>
    <row r="185" spans="1:55" s="89" customFormat="1" ht="18" hidden="1" x14ac:dyDescent="0.35">
      <c r="A185" s="89">
        <v>6329</v>
      </c>
      <c r="B185" s="88">
        <v>46073</v>
      </c>
      <c r="C185" s="26" t="s">
        <v>301</v>
      </c>
      <c r="D185" s="26" t="s">
        <v>159</v>
      </c>
      <c r="E185" s="26" t="s">
        <v>9</v>
      </c>
      <c r="F185" s="13">
        <f>5879.747-846-650-615-3319+1000-914+25-488+64-260-160+160</f>
        <v>-123.2529999999997</v>
      </c>
      <c r="G185" s="13"/>
      <c r="H185" s="21">
        <f t="shared" si="83"/>
        <v>145.06099999999969</v>
      </c>
      <c r="I185" s="21">
        <v>21.808</v>
      </c>
      <c r="J185" s="21">
        <v>5879.7470000000003</v>
      </c>
      <c r="K185" s="23" t="s">
        <v>152</v>
      </c>
      <c r="L185" s="65" t="s">
        <v>396</v>
      </c>
      <c r="M185" s="23">
        <f t="shared" ca="1" si="84"/>
        <v>98</v>
      </c>
      <c r="N185" s="18">
        <v>27220.000000000004</v>
      </c>
      <c r="O185" s="18">
        <v>67.10588235294118</v>
      </c>
      <c r="AZ185" s="89" t="s">
        <v>399</v>
      </c>
      <c r="BA185" s="108">
        <v>6329</v>
      </c>
      <c r="BB185" s="89" t="s">
        <v>417</v>
      </c>
      <c r="BC185" s="89" t="s">
        <v>566</v>
      </c>
    </row>
    <row r="186" spans="1:55" ht="18" hidden="1" x14ac:dyDescent="0.35">
      <c r="A186" s="86">
        <v>6263</v>
      </c>
      <c r="B186" s="10">
        <v>46010</v>
      </c>
      <c r="C186" s="11" t="s">
        <v>269</v>
      </c>
      <c r="D186" s="11" t="s">
        <v>159</v>
      </c>
      <c r="E186" s="11" t="s">
        <v>16</v>
      </c>
      <c r="F186" s="12">
        <v>0</v>
      </c>
      <c r="G186" s="13"/>
      <c r="H186" s="14">
        <f t="shared" si="83"/>
        <v>24.088000000000001</v>
      </c>
      <c r="I186" s="14">
        <v>24.088000000000001</v>
      </c>
      <c r="J186" s="14">
        <v>5242.9709999999995</v>
      </c>
      <c r="K186" s="15" t="s">
        <v>23</v>
      </c>
      <c r="L186" s="65" t="s">
        <v>396</v>
      </c>
      <c r="M186" s="15">
        <f t="shared" ca="1" si="84"/>
        <v>161</v>
      </c>
      <c r="N186" s="18">
        <v>29641.987500952378</v>
      </c>
      <c r="O186" s="18">
        <v>33.934054054054052</v>
      </c>
      <c r="AZ186" s="86" t="s">
        <v>399</v>
      </c>
      <c r="BA186" s="107">
        <v>6263</v>
      </c>
      <c r="BB186" s="86" t="s">
        <v>482</v>
      </c>
      <c r="BC186" s="86" t="s">
        <v>567</v>
      </c>
    </row>
    <row r="187" spans="1:55" ht="18" hidden="1" x14ac:dyDescent="0.35">
      <c r="A187" s="86">
        <v>6251</v>
      </c>
      <c r="B187" s="10">
        <v>46009</v>
      </c>
      <c r="C187" s="11" t="s">
        <v>270</v>
      </c>
      <c r="D187" s="11" t="s">
        <v>159</v>
      </c>
      <c r="E187" s="11" t="s">
        <v>16</v>
      </c>
      <c r="F187" s="12">
        <v>0</v>
      </c>
      <c r="G187" s="13"/>
      <c r="H187" s="14">
        <f t="shared" ref="H187:H188" si="85">I187-F187</f>
        <v>8.0000000000000002E-3</v>
      </c>
      <c r="I187" s="14">
        <v>8.0000000000000002E-3</v>
      </c>
      <c r="J187" s="14">
        <v>5185.6229999999996</v>
      </c>
      <c r="K187" s="15" t="s">
        <v>23</v>
      </c>
      <c r="L187" s="65" t="s">
        <v>396</v>
      </c>
      <c r="M187" s="15">
        <f t="shared" ref="M187:M188" ca="1" si="86">TODAY()-B187</f>
        <v>162</v>
      </c>
      <c r="N187" s="18">
        <v>28612.299999980729</v>
      </c>
      <c r="O187" s="18">
        <v>33.417741935483868</v>
      </c>
      <c r="AZ187" s="86" t="s">
        <v>399</v>
      </c>
      <c r="BA187" s="107">
        <v>6251</v>
      </c>
      <c r="BB187" s="86" t="s">
        <v>495</v>
      </c>
      <c r="BC187" s="86" t="s">
        <v>568</v>
      </c>
    </row>
    <row r="188" spans="1:55" ht="18" hidden="1" x14ac:dyDescent="0.35">
      <c r="A188" s="86">
        <v>6334</v>
      </c>
      <c r="B188" s="10">
        <v>46099</v>
      </c>
      <c r="C188" s="11" t="s">
        <v>331</v>
      </c>
      <c r="D188" s="11" t="s">
        <v>159</v>
      </c>
      <c r="E188" s="11" t="s">
        <v>16</v>
      </c>
      <c r="F188" s="12">
        <f>8521.987-80-3922-500-1461-50-22-150-170-16.102-1542-358-500-25+25-100</f>
        <v>-349.11500000000069</v>
      </c>
      <c r="G188" s="13"/>
      <c r="H188" s="14">
        <f t="shared" si="85"/>
        <v>1345.6000000000008</v>
      </c>
      <c r="I188" s="14">
        <v>996.48500000000001</v>
      </c>
      <c r="J188" s="14">
        <v>8521.9869999999992</v>
      </c>
      <c r="K188" s="15" t="s">
        <v>23</v>
      </c>
      <c r="L188" s="65" t="s">
        <v>396</v>
      </c>
      <c r="M188" s="15">
        <f t="shared" ca="1" si="86"/>
        <v>72</v>
      </c>
      <c r="N188" s="18">
        <v>29000.724999999999</v>
      </c>
      <c r="O188" s="18">
        <v>61.36774193548387</v>
      </c>
      <c r="AZ188" s="86" t="s">
        <v>399</v>
      </c>
      <c r="BA188" s="107">
        <v>6334</v>
      </c>
      <c r="BB188" s="86" t="s">
        <v>558</v>
      </c>
      <c r="BC188" s="86" t="s">
        <v>559</v>
      </c>
    </row>
    <row r="189" spans="1:55" ht="18.600000000000001" hidden="1" thickBot="1" x14ac:dyDescent="0.4">
      <c r="B189" s="19"/>
      <c r="C189" s="26" t="s">
        <v>27</v>
      </c>
      <c r="D189" s="11"/>
      <c r="E189" s="11"/>
      <c r="F189" s="20">
        <f>SUBTOTAL(9,F179:F188)</f>
        <v>0</v>
      </c>
      <c r="G189" s="21">
        <f>F189</f>
        <v>0</v>
      </c>
      <c r="H189" s="20">
        <f>SUBTOTAL(9,H179:H188)</f>
        <v>0</v>
      </c>
      <c r="I189" s="20">
        <f>SUBTOTAL(9,I179:I188)</f>
        <v>0</v>
      </c>
      <c r="J189" s="20"/>
      <c r="K189" s="33"/>
      <c r="L189" s="67"/>
      <c r="M189" s="33"/>
      <c r="N189" s="71"/>
      <c r="O189" s="71">
        <v>340.29989425974929</v>
      </c>
    </row>
    <row r="190" spans="1:55" ht="18.600000000000001" hidden="1" thickBot="1" x14ac:dyDescent="0.4">
      <c r="B190" s="36"/>
      <c r="C190" s="37" t="s">
        <v>171</v>
      </c>
      <c r="D190" s="38"/>
      <c r="E190" s="38"/>
      <c r="F190" s="39"/>
      <c r="G190" s="40">
        <f>SUM(G3:G189)</f>
        <v>12835.210000000003</v>
      </c>
      <c r="H190" s="40">
        <f>SUMIF(C2:C189,C189,H2:H189)</f>
        <v>14941.948000000002</v>
      </c>
      <c r="I190" s="40">
        <f>SUMIF(C2:C189,C189,I2:I189)</f>
        <v>27777.157999999999</v>
      </c>
      <c r="J190" s="40"/>
      <c r="K190" s="41"/>
      <c r="L190" s="68"/>
      <c r="M190" s="42"/>
      <c r="N190" s="43"/>
      <c r="O190" s="43"/>
    </row>
    <row r="191" spans="1:55" hidden="1" x14ac:dyDescent="0.35"/>
    <row r="192" spans="1:55" ht="18" x14ac:dyDescent="0.35">
      <c r="I192" s="90"/>
      <c r="J192" s="44"/>
    </row>
    <row r="193" spans="8:11" ht="18" x14ac:dyDescent="0.35">
      <c r="I193" s="90"/>
      <c r="J193" s="90"/>
    </row>
    <row r="194" spans="8:11" ht="18" x14ac:dyDescent="0.35">
      <c r="I194" s="90"/>
      <c r="J194" s="90"/>
      <c r="K194" s="99"/>
    </row>
    <row r="195" spans="8:11" ht="18" x14ac:dyDescent="0.35">
      <c r="H195" s="44"/>
      <c r="I195" s="90"/>
      <c r="J195" s="44"/>
      <c r="K195" s="99"/>
    </row>
    <row r="196" spans="8:11" x14ac:dyDescent="0.35">
      <c r="H196" s="44"/>
      <c r="I196" s="44"/>
      <c r="J196" s="44"/>
    </row>
    <row r="197" spans="8:11" x14ac:dyDescent="0.35">
      <c r="H197" s="44"/>
      <c r="I197" s="44"/>
      <c r="J197" s="44"/>
    </row>
    <row r="198" spans="8:11" x14ac:dyDescent="0.35">
      <c r="H198" s="44"/>
      <c r="I198" s="44"/>
      <c r="J198" s="44"/>
    </row>
    <row r="199" spans="8:11" x14ac:dyDescent="0.35">
      <c r="H199" s="44"/>
      <c r="I199" s="44"/>
      <c r="J199" s="44"/>
    </row>
    <row r="200" spans="8:11" x14ac:dyDescent="0.35">
      <c r="H200" s="44"/>
      <c r="I200" s="44"/>
      <c r="J200" s="44"/>
    </row>
    <row r="201" spans="8:11" x14ac:dyDescent="0.35">
      <c r="H201" s="44"/>
      <c r="I201" s="44"/>
      <c r="J201" s="44"/>
    </row>
    <row r="202" spans="8:11" x14ac:dyDescent="0.35">
      <c r="H202" s="44"/>
      <c r="I202" s="44"/>
      <c r="J202" s="44"/>
    </row>
  </sheetData>
  <autoFilter ref="A2:O191" xr:uid="{00000000-0001-0000-0100-000000000000}">
    <filterColumn colId="3">
      <customFilters>
        <customFilter operator="notEqual" val=" "/>
      </customFilters>
    </filterColumn>
    <filterColumn colId="13">
      <filters blank="1"/>
    </filterColumn>
  </autoFilter>
  <mergeCells count="1">
    <mergeCell ref="B1:M1"/>
  </mergeCells>
  <conditionalFormatting sqref="F1:F1048576 I74:J77 I114:J124 I126:J157 I162:J167">
    <cfRule type="cellIs" dxfId="35" priority="1" operator="lessThan">
      <formula>0</formula>
    </cfRule>
  </conditionalFormatting>
  <conditionalFormatting sqref="H13">
    <cfRule type="cellIs" dxfId="34" priority="184" operator="lessThan">
      <formula>0</formula>
    </cfRule>
  </conditionalFormatting>
  <conditionalFormatting sqref="H28:H29">
    <cfRule type="cellIs" dxfId="33" priority="279" operator="lessThan">
      <formula>0</formula>
    </cfRule>
  </conditionalFormatting>
  <conditionalFormatting sqref="H32:H33">
    <cfRule type="cellIs" dxfId="32" priority="81" operator="lessThan">
      <formula>0</formula>
    </cfRule>
  </conditionalFormatting>
  <conditionalFormatting sqref="H57">
    <cfRule type="cellIs" dxfId="31" priority="141" operator="lessThan">
      <formula>0</formula>
    </cfRule>
  </conditionalFormatting>
  <conditionalFormatting sqref="H81:H82">
    <cfRule type="cellIs" dxfId="30" priority="697" operator="lessThan">
      <formula>0</formula>
    </cfRule>
  </conditionalFormatting>
  <conditionalFormatting sqref="H172">
    <cfRule type="cellIs" dxfId="29" priority="144" operator="lessThan">
      <formula>0</formula>
    </cfRule>
  </conditionalFormatting>
  <conditionalFormatting sqref="H161:I161">
    <cfRule type="cellIs" dxfId="28" priority="7" operator="lessThan">
      <formula>0</formula>
    </cfRule>
  </conditionalFormatting>
  <conditionalFormatting sqref="H18:J18">
    <cfRule type="cellIs" dxfId="27" priority="49" operator="lessThan">
      <formula>0</formula>
    </cfRule>
  </conditionalFormatting>
  <conditionalFormatting sqref="H35:J36">
    <cfRule type="cellIs" dxfId="26" priority="42" operator="lessThan">
      <formula>0</formula>
    </cfRule>
  </conditionalFormatting>
  <conditionalFormatting sqref="H42:J42">
    <cfRule type="cellIs" dxfId="25" priority="203" operator="lessThan">
      <formula>0</formula>
    </cfRule>
  </conditionalFormatting>
  <conditionalFormatting sqref="H56:J56">
    <cfRule type="cellIs" dxfId="24" priority="31" operator="lessThan">
      <formula>0</formula>
    </cfRule>
  </conditionalFormatting>
  <conditionalFormatting sqref="H78:J78">
    <cfRule type="cellIs" dxfId="23" priority="355" operator="lessThan">
      <formula>0</formula>
    </cfRule>
  </conditionalFormatting>
  <conditionalFormatting sqref="H84:J84">
    <cfRule type="cellIs" dxfId="22" priority="15" operator="lessThan">
      <formula>0</formula>
    </cfRule>
  </conditionalFormatting>
  <conditionalFormatting sqref="H101:J101">
    <cfRule type="cellIs" dxfId="21" priority="583" operator="lessThan">
      <formula>0</formula>
    </cfRule>
  </conditionalFormatting>
  <conditionalFormatting sqref="H105:J105">
    <cfRule type="cellIs" dxfId="20" priority="660" operator="lessThan">
      <formula>0</formula>
    </cfRule>
  </conditionalFormatting>
  <conditionalFormatting sqref="H108:J108">
    <cfRule type="cellIs" dxfId="19" priority="291" operator="lessThan">
      <formula>0</formula>
    </cfRule>
  </conditionalFormatting>
  <conditionalFormatting sqref="H113:J113">
    <cfRule type="cellIs" dxfId="18" priority="151" operator="lessThan">
      <formula>0</formula>
    </cfRule>
  </conditionalFormatting>
  <conditionalFormatting sqref="H168:J168">
    <cfRule type="cellIs" dxfId="17" priority="220" operator="lessThan">
      <formula>0</formula>
    </cfRule>
  </conditionalFormatting>
  <conditionalFormatting sqref="H177:J177">
    <cfRule type="cellIs" dxfId="16" priority="439" operator="lessThan">
      <formula>0</formula>
    </cfRule>
  </conditionalFormatting>
  <conditionalFormatting sqref="H189:J189">
    <cfRule type="cellIs" dxfId="15" priority="780" operator="lessThan">
      <formula>0</formula>
    </cfRule>
  </conditionalFormatting>
  <conditionalFormatting sqref="I1:J17">
    <cfRule type="cellIs" dxfId="14" priority="5" operator="lessThan">
      <formula>0</formula>
    </cfRule>
  </conditionalFormatting>
  <conditionalFormatting sqref="I19:J34">
    <cfRule type="cellIs" dxfId="13" priority="29" operator="lessThan">
      <formula>0</formula>
    </cfRule>
  </conditionalFormatting>
  <conditionalFormatting sqref="I43:J52">
    <cfRule type="cellIs" dxfId="12" priority="4" operator="lessThan">
      <formula>0</formula>
    </cfRule>
  </conditionalFormatting>
  <conditionalFormatting sqref="I57:J58">
    <cfRule type="cellIs" dxfId="11" priority="310" operator="lessThan">
      <formula>0</formula>
    </cfRule>
  </conditionalFormatting>
  <conditionalFormatting sqref="I60:J62">
    <cfRule type="cellIs" dxfId="10" priority="604" operator="lessThan">
      <formula>0</formula>
    </cfRule>
  </conditionalFormatting>
  <conditionalFormatting sqref="I64:J67">
    <cfRule type="cellIs" dxfId="9" priority="2" operator="lessThan">
      <formula>0</formula>
    </cfRule>
  </conditionalFormatting>
  <conditionalFormatting sqref="I69:J72">
    <cfRule type="cellIs" dxfId="8" priority="263" operator="lessThan">
      <formula>0</formula>
    </cfRule>
  </conditionalFormatting>
  <conditionalFormatting sqref="I79:J83">
    <cfRule type="cellIs" dxfId="7" priority="17" operator="lessThan">
      <formula>0</formula>
    </cfRule>
  </conditionalFormatting>
  <conditionalFormatting sqref="I85:J100">
    <cfRule type="cellIs" dxfId="6" priority="12" operator="lessThan">
      <formula>0</formula>
    </cfRule>
  </conditionalFormatting>
  <conditionalFormatting sqref="I109:J112">
    <cfRule type="cellIs" dxfId="5" priority="14" operator="lessThan">
      <formula>0</formula>
    </cfRule>
  </conditionalFormatting>
  <conditionalFormatting sqref="I169:J176">
    <cfRule type="cellIs" dxfId="4" priority="19" operator="lessThan">
      <formula>0</formula>
    </cfRule>
  </conditionalFormatting>
  <conditionalFormatting sqref="I181:J188">
    <cfRule type="cellIs" dxfId="3" priority="13" operator="lessThan">
      <formula>0</formula>
    </cfRule>
  </conditionalFormatting>
  <conditionalFormatting sqref="K26:L26 I37:J41 I54:J54 I102:J104 I106:J107 I159:J160 I178:J178 I192 I193:J194 I195">
    <cfRule type="cellIs" dxfId="2" priority="880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C411-68DB-4893-8909-E500872076B4}">
  <sheetPr>
    <pageSetUpPr fitToPage="1"/>
  </sheetPr>
  <dimension ref="A1:BC87"/>
  <sheetViews>
    <sheetView tabSelected="1" zoomScale="90" zoomScaleNormal="90" workbookViewId="0">
      <pane ySplit="2" topLeftCell="A68" activePane="bottomLeft" state="frozen"/>
      <selection pane="bottomLeft" activeCell="A75" sqref="A3:A75"/>
    </sheetView>
  </sheetViews>
  <sheetFormatPr defaultColWidth="9.109375" defaultRowHeight="15.6" x14ac:dyDescent="0.3"/>
  <cols>
    <col min="1" max="1" width="16.109375" style="1" customWidth="1"/>
    <col min="2" max="2" width="34" customWidth="1"/>
    <col min="3" max="3" width="25.6640625" customWidth="1"/>
    <col min="4" max="4" width="14.33203125" customWidth="1"/>
    <col min="5" max="5" width="17.6640625" style="1" customWidth="1"/>
    <col min="6" max="6" width="22.6640625" customWidth="1"/>
    <col min="7" max="8" width="20.33203125" customWidth="1"/>
    <col min="9" max="9" width="26.6640625" style="1" customWidth="1"/>
    <col min="10" max="10" width="18.44140625" style="1" bestFit="1" customWidth="1"/>
    <col min="11" max="11" width="24.6640625" style="1" bestFit="1" customWidth="1"/>
    <col min="12" max="13" width="29.6640625" style="114" customWidth="1"/>
    <col min="14" max="15" width="9.109375" style="86"/>
    <col min="16" max="16" width="17.88671875" style="109" bestFit="1" customWidth="1"/>
    <col min="17" max="17" width="19.33203125" style="109" customWidth="1"/>
    <col min="18" max="18" width="17.77734375" style="109" bestFit="1" customWidth="1"/>
    <col min="19" max="50" width="9.109375" style="86"/>
    <col min="51" max="51" width="13" style="107" customWidth="1"/>
    <col min="52" max="16381" width="9.109375" style="86"/>
    <col min="16382" max="16384" width="22.5546875" style="86" customWidth="1"/>
  </cols>
  <sheetData>
    <row r="1" spans="1:55" ht="33" customHeight="1" thickBot="1" x14ac:dyDescent="0.35">
      <c r="A1" s="115" t="s">
        <v>394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10"/>
      <c r="M1" s="110"/>
    </row>
    <row r="2" spans="1:55" ht="36.6" thickBot="1" x14ac:dyDescent="0.4">
      <c r="A2" s="5" t="s">
        <v>232</v>
      </c>
      <c r="B2" s="6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7" t="s">
        <v>6</v>
      </c>
      <c r="H2" s="7" t="s">
        <v>279</v>
      </c>
      <c r="I2" s="7" t="s">
        <v>7</v>
      </c>
      <c r="J2" s="64" t="s">
        <v>397</v>
      </c>
      <c r="K2" s="62" t="s">
        <v>231</v>
      </c>
      <c r="L2" s="111" t="s">
        <v>398</v>
      </c>
      <c r="M2" s="111" t="s">
        <v>572</v>
      </c>
      <c r="N2" s="89" t="s">
        <v>571</v>
      </c>
    </row>
    <row r="3" spans="1:55" ht="18" x14ac:dyDescent="0.35">
      <c r="A3" s="10">
        <v>45983</v>
      </c>
      <c r="B3" s="80" t="s">
        <v>262</v>
      </c>
      <c r="C3" s="11" t="s">
        <v>11</v>
      </c>
      <c r="D3" s="11" t="s">
        <v>16</v>
      </c>
      <c r="E3" s="87">
        <v>0</v>
      </c>
      <c r="F3" s="14">
        <f t="shared" ref="F3:F34" si="0">G3-E3</f>
        <v>0.14000000000000001</v>
      </c>
      <c r="G3" s="14">
        <v>0.14000000000000001</v>
      </c>
      <c r="H3" s="14">
        <v>1573.43</v>
      </c>
      <c r="I3" s="15" t="s">
        <v>23</v>
      </c>
      <c r="J3" s="65" t="s">
        <v>396</v>
      </c>
      <c r="K3" s="16">
        <f ca="1">IF(E3&gt;25, TODAY()-A3, 0)</f>
        <v>0</v>
      </c>
      <c r="L3" s="112">
        <v>28549.62</v>
      </c>
      <c r="M3" s="112">
        <v>35358</v>
      </c>
      <c r="N3" s="86">
        <f>M3*1.05</f>
        <v>37125.9</v>
      </c>
      <c r="P3" s="109">
        <f>L3*E3</f>
        <v>0</v>
      </c>
      <c r="Q3" s="109">
        <f>N3*E3</f>
        <v>0</v>
      </c>
      <c r="R3" s="109">
        <f>(M3-L3)*(H3-E3)</f>
        <v>10712509.343400002</v>
      </c>
      <c r="AX3" s="86" t="s">
        <v>399</v>
      </c>
      <c r="AY3" s="107">
        <v>6243</v>
      </c>
      <c r="AZ3" s="86" t="s">
        <v>400</v>
      </c>
      <c r="BA3" s="86" t="s">
        <v>401</v>
      </c>
    </row>
    <row r="4" spans="1:55" ht="18" x14ac:dyDescent="0.35">
      <c r="A4" s="10">
        <v>46058</v>
      </c>
      <c r="B4" s="11" t="s">
        <v>285</v>
      </c>
      <c r="C4" s="11" t="s">
        <v>11</v>
      </c>
      <c r="D4" s="11" t="s">
        <v>16</v>
      </c>
      <c r="E4" s="12">
        <v>0</v>
      </c>
      <c r="F4" s="14">
        <f t="shared" si="0"/>
        <v>2.87</v>
      </c>
      <c r="G4" s="14">
        <v>2.87</v>
      </c>
      <c r="H4" s="14">
        <v>1425</v>
      </c>
      <c r="I4" s="15" t="s">
        <v>23</v>
      </c>
      <c r="J4" s="65" t="s">
        <v>396</v>
      </c>
      <c r="K4" s="16">
        <f t="shared" ref="K4:K67" ca="1" si="1">IF(E4&gt;25, TODAY()-A4, 0)</f>
        <v>0</v>
      </c>
      <c r="L4" s="112">
        <v>30212.812000000002</v>
      </c>
      <c r="M4" s="112">
        <v>38762.499999999993</v>
      </c>
      <c r="N4" s="86">
        <f t="shared" ref="M4:N67" si="2">M4*1.05</f>
        <v>40700.624999999993</v>
      </c>
      <c r="P4" s="109">
        <f t="shared" ref="P4:P67" si="3">L4*E4</f>
        <v>0</v>
      </c>
      <c r="Q4" s="109">
        <f t="shared" ref="Q4:Q67" si="4">N4*E4</f>
        <v>0</v>
      </c>
      <c r="R4" s="109">
        <f t="shared" ref="R4:R67" si="5">(M4-L4)*(H4-E4)</f>
        <v>12183305.399999987</v>
      </c>
      <c r="AX4" s="86" t="s">
        <v>399</v>
      </c>
      <c r="AY4" s="107">
        <v>6316</v>
      </c>
      <c r="AZ4" s="86" t="s">
        <v>402</v>
      </c>
      <c r="BA4" s="86" t="s">
        <v>403</v>
      </c>
    </row>
    <row r="5" spans="1:55" ht="18" x14ac:dyDescent="0.35">
      <c r="A5" s="10">
        <v>46074</v>
      </c>
      <c r="B5" s="11" t="s">
        <v>298</v>
      </c>
      <c r="C5" s="11" t="s">
        <v>11</v>
      </c>
      <c r="D5" s="11" t="s">
        <v>16</v>
      </c>
      <c r="E5" s="12">
        <v>0</v>
      </c>
      <c r="F5" s="14">
        <f t="shared" si="0"/>
        <v>29.106999999999999</v>
      </c>
      <c r="G5" s="14">
        <v>29.106999999999999</v>
      </c>
      <c r="H5" s="14">
        <v>1362.808</v>
      </c>
      <c r="I5" s="15" t="s">
        <v>23</v>
      </c>
      <c r="J5" s="65" t="s">
        <v>396</v>
      </c>
      <c r="K5" s="16">
        <f t="shared" ca="1" si="1"/>
        <v>0</v>
      </c>
      <c r="L5" s="112">
        <v>36627.980999524509</v>
      </c>
      <c r="M5" s="112">
        <v>46583.333333333336</v>
      </c>
      <c r="N5" s="86">
        <f t="shared" si="2"/>
        <v>48912.500000000007</v>
      </c>
      <c r="P5" s="109">
        <f t="shared" si="3"/>
        <v>0</v>
      </c>
      <c r="Q5" s="109">
        <f t="shared" si="4"/>
        <v>0</v>
      </c>
      <c r="R5" s="109">
        <f t="shared" si="5"/>
        <v>13567233.80333334</v>
      </c>
      <c r="AX5" s="86" t="s">
        <v>399</v>
      </c>
      <c r="AY5" s="107">
        <v>6302</v>
      </c>
      <c r="AZ5" s="86" t="s">
        <v>404</v>
      </c>
      <c r="BA5" s="86" t="s">
        <v>405</v>
      </c>
      <c r="BB5" s="86" t="s">
        <v>406</v>
      </c>
      <c r="BC5" s="86" t="s">
        <v>407</v>
      </c>
    </row>
    <row r="6" spans="1:55" ht="18" x14ac:dyDescent="0.35">
      <c r="A6" s="10">
        <v>46089</v>
      </c>
      <c r="B6" s="11" t="s">
        <v>311</v>
      </c>
      <c r="C6" s="11" t="s">
        <v>11</v>
      </c>
      <c r="D6" s="11" t="s">
        <v>16</v>
      </c>
      <c r="E6" s="12">
        <f>2002.368-50-21-100-100-50-417-120-25-170-50+245-20-20-875-20+484-45-10-25-30-96+30-155-20+25-96</f>
        <v>271.36799999999994</v>
      </c>
      <c r="F6" s="14">
        <f t="shared" si="0"/>
        <v>372.54100000000005</v>
      </c>
      <c r="G6" s="14">
        <v>643.90899999999999</v>
      </c>
      <c r="H6" s="14">
        <v>2002.3679999999999</v>
      </c>
      <c r="I6" s="15" t="s">
        <v>23</v>
      </c>
      <c r="J6" s="65" t="s">
        <v>396</v>
      </c>
      <c r="K6" s="16">
        <f t="shared" ca="1" si="1"/>
        <v>82</v>
      </c>
      <c r="L6" s="112">
        <v>35873.199996204487</v>
      </c>
      <c r="M6" s="112">
        <v>54988.461538461546</v>
      </c>
      <c r="N6" s="86">
        <f t="shared" si="2"/>
        <v>57737.884615384624</v>
      </c>
      <c r="P6" s="109">
        <f t="shared" si="3"/>
        <v>9734838.5365700163</v>
      </c>
      <c r="Q6" s="109">
        <f t="shared" si="4"/>
        <v>15668214.272307692</v>
      </c>
      <c r="R6" s="109">
        <f t="shared" si="5"/>
        <v>33088517.72964697</v>
      </c>
      <c r="AX6" s="86" t="s">
        <v>399</v>
      </c>
      <c r="AY6" s="107">
        <v>6321</v>
      </c>
      <c r="AZ6" s="86" t="s">
        <v>408</v>
      </c>
      <c r="BA6" s="86" t="s">
        <v>409</v>
      </c>
    </row>
    <row r="7" spans="1:55" ht="18" x14ac:dyDescent="0.35">
      <c r="A7" s="10">
        <v>45929</v>
      </c>
      <c r="B7" s="11" t="s">
        <v>252</v>
      </c>
      <c r="C7" s="11" t="s">
        <v>11</v>
      </c>
      <c r="D7" s="11" t="s">
        <v>19</v>
      </c>
      <c r="E7" s="12">
        <v>0</v>
      </c>
      <c r="F7" s="14">
        <f t="shared" si="0"/>
        <v>0.54</v>
      </c>
      <c r="G7" s="14">
        <v>0.54</v>
      </c>
      <c r="H7" s="14">
        <v>995.53300000000002</v>
      </c>
      <c r="I7" s="15" t="s">
        <v>290</v>
      </c>
      <c r="J7" s="65" t="s">
        <v>396</v>
      </c>
      <c r="K7" s="16">
        <f t="shared" ca="1" si="1"/>
        <v>0</v>
      </c>
      <c r="L7" s="112">
        <v>31406.49249798763</v>
      </c>
      <c r="M7" s="112">
        <v>30500</v>
      </c>
      <c r="N7" s="86">
        <f t="shared" si="2"/>
        <v>32025</v>
      </c>
      <c r="P7" s="109">
        <f t="shared" si="3"/>
        <v>0</v>
      </c>
      <c r="Q7" s="109">
        <f t="shared" si="4"/>
        <v>0</v>
      </c>
      <c r="R7" s="109">
        <f t="shared" si="5"/>
        <v>-902443.19599911978</v>
      </c>
      <c r="AX7" s="86" t="s">
        <v>399</v>
      </c>
      <c r="AY7" s="107" t="s">
        <v>411</v>
      </c>
      <c r="AZ7" s="86" t="s">
        <v>412</v>
      </c>
      <c r="BA7" s="86" t="s">
        <v>413</v>
      </c>
    </row>
    <row r="8" spans="1:55" ht="18" x14ac:dyDescent="0.35">
      <c r="A8" s="10">
        <v>46066</v>
      </c>
      <c r="B8" s="11" t="s">
        <v>289</v>
      </c>
      <c r="C8" s="11" t="s">
        <v>11</v>
      </c>
      <c r="D8" s="11" t="s">
        <v>19</v>
      </c>
      <c r="E8" s="12">
        <v>0</v>
      </c>
      <c r="F8" s="14">
        <f t="shared" si="0"/>
        <v>22.387</v>
      </c>
      <c r="G8" s="14">
        <v>22.387</v>
      </c>
      <c r="H8" s="14">
        <v>950.01199999999994</v>
      </c>
      <c r="I8" s="15" t="s">
        <v>290</v>
      </c>
      <c r="J8" s="65" t="s">
        <v>396</v>
      </c>
      <c r="K8" s="16">
        <f t="shared" ca="1" si="1"/>
        <v>0</v>
      </c>
      <c r="L8" s="112">
        <v>32103.198496440051</v>
      </c>
      <c r="M8" s="112">
        <v>41461.538461538461</v>
      </c>
      <c r="N8" s="86">
        <f t="shared" si="2"/>
        <v>43534.615384615383</v>
      </c>
      <c r="P8" s="109">
        <f t="shared" si="3"/>
        <v>0</v>
      </c>
      <c r="Q8" s="109">
        <f t="shared" si="4"/>
        <v>0</v>
      </c>
      <c r="R8" s="109">
        <f t="shared" si="5"/>
        <v>8890535.26692307</v>
      </c>
      <c r="AX8" s="86" t="s">
        <v>399</v>
      </c>
      <c r="AY8" s="107" t="s">
        <v>414</v>
      </c>
      <c r="AZ8" s="86" t="s">
        <v>415</v>
      </c>
      <c r="BA8" s="86" t="s">
        <v>416</v>
      </c>
    </row>
    <row r="9" spans="1:55" ht="18" x14ac:dyDescent="0.35">
      <c r="A9" s="10">
        <v>46118</v>
      </c>
      <c r="B9" s="11" t="s">
        <v>339</v>
      </c>
      <c r="C9" s="11" t="s">
        <v>11</v>
      </c>
      <c r="D9" s="11" t="s">
        <v>19</v>
      </c>
      <c r="E9" s="12">
        <f>1891.307-25-25-25</f>
        <v>1816.307</v>
      </c>
      <c r="F9" s="14">
        <f t="shared" si="0"/>
        <v>26.650000000000091</v>
      </c>
      <c r="G9" s="14">
        <v>1842.9570000000001</v>
      </c>
      <c r="H9" s="14">
        <v>1891.307</v>
      </c>
      <c r="I9" s="15" t="s">
        <v>290</v>
      </c>
      <c r="J9" s="65" t="s">
        <v>396</v>
      </c>
      <c r="K9" s="16">
        <f t="shared" ca="1" si="1"/>
        <v>53</v>
      </c>
      <c r="L9" s="112">
        <v>41470</v>
      </c>
      <c r="M9" s="112">
        <v>48000</v>
      </c>
      <c r="N9" s="86">
        <f t="shared" si="2"/>
        <v>50400</v>
      </c>
      <c r="P9" s="109">
        <f t="shared" si="3"/>
        <v>75322251.290000007</v>
      </c>
      <c r="Q9" s="109">
        <f t="shared" si="4"/>
        <v>91541872.799999997</v>
      </c>
      <c r="R9" s="109">
        <f t="shared" si="5"/>
        <v>489750</v>
      </c>
      <c r="AX9" s="86" t="s">
        <v>399</v>
      </c>
      <c r="AY9" s="107">
        <v>6377</v>
      </c>
      <c r="AZ9" s="86" t="s">
        <v>417</v>
      </c>
      <c r="BA9" s="86" t="s">
        <v>418</v>
      </c>
    </row>
    <row r="10" spans="1:55" ht="18" x14ac:dyDescent="0.35">
      <c r="A10" s="10">
        <v>46136</v>
      </c>
      <c r="B10" s="11" t="s">
        <v>361</v>
      </c>
      <c r="C10" s="11" t="s">
        <v>11</v>
      </c>
      <c r="D10" s="11" t="s">
        <v>9</v>
      </c>
      <c r="E10" s="12">
        <f>1890.959-507.99-262-530-484-202-70+70+120</f>
        <v>24.969000000000051</v>
      </c>
      <c r="F10" s="14">
        <f t="shared" si="0"/>
        <v>66.533999999999949</v>
      </c>
      <c r="G10" s="14">
        <v>91.503</v>
      </c>
      <c r="H10" s="14">
        <v>1890.9590000000001</v>
      </c>
      <c r="I10" s="15" t="s">
        <v>362</v>
      </c>
      <c r="J10" s="65" t="s">
        <v>396</v>
      </c>
      <c r="K10" s="16">
        <f t="shared" ca="1" si="1"/>
        <v>0</v>
      </c>
      <c r="L10" s="112">
        <v>37847.972500000003</v>
      </c>
      <c r="M10" s="112">
        <v>48333.333333333336</v>
      </c>
      <c r="N10" s="86">
        <f t="shared" si="2"/>
        <v>50750.000000000007</v>
      </c>
      <c r="P10" s="109">
        <f t="shared" si="3"/>
        <v>945026.02535250201</v>
      </c>
      <c r="Q10" s="109">
        <f t="shared" si="4"/>
        <v>1267176.7500000028</v>
      </c>
      <c r="R10" s="109">
        <f t="shared" si="5"/>
        <v>19565578.461391665</v>
      </c>
      <c r="AX10" s="86" t="s">
        <v>399</v>
      </c>
      <c r="AY10" s="107">
        <v>6395</v>
      </c>
      <c r="AZ10" s="86" t="s">
        <v>419</v>
      </c>
    </row>
    <row r="11" spans="1:55" ht="18" x14ac:dyDescent="0.35">
      <c r="A11" s="10">
        <v>46136</v>
      </c>
      <c r="B11" s="11" t="s">
        <v>360</v>
      </c>
      <c r="C11" s="11" t="s">
        <v>240</v>
      </c>
      <c r="D11" s="11" t="s">
        <v>9</v>
      </c>
      <c r="E11" s="12">
        <v>0</v>
      </c>
      <c r="F11" s="14">
        <f t="shared" si="0"/>
        <v>54.277000000000001</v>
      </c>
      <c r="G11" s="14">
        <v>54.277000000000001</v>
      </c>
      <c r="H11" s="14">
        <v>475</v>
      </c>
      <c r="I11" s="15" t="s">
        <v>32</v>
      </c>
      <c r="J11" s="65" t="s">
        <v>396</v>
      </c>
      <c r="K11" s="16">
        <f t="shared" ca="1" si="1"/>
        <v>0</v>
      </c>
      <c r="L11" s="112">
        <v>135178.45000000001</v>
      </c>
      <c r="M11" s="112">
        <v>145291.66666666666</v>
      </c>
      <c r="N11" s="86">
        <f t="shared" si="2"/>
        <v>152556.25</v>
      </c>
      <c r="P11" s="109">
        <f t="shared" si="3"/>
        <v>0</v>
      </c>
      <c r="Q11" s="109">
        <f t="shared" si="4"/>
        <v>0</v>
      </c>
      <c r="R11" s="109">
        <f t="shared" si="5"/>
        <v>4803777.9166666567</v>
      </c>
      <c r="AX11" s="86" t="s">
        <v>399</v>
      </c>
      <c r="AY11" s="107">
        <v>6365</v>
      </c>
      <c r="AZ11" s="86" t="s">
        <v>419</v>
      </c>
    </row>
    <row r="12" spans="1:55" ht="18" x14ac:dyDescent="0.35">
      <c r="A12" s="10">
        <v>46142</v>
      </c>
      <c r="B12" s="11" t="s">
        <v>365</v>
      </c>
      <c r="C12" s="11" t="s">
        <v>240</v>
      </c>
      <c r="D12" s="11" t="s">
        <v>9</v>
      </c>
      <c r="E12" s="12">
        <f>953.922-75.801-71-25-20-40</f>
        <v>722.12099999999998</v>
      </c>
      <c r="F12" s="14">
        <f t="shared" si="0"/>
        <v>46.571000000000026</v>
      </c>
      <c r="G12" s="14">
        <v>768.69200000000001</v>
      </c>
      <c r="H12" s="14">
        <v>953.92200000000003</v>
      </c>
      <c r="I12" s="15" t="s">
        <v>32</v>
      </c>
      <c r="J12" s="65" t="s">
        <v>396</v>
      </c>
      <c r="K12" s="16">
        <f t="shared" ca="1" si="1"/>
        <v>29</v>
      </c>
      <c r="L12" s="112">
        <v>138749.20000333976</v>
      </c>
      <c r="M12" s="112">
        <v>138375</v>
      </c>
      <c r="N12" s="86">
        <f t="shared" si="2"/>
        <v>145293.75</v>
      </c>
      <c r="P12" s="109">
        <f t="shared" si="3"/>
        <v>100193711.05561171</v>
      </c>
      <c r="Q12" s="109">
        <f t="shared" si="4"/>
        <v>104919668.04375</v>
      </c>
      <c r="R12" s="109">
        <f t="shared" si="5"/>
        <v>-86739.93497416054</v>
      </c>
      <c r="AX12" s="86" t="s">
        <v>399</v>
      </c>
      <c r="AY12" s="107">
        <v>6381</v>
      </c>
      <c r="AZ12" s="86" t="s">
        <v>423</v>
      </c>
      <c r="BA12" s="86" t="s">
        <v>424</v>
      </c>
    </row>
    <row r="13" spans="1:55" ht="18" x14ac:dyDescent="0.35">
      <c r="A13" s="10">
        <v>46051</v>
      </c>
      <c r="B13" s="11" t="s">
        <v>283</v>
      </c>
      <c r="C13" s="11" t="s">
        <v>46</v>
      </c>
      <c r="D13" s="11" t="s">
        <v>9</v>
      </c>
      <c r="E13" s="12">
        <v>0</v>
      </c>
      <c r="F13" s="14">
        <f t="shared" si="0"/>
        <v>24.3</v>
      </c>
      <c r="G13" s="14">
        <v>24.3</v>
      </c>
      <c r="H13" s="14">
        <v>1894.95</v>
      </c>
      <c r="I13" s="15" t="s">
        <v>32</v>
      </c>
      <c r="J13" s="65" t="s">
        <v>396</v>
      </c>
      <c r="K13" s="16">
        <f t="shared" ca="1" si="1"/>
        <v>0</v>
      </c>
      <c r="L13" s="112">
        <v>69118.005599531913</v>
      </c>
      <c r="M13" s="112">
        <v>97307.14285714287</v>
      </c>
      <c r="N13" s="86">
        <f t="shared" si="2"/>
        <v>102172.50000000001</v>
      </c>
      <c r="P13" s="109">
        <f t="shared" si="3"/>
        <v>0</v>
      </c>
      <c r="Q13" s="109">
        <f t="shared" si="4"/>
        <v>0</v>
      </c>
      <c r="R13" s="109">
        <f t="shared" si="5"/>
        <v>53417005.646309882</v>
      </c>
      <c r="AX13" s="86" t="s">
        <v>399</v>
      </c>
      <c r="AY13" s="107">
        <v>6259</v>
      </c>
      <c r="AZ13" s="86" t="s">
        <v>429</v>
      </c>
      <c r="BA13" s="86" t="s">
        <v>430</v>
      </c>
    </row>
    <row r="14" spans="1:55" ht="18" x14ac:dyDescent="0.35">
      <c r="A14" s="10">
        <v>46125</v>
      </c>
      <c r="B14" s="11" t="s">
        <v>348</v>
      </c>
      <c r="C14" s="11" t="s">
        <v>46</v>
      </c>
      <c r="D14" s="11" t="s">
        <v>9</v>
      </c>
      <c r="E14" s="13">
        <f>164.975-50</f>
        <v>114.97499999999999</v>
      </c>
      <c r="F14" s="14">
        <f t="shared" si="0"/>
        <v>0.4100000000000108</v>
      </c>
      <c r="G14" s="14">
        <v>115.38500000000001</v>
      </c>
      <c r="H14" s="14">
        <v>190.678</v>
      </c>
      <c r="I14" s="15" t="s">
        <v>32</v>
      </c>
      <c r="J14" s="65" t="s">
        <v>396</v>
      </c>
      <c r="K14" s="16">
        <f t="shared" ca="1" si="1"/>
        <v>46</v>
      </c>
      <c r="L14" s="112">
        <v>122399.73526049151</v>
      </c>
      <c r="M14" s="112">
        <v>130500</v>
      </c>
      <c r="N14" s="86">
        <f t="shared" si="2"/>
        <v>137025</v>
      </c>
      <c r="P14" s="109">
        <f t="shared" si="3"/>
        <v>14072909.56157501</v>
      </c>
      <c r="Q14" s="109">
        <f t="shared" si="4"/>
        <v>15754449.375</v>
      </c>
      <c r="R14" s="109">
        <f t="shared" si="5"/>
        <v>613214.34157501149</v>
      </c>
      <c r="AX14" s="86" t="s">
        <v>399</v>
      </c>
      <c r="AY14" s="107">
        <v>6382</v>
      </c>
      <c r="AZ14" s="86" t="s">
        <v>429</v>
      </c>
      <c r="BA14" s="86" t="s">
        <v>430</v>
      </c>
    </row>
    <row r="15" spans="1:55" ht="18" x14ac:dyDescent="0.35">
      <c r="A15" s="10">
        <v>46136</v>
      </c>
      <c r="B15" s="11" t="s">
        <v>359</v>
      </c>
      <c r="C15" s="11" t="s">
        <v>46</v>
      </c>
      <c r="D15" s="11" t="s">
        <v>9</v>
      </c>
      <c r="E15" s="12">
        <v>0</v>
      </c>
      <c r="F15" s="14">
        <f t="shared" si="0"/>
        <v>584.10900000000004</v>
      </c>
      <c r="G15" s="14">
        <v>584.10900000000004</v>
      </c>
      <c r="H15" s="14">
        <v>1499.963</v>
      </c>
      <c r="I15" s="15" t="s">
        <v>29</v>
      </c>
      <c r="J15" s="65" t="s">
        <v>396</v>
      </c>
      <c r="K15" s="16">
        <f t="shared" ca="1" si="1"/>
        <v>0</v>
      </c>
      <c r="L15" s="112">
        <v>119875.24999616656</v>
      </c>
      <c r="M15" s="112">
        <v>118458.33333333333</v>
      </c>
      <c r="N15" s="86">
        <f t="shared" si="2"/>
        <v>124381.25</v>
      </c>
      <c r="P15" s="109">
        <f t="shared" si="3"/>
        <v>0</v>
      </c>
      <c r="Q15" s="109">
        <f t="shared" si="4"/>
        <v>0</v>
      </c>
      <c r="R15" s="109">
        <f t="shared" si="5"/>
        <v>-2125322.5683333222</v>
      </c>
      <c r="AX15" s="86" t="s">
        <v>399</v>
      </c>
      <c r="AY15" s="107">
        <v>6364</v>
      </c>
      <c r="AZ15" s="86" t="s">
        <v>419</v>
      </c>
    </row>
    <row r="16" spans="1:55" ht="18" x14ac:dyDescent="0.35">
      <c r="A16" s="10">
        <v>46148</v>
      </c>
      <c r="B16" s="11" t="s">
        <v>372</v>
      </c>
      <c r="C16" s="11" t="s">
        <v>46</v>
      </c>
      <c r="D16" s="11" t="s">
        <v>9</v>
      </c>
      <c r="E16" s="12">
        <f>1890.449-45-16-13-16-63-16-244</f>
        <v>1477.4490000000001</v>
      </c>
      <c r="F16" s="14">
        <f t="shared" si="0"/>
        <v>413</v>
      </c>
      <c r="G16" s="14">
        <v>1890.4490000000001</v>
      </c>
      <c r="H16" s="14">
        <v>1890.4490000000001</v>
      </c>
      <c r="I16" s="15" t="s">
        <v>276</v>
      </c>
      <c r="J16" s="65" t="s">
        <v>396</v>
      </c>
      <c r="K16" s="16">
        <f t="shared" ca="1" si="1"/>
        <v>23</v>
      </c>
      <c r="L16" s="112">
        <v>115240.48080034263</v>
      </c>
      <c r="M16" s="112">
        <v>120500</v>
      </c>
      <c r="N16" s="86">
        <f t="shared" si="2"/>
        <v>126525</v>
      </c>
      <c r="P16" s="109">
        <f t="shared" si="3"/>
        <v>170261933.11798543</v>
      </c>
      <c r="Q16" s="109">
        <f t="shared" si="4"/>
        <v>186934234.72499999</v>
      </c>
      <c r="R16" s="109">
        <f t="shared" si="5"/>
        <v>2172181.4294584938</v>
      </c>
      <c r="AX16" s="86" t="s">
        <v>399</v>
      </c>
      <c r="AY16" s="107">
        <v>6349</v>
      </c>
      <c r="AZ16" s="86" t="s">
        <v>404</v>
      </c>
      <c r="BA16" s="86" t="s">
        <v>405</v>
      </c>
      <c r="BB16" s="86" t="s">
        <v>406</v>
      </c>
      <c r="BC16" s="86" t="s">
        <v>407</v>
      </c>
    </row>
    <row r="17" spans="1:53" ht="18" x14ac:dyDescent="0.35">
      <c r="A17" s="10">
        <v>45948</v>
      </c>
      <c r="B17" s="11" t="s">
        <v>254</v>
      </c>
      <c r="C17" s="11" t="s">
        <v>46</v>
      </c>
      <c r="D17" s="11" t="s">
        <v>19</v>
      </c>
      <c r="E17" s="12">
        <v>2.42</v>
      </c>
      <c r="F17" s="14">
        <f t="shared" si="0"/>
        <v>0</v>
      </c>
      <c r="G17" s="14">
        <v>2.42</v>
      </c>
      <c r="H17" s="14">
        <v>646.42700000000002</v>
      </c>
      <c r="I17" s="15" t="s">
        <v>26</v>
      </c>
      <c r="J17" s="65" t="s">
        <v>396</v>
      </c>
      <c r="K17" s="16">
        <f t="shared" ca="1" si="1"/>
        <v>0</v>
      </c>
      <c r="L17" s="112">
        <v>68975.426198724832</v>
      </c>
      <c r="M17" s="112">
        <v>79182.5</v>
      </c>
      <c r="N17" s="86">
        <f t="shared" si="2"/>
        <v>83141.625</v>
      </c>
      <c r="P17" s="109">
        <f t="shared" si="3"/>
        <v>166920.5314009141</v>
      </c>
      <c r="Q17" s="109">
        <f t="shared" si="4"/>
        <v>201202.73249999998</v>
      </c>
      <c r="R17" s="109">
        <f t="shared" si="5"/>
        <v>6573426.9775378183</v>
      </c>
      <c r="AX17" s="86" t="s">
        <v>399</v>
      </c>
      <c r="AY17" s="107">
        <v>6181</v>
      </c>
      <c r="AZ17" s="86" t="s">
        <v>431</v>
      </c>
      <c r="BA17" s="86" t="s">
        <v>432</v>
      </c>
    </row>
    <row r="18" spans="1:53" ht="18" x14ac:dyDescent="0.35">
      <c r="A18" s="10">
        <v>46098</v>
      </c>
      <c r="B18" s="11" t="s">
        <v>329</v>
      </c>
      <c r="C18" s="11" t="s">
        <v>46</v>
      </c>
      <c r="D18" s="11" t="s">
        <v>19</v>
      </c>
      <c r="E18" s="12">
        <f>665.028-21-101-60+30-10-100-116+165+100-9-75-22-135-50+21+50-10-30-50-127+50-70</f>
        <v>95.02800000000002</v>
      </c>
      <c r="F18" s="14">
        <f t="shared" si="0"/>
        <v>134.04</v>
      </c>
      <c r="G18" s="14">
        <v>229.06800000000001</v>
      </c>
      <c r="H18" s="14">
        <v>665.02800000000002</v>
      </c>
      <c r="I18" s="15" t="s">
        <v>319</v>
      </c>
      <c r="J18" s="65" t="s">
        <v>396</v>
      </c>
      <c r="K18" s="16">
        <f t="shared" ca="1" si="1"/>
        <v>73</v>
      </c>
      <c r="L18" s="112">
        <v>80021.287504684806</v>
      </c>
      <c r="M18" s="112">
        <v>121314.28571428571</v>
      </c>
      <c r="N18" s="86">
        <f t="shared" si="2"/>
        <v>127380</v>
      </c>
      <c r="P18" s="109">
        <f t="shared" si="3"/>
        <v>7604262.9089951897</v>
      </c>
      <c r="Q18" s="109">
        <f t="shared" si="4"/>
        <v>12104666.640000002</v>
      </c>
      <c r="R18" s="109">
        <f t="shared" si="5"/>
        <v>23537008.979472514</v>
      </c>
      <c r="AX18" s="86" t="s">
        <v>399</v>
      </c>
      <c r="AY18" s="107">
        <v>6356</v>
      </c>
      <c r="AZ18" s="86" t="s">
        <v>433</v>
      </c>
      <c r="BA18" s="86" t="s">
        <v>434</v>
      </c>
    </row>
    <row r="19" spans="1:53" ht="18" x14ac:dyDescent="0.35">
      <c r="A19" s="10">
        <v>45903</v>
      </c>
      <c r="B19" s="11" t="s">
        <v>244</v>
      </c>
      <c r="C19" s="11" t="s">
        <v>234</v>
      </c>
      <c r="D19" s="11" t="s">
        <v>9</v>
      </c>
      <c r="E19" s="12">
        <v>0</v>
      </c>
      <c r="F19" s="14">
        <f t="shared" si="0"/>
        <v>54.613</v>
      </c>
      <c r="G19" s="14">
        <v>54.613</v>
      </c>
      <c r="H19" s="14">
        <v>945.69399999999996</v>
      </c>
      <c r="I19" s="15" t="s">
        <v>245</v>
      </c>
      <c r="J19" s="65" t="s">
        <v>396</v>
      </c>
      <c r="K19" s="16">
        <f t="shared" ca="1" si="1"/>
        <v>0</v>
      </c>
      <c r="L19" s="112">
        <v>97203.575602479716</v>
      </c>
      <c r="M19" s="112">
        <v>125863.23529411765</v>
      </c>
      <c r="N19" s="86">
        <f t="shared" si="2"/>
        <v>132156.39705882352</v>
      </c>
      <c r="P19" s="109">
        <f t="shared" si="3"/>
        <v>0</v>
      </c>
      <c r="Q19" s="109">
        <f t="shared" si="4"/>
        <v>0</v>
      </c>
      <c r="R19" s="109">
        <f t="shared" si="5"/>
        <v>27103268.212423842</v>
      </c>
      <c r="AX19" s="86" t="s">
        <v>399</v>
      </c>
      <c r="AY19" s="107">
        <v>6074</v>
      </c>
      <c r="AZ19" s="86" t="s">
        <v>441</v>
      </c>
      <c r="BA19" s="86" t="s">
        <v>442</v>
      </c>
    </row>
    <row r="20" spans="1:53" ht="18" x14ac:dyDescent="0.35">
      <c r="A20" s="10">
        <v>45901</v>
      </c>
      <c r="B20" s="11" t="s">
        <v>241</v>
      </c>
      <c r="C20" s="11" t="s">
        <v>242</v>
      </c>
      <c r="D20" s="11" t="s">
        <v>9</v>
      </c>
      <c r="E20" s="12">
        <v>0</v>
      </c>
      <c r="F20" s="14">
        <f t="shared" si="0"/>
        <v>2.0670000000000002</v>
      </c>
      <c r="G20" s="14">
        <v>2.0670000000000002</v>
      </c>
      <c r="H20" s="14">
        <v>1988.6969999999999</v>
      </c>
      <c r="I20" s="15" t="s">
        <v>47</v>
      </c>
      <c r="J20" s="65" t="s">
        <v>396</v>
      </c>
      <c r="K20" s="16">
        <f t="shared" ca="1" si="1"/>
        <v>0</v>
      </c>
      <c r="L20" s="112">
        <v>76781.866500553791</v>
      </c>
      <c r="M20" s="112">
        <v>86766.666666666672</v>
      </c>
      <c r="N20" s="86">
        <f t="shared" si="2"/>
        <v>91105.000000000015</v>
      </c>
      <c r="P20" s="109">
        <f t="shared" si="3"/>
        <v>0</v>
      </c>
      <c r="Q20" s="109">
        <f t="shared" si="4"/>
        <v>0</v>
      </c>
      <c r="R20" s="109">
        <f t="shared" si="5"/>
        <v>19856742.135948185</v>
      </c>
      <c r="AX20" s="86" t="s">
        <v>399</v>
      </c>
      <c r="AY20" s="107">
        <v>6070</v>
      </c>
      <c r="AZ20" s="86" t="s">
        <v>400</v>
      </c>
      <c r="BA20" s="86" t="s">
        <v>445</v>
      </c>
    </row>
    <row r="21" spans="1:53" ht="18" x14ac:dyDescent="0.35">
      <c r="A21" s="10">
        <v>45936</v>
      </c>
      <c r="B21" s="11" t="s">
        <v>251</v>
      </c>
      <c r="C21" s="11" t="s">
        <v>53</v>
      </c>
      <c r="D21" s="11" t="s">
        <v>9</v>
      </c>
      <c r="E21" s="12">
        <v>0</v>
      </c>
      <c r="F21" s="14">
        <f t="shared" si="0"/>
        <v>10.446</v>
      </c>
      <c r="G21" s="14">
        <v>10.446</v>
      </c>
      <c r="H21" s="14">
        <v>1498.79</v>
      </c>
      <c r="I21" s="15" t="s">
        <v>32</v>
      </c>
      <c r="J21" s="65" t="s">
        <v>396</v>
      </c>
      <c r="K21" s="16">
        <f t="shared" ca="1" si="1"/>
        <v>0</v>
      </c>
      <c r="L21" s="112">
        <v>81078.699998206124</v>
      </c>
      <c r="M21" s="112">
        <v>94012.195121951227</v>
      </c>
      <c r="N21" s="86">
        <f t="shared" si="2"/>
        <v>98712.804878048788</v>
      </c>
      <c r="P21" s="109">
        <f t="shared" si="3"/>
        <v>0</v>
      </c>
      <c r="Q21" s="109">
        <f t="shared" si="4"/>
        <v>0</v>
      </c>
      <c r="R21" s="109">
        <f t="shared" si="5"/>
        <v>19384593.156517923</v>
      </c>
      <c r="AX21" s="86" t="s">
        <v>399</v>
      </c>
      <c r="AY21" s="107" t="s">
        <v>446</v>
      </c>
      <c r="AZ21" s="86" t="s">
        <v>447</v>
      </c>
      <c r="BA21" s="86" t="s">
        <v>448</v>
      </c>
    </row>
    <row r="22" spans="1:53" ht="18" x14ac:dyDescent="0.35">
      <c r="A22" s="10">
        <v>45978</v>
      </c>
      <c r="B22" s="11" t="s">
        <v>258</v>
      </c>
      <c r="C22" s="11" t="s">
        <v>53</v>
      </c>
      <c r="D22" s="11" t="s">
        <v>9</v>
      </c>
      <c r="E22" s="13">
        <v>0</v>
      </c>
      <c r="F22" s="14">
        <f t="shared" si="0"/>
        <v>75.727000000000004</v>
      </c>
      <c r="G22" s="14">
        <v>75.727000000000004</v>
      </c>
      <c r="H22" s="14">
        <v>473.96699999999998</v>
      </c>
      <c r="I22" s="15" t="s">
        <v>32</v>
      </c>
      <c r="J22" s="65" t="s">
        <v>570</v>
      </c>
      <c r="K22" s="16">
        <f t="shared" ca="1" si="1"/>
        <v>0</v>
      </c>
      <c r="L22" s="112">
        <v>74825.100000000006</v>
      </c>
      <c r="M22" s="112">
        <v>80453.125</v>
      </c>
      <c r="N22" s="86">
        <f t="shared" si="2"/>
        <v>84475.78125</v>
      </c>
      <c r="P22" s="109">
        <f t="shared" si="3"/>
        <v>0</v>
      </c>
      <c r="Q22" s="109">
        <f t="shared" si="4"/>
        <v>0</v>
      </c>
      <c r="R22" s="109">
        <f t="shared" si="5"/>
        <v>2667498.1251749974</v>
      </c>
      <c r="AX22" s="86" t="s">
        <v>399</v>
      </c>
      <c r="AY22" s="107">
        <v>6233</v>
      </c>
      <c r="AZ22" s="86" t="s">
        <v>400</v>
      </c>
      <c r="BA22" s="86" t="s">
        <v>449</v>
      </c>
    </row>
    <row r="23" spans="1:53" ht="18" x14ac:dyDescent="0.35">
      <c r="A23" s="10">
        <v>46098</v>
      </c>
      <c r="B23" s="11" t="s">
        <v>327</v>
      </c>
      <c r="C23" s="11" t="s">
        <v>53</v>
      </c>
      <c r="D23" s="11" t="s">
        <v>19</v>
      </c>
      <c r="E23" s="12">
        <v>0</v>
      </c>
      <c r="F23" s="14">
        <f t="shared" si="0"/>
        <v>297.60199999999998</v>
      </c>
      <c r="G23" s="14">
        <v>297.60199999999998</v>
      </c>
      <c r="H23" s="14">
        <v>1896.9870000000001</v>
      </c>
      <c r="I23" s="15" t="s">
        <v>328</v>
      </c>
      <c r="J23" s="65" t="s">
        <v>396</v>
      </c>
      <c r="K23" s="16">
        <f t="shared" ca="1" si="1"/>
        <v>0</v>
      </c>
      <c r="L23" s="112">
        <v>82696.160000756689</v>
      </c>
      <c r="M23" s="112">
        <v>135746.15384615384</v>
      </c>
      <c r="N23" s="86">
        <f t="shared" si="2"/>
        <v>142533.46153846153</v>
      </c>
      <c r="P23" s="109">
        <f t="shared" si="3"/>
        <v>0</v>
      </c>
      <c r="Q23" s="109">
        <f t="shared" si="4"/>
        <v>0</v>
      </c>
      <c r="R23" s="109">
        <f t="shared" si="5"/>
        <v>100635148.67479841</v>
      </c>
      <c r="AX23" s="86" t="s">
        <v>399</v>
      </c>
      <c r="AY23" s="107">
        <v>6355</v>
      </c>
      <c r="AZ23" s="86" t="s">
        <v>433</v>
      </c>
      <c r="BA23" s="86" t="s">
        <v>434</v>
      </c>
    </row>
    <row r="24" spans="1:53" ht="18" x14ac:dyDescent="0.35">
      <c r="A24" s="10">
        <v>45905</v>
      </c>
      <c r="B24" s="26" t="s">
        <v>243</v>
      </c>
      <c r="C24" s="11" t="s">
        <v>67</v>
      </c>
      <c r="D24" s="11" t="s">
        <v>9</v>
      </c>
      <c r="E24" s="13">
        <f>306.391-25+25</f>
        <v>306.39100000000002</v>
      </c>
      <c r="F24" s="14">
        <f t="shared" si="0"/>
        <v>2.7399999999999523</v>
      </c>
      <c r="G24" s="14">
        <v>309.13099999999997</v>
      </c>
      <c r="H24" s="14">
        <v>1890.7629999999999</v>
      </c>
      <c r="I24" s="15" t="s">
        <v>238</v>
      </c>
      <c r="J24" s="65" t="s">
        <v>396</v>
      </c>
      <c r="K24" s="16">
        <f t="shared" ca="1" si="1"/>
        <v>266</v>
      </c>
      <c r="L24" s="112">
        <v>85783.554520907652</v>
      </c>
      <c r="M24" s="112">
        <v>93039.062499999971</v>
      </c>
      <c r="N24" s="86">
        <f t="shared" si="2"/>
        <v>97691.015624999971</v>
      </c>
      <c r="P24" s="109">
        <f t="shared" si="3"/>
        <v>26283309.053215418</v>
      </c>
      <c r="Q24" s="109">
        <f t="shared" si="4"/>
        <v>29931647.96835937</v>
      </c>
      <c r="R24" s="109">
        <f t="shared" si="5"/>
        <v>11495423.687850455</v>
      </c>
      <c r="AX24" s="86" t="s">
        <v>399</v>
      </c>
      <c r="AY24" s="107">
        <v>6072</v>
      </c>
      <c r="AZ24" s="86" t="s">
        <v>441</v>
      </c>
      <c r="BA24" s="86" t="s">
        <v>442</v>
      </c>
    </row>
    <row r="25" spans="1:53" ht="18" x14ac:dyDescent="0.35">
      <c r="A25" s="10">
        <v>46123</v>
      </c>
      <c r="B25" s="11" t="s">
        <v>345</v>
      </c>
      <c r="C25" s="11" t="s">
        <v>67</v>
      </c>
      <c r="D25" s="11" t="s">
        <v>9</v>
      </c>
      <c r="E25" s="12">
        <f>238.948-80-21-90+11+21</f>
        <v>79.948000000000008</v>
      </c>
      <c r="F25" s="14">
        <f t="shared" si="0"/>
        <v>74.87</v>
      </c>
      <c r="G25" s="14">
        <v>154.81800000000001</v>
      </c>
      <c r="H25" s="14">
        <v>240</v>
      </c>
      <c r="I25" s="15" t="s">
        <v>32</v>
      </c>
      <c r="J25" s="65" t="s">
        <v>396</v>
      </c>
      <c r="K25" s="16">
        <f t="shared" ca="1" si="1"/>
        <v>48</v>
      </c>
      <c r="L25" s="112">
        <v>122996.25</v>
      </c>
      <c r="M25" s="112">
        <v>168116.66666666669</v>
      </c>
      <c r="N25" s="86">
        <f t="shared" si="2"/>
        <v>176522.50000000003</v>
      </c>
      <c r="P25" s="109">
        <f t="shared" si="3"/>
        <v>9833304.1950000003</v>
      </c>
      <c r="Q25" s="109">
        <f t="shared" si="4"/>
        <v>14112620.830000004</v>
      </c>
      <c r="R25" s="109">
        <f t="shared" si="5"/>
        <v>7221612.9283333365</v>
      </c>
      <c r="AX25" s="86" t="s">
        <v>399</v>
      </c>
      <c r="AY25" s="107">
        <v>6371</v>
      </c>
      <c r="AZ25" s="86" t="s">
        <v>454</v>
      </c>
      <c r="BA25" s="86">
        <v>1</v>
      </c>
    </row>
    <row r="26" spans="1:53" ht="18" x14ac:dyDescent="0.35">
      <c r="A26" s="10">
        <v>46131</v>
      </c>
      <c r="B26" s="11" t="s">
        <v>354</v>
      </c>
      <c r="C26" s="11" t="s">
        <v>67</v>
      </c>
      <c r="D26" s="11" t="s">
        <v>9</v>
      </c>
      <c r="E26" s="12">
        <v>0</v>
      </c>
      <c r="F26" s="14">
        <f t="shared" si="0"/>
        <v>454.39699999999999</v>
      </c>
      <c r="G26" s="14">
        <v>454.39699999999999</v>
      </c>
      <c r="H26" s="14">
        <v>498.637</v>
      </c>
      <c r="I26" s="15" t="s">
        <v>32</v>
      </c>
      <c r="J26" s="65" t="s">
        <v>396</v>
      </c>
      <c r="K26" s="16">
        <f t="shared" ca="1" si="1"/>
        <v>0</v>
      </c>
      <c r="L26" s="112">
        <v>158133.30000520751</v>
      </c>
      <c r="M26" s="112">
        <v>168125</v>
      </c>
      <c r="N26" s="86">
        <f t="shared" si="2"/>
        <v>176531.25</v>
      </c>
      <c r="P26" s="109">
        <f t="shared" si="3"/>
        <v>0</v>
      </c>
      <c r="Q26" s="109">
        <f t="shared" si="4"/>
        <v>0</v>
      </c>
      <c r="R26" s="109">
        <f t="shared" si="5"/>
        <v>4982231.3103033444</v>
      </c>
      <c r="AX26" s="86" t="s">
        <v>399</v>
      </c>
      <c r="AY26" s="107">
        <v>6378</v>
      </c>
      <c r="AZ26" s="86" t="s">
        <v>455</v>
      </c>
      <c r="BA26" s="86" t="s">
        <v>456</v>
      </c>
    </row>
    <row r="27" spans="1:53" ht="18" x14ac:dyDescent="0.35">
      <c r="A27" s="10">
        <v>46098</v>
      </c>
      <c r="B27" s="11" t="s">
        <v>330</v>
      </c>
      <c r="C27" s="11" t="s">
        <v>67</v>
      </c>
      <c r="D27" s="11" t="s">
        <v>19</v>
      </c>
      <c r="E27" s="12">
        <v>0</v>
      </c>
      <c r="F27" s="14">
        <f t="shared" si="0"/>
        <v>2.2989999999999999</v>
      </c>
      <c r="G27" s="14">
        <v>2.2989999999999999</v>
      </c>
      <c r="H27" s="14">
        <v>475.56900000000002</v>
      </c>
      <c r="I27" s="15" t="s">
        <v>319</v>
      </c>
      <c r="J27" s="65" t="s">
        <v>235</v>
      </c>
      <c r="K27" s="16">
        <f t="shared" ca="1" si="1"/>
        <v>0</v>
      </c>
      <c r="L27" s="112">
        <v>80483.78748986336</v>
      </c>
      <c r="M27" s="112">
        <v>149242.85714285716</v>
      </c>
      <c r="N27" s="86">
        <f t="shared" si="2"/>
        <v>156705.00000000003</v>
      </c>
      <c r="P27" s="109">
        <f t="shared" si="3"/>
        <v>0</v>
      </c>
      <c r="Q27" s="109">
        <f t="shared" si="4"/>
        <v>0</v>
      </c>
      <c r="R27" s="109">
        <f t="shared" si="5"/>
        <v>32699681.995804608</v>
      </c>
      <c r="AX27" s="86" t="s">
        <v>399</v>
      </c>
      <c r="AY27" s="107">
        <v>6357</v>
      </c>
      <c r="AZ27" s="86" t="s">
        <v>433</v>
      </c>
      <c r="BA27" s="86" t="s">
        <v>434</v>
      </c>
    </row>
    <row r="28" spans="1:53" ht="18" x14ac:dyDescent="0.35">
      <c r="A28" s="10">
        <v>46156</v>
      </c>
      <c r="B28" s="11" t="s">
        <v>379</v>
      </c>
      <c r="C28" s="11" t="s">
        <v>230</v>
      </c>
      <c r="D28" s="11" t="s">
        <v>13</v>
      </c>
      <c r="E28" s="14">
        <v>0</v>
      </c>
      <c r="F28" s="14">
        <f t="shared" si="0"/>
        <v>177.042</v>
      </c>
      <c r="G28" s="14">
        <v>177.042</v>
      </c>
      <c r="H28" s="14">
        <v>305.59199999999998</v>
      </c>
      <c r="I28" s="15" t="s">
        <v>21</v>
      </c>
      <c r="J28" s="65" t="s">
        <v>396</v>
      </c>
      <c r="K28" s="16">
        <f t="shared" ca="1" si="1"/>
        <v>0</v>
      </c>
      <c r="L28" s="112">
        <v>115522.70162041044</v>
      </c>
      <c r="M28" s="112">
        <v>135388.88888888888</v>
      </c>
      <c r="N28" s="86">
        <f t="shared" si="2"/>
        <v>142158.33333333331</v>
      </c>
      <c r="P28" s="109">
        <f t="shared" si="3"/>
        <v>0</v>
      </c>
      <c r="Q28" s="109">
        <f t="shared" si="4"/>
        <v>0</v>
      </c>
      <c r="R28" s="109">
        <f t="shared" si="5"/>
        <v>6070947.8997488609</v>
      </c>
      <c r="AX28" s="86" t="s">
        <v>399</v>
      </c>
      <c r="AY28" s="107">
        <v>6401</v>
      </c>
      <c r="AZ28" s="86" t="s">
        <v>441</v>
      </c>
      <c r="BA28" s="86" t="s">
        <v>467</v>
      </c>
    </row>
    <row r="29" spans="1:53" ht="18" x14ac:dyDescent="0.35">
      <c r="A29" s="10">
        <v>46161</v>
      </c>
      <c r="B29" s="11" t="s">
        <v>380</v>
      </c>
      <c r="C29" s="11" t="s">
        <v>233</v>
      </c>
      <c r="D29" s="11" t="s">
        <v>9</v>
      </c>
      <c r="E29" s="14">
        <f>734.477-153.14</f>
        <v>581.33699999999999</v>
      </c>
      <c r="F29" s="14">
        <f t="shared" si="0"/>
        <v>87.639999999999986</v>
      </c>
      <c r="G29" s="14">
        <v>668.97699999999998</v>
      </c>
      <c r="H29" s="14">
        <v>734.47699999999998</v>
      </c>
      <c r="I29" s="15" t="s">
        <v>29</v>
      </c>
      <c r="J29" s="65" t="s">
        <v>396</v>
      </c>
      <c r="K29" s="16">
        <f t="shared" ca="1" si="1"/>
        <v>10</v>
      </c>
      <c r="L29" s="112">
        <v>62954.159000213767</v>
      </c>
      <c r="M29" s="112">
        <v>112000</v>
      </c>
      <c r="N29" s="86">
        <f t="shared" si="2"/>
        <v>117600</v>
      </c>
      <c r="P29" s="109">
        <f t="shared" si="3"/>
        <v>36597581.930707268</v>
      </c>
      <c r="Q29" s="109">
        <f t="shared" si="4"/>
        <v>68365231.200000003</v>
      </c>
      <c r="R29" s="109">
        <f t="shared" si="5"/>
        <v>7510880.090707263</v>
      </c>
      <c r="AX29" s="86" t="s">
        <v>399</v>
      </c>
      <c r="AY29" s="107">
        <v>6335</v>
      </c>
      <c r="AZ29" s="86" t="s">
        <v>400</v>
      </c>
      <c r="BA29" s="86" t="s">
        <v>459</v>
      </c>
    </row>
    <row r="30" spans="1:53" ht="18" x14ac:dyDescent="0.35">
      <c r="A30" s="10">
        <v>46127</v>
      </c>
      <c r="B30" s="11" t="s">
        <v>349</v>
      </c>
      <c r="C30" s="11" t="s">
        <v>82</v>
      </c>
      <c r="D30" s="11" t="s">
        <v>19</v>
      </c>
      <c r="E30" s="14">
        <v>0</v>
      </c>
      <c r="F30" s="14">
        <f t="shared" si="0"/>
        <v>27.986999999999998</v>
      </c>
      <c r="G30" s="14">
        <v>27.986999999999998</v>
      </c>
      <c r="H30" s="14">
        <v>715.29399999999998</v>
      </c>
      <c r="I30" s="15" t="s">
        <v>26</v>
      </c>
      <c r="J30" s="65" t="s">
        <v>396</v>
      </c>
      <c r="K30" s="16">
        <f t="shared" ca="1" si="1"/>
        <v>0</v>
      </c>
      <c r="L30" s="112">
        <v>136677.64974961345</v>
      </c>
      <c r="M30" s="112">
        <v>186900</v>
      </c>
      <c r="N30" s="86">
        <f t="shared" si="2"/>
        <v>196245</v>
      </c>
      <c r="P30" s="109">
        <f t="shared" si="3"/>
        <v>0</v>
      </c>
      <c r="Q30" s="109">
        <f t="shared" si="4"/>
        <v>0</v>
      </c>
      <c r="R30" s="109">
        <f t="shared" si="5"/>
        <v>35923745.79999999</v>
      </c>
      <c r="AX30" s="86" t="s">
        <v>399</v>
      </c>
      <c r="AY30" s="107">
        <v>6370</v>
      </c>
      <c r="AZ30" s="86" t="s">
        <v>455</v>
      </c>
      <c r="BA30" s="86" t="s">
        <v>456</v>
      </c>
    </row>
    <row r="31" spans="1:53" ht="18" x14ac:dyDescent="0.35">
      <c r="A31" s="10">
        <v>45999</v>
      </c>
      <c r="B31" s="11" t="s">
        <v>265</v>
      </c>
      <c r="C31" s="11" t="s">
        <v>229</v>
      </c>
      <c r="D31" s="11" t="s">
        <v>13</v>
      </c>
      <c r="E31" s="12">
        <v>0</v>
      </c>
      <c r="F31" s="14">
        <f t="shared" si="0"/>
        <v>0.23</v>
      </c>
      <c r="G31" s="14">
        <v>0.23</v>
      </c>
      <c r="H31" s="14">
        <v>1989.6610000000001</v>
      </c>
      <c r="I31" s="15" t="s">
        <v>21</v>
      </c>
      <c r="J31" s="65" t="s">
        <v>396</v>
      </c>
      <c r="K31" s="16">
        <f t="shared" ca="1" si="1"/>
        <v>0</v>
      </c>
      <c r="L31" s="112">
        <v>42510.80050251256</v>
      </c>
      <c r="M31" s="112">
        <v>52024.237288135591</v>
      </c>
      <c r="N31" s="86">
        <f t="shared" si="2"/>
        <v>54625.449152542373</v>
      </c>
      <c r="P31" s="109">
        <f t="shared" si="3"/>
        <v>0</v>
      </c>
      <c r="Q31" s="109">
        <f t="shared" si="4"/>
        <v>0</v>
      </c>
      <c r="R31" s="109">
        <f t="shared" si="5"/>
        <v>18928514.148319505</v>
      </c>
      <c r="AX31" s="86" t="s">
        <v>399</v>
      </c>
      <c r="AY31" s="107">
        <v>6238</v>
      </c>
      <c r="AZ31" s="86" t="s">
        <v>457</v>
      </c>
      <c r="BA31" s="86" t="s">
        <v>474</v>
      </c>
    </row>
    <row r="32" spans="1:53" ht="18" x14ac:dyDescent="0.35">
      <c r="A32" s="10">
        <v>46148</v>
      </c>
      <c r="B32" s="11" t="s">
        <v>371</v>
      </c>
      <c r="C32" s="11" t="s">
        <v>229</v>
      </c>
      <c r="D32" s="11" t="s">
        <v>13</v>
      </c>
      <c r="E32" s="12">
        <f>2099.561-336-60-10-181-90-35-25-30-229-62-125-43-100-61-115</f>
        <v>597.56100000000015</v>
      </c>
      <c r="F32" s="14">
        <f t="shared" si="0"/>
        <v>704.88199999999983</v>
      </c>
      <c r="G32" s="14">
        <v>1302.443</v>
      </c>
      <c r="H32" s="14">
        <v>2099.5610000000001</v>
      </c>
      <c r="I32" s="15" t="s">
        <v>21</v>
      </c>
      <c r="J32" s="65" t="s">
        <v>396</v>
      </c>
      <c r="K32" s="16">
        <f t="shared" ca="1" si="1"/>
        <v>23</v>
      </c>
      <c r="L32" s="112">
        <v>75695.217000125253</v>
      </c>
      <c r="M32" s="112">
        <v>69475</v>
      </c>
      <c r="N32" s="86">
        <f t="shared" si="2"/>
        <v>72948.75</v>
      </c>
      <c r="P32" s="109">
        <f t="shared" si="3"/>
        <v>45232509.565811858</v>
      </c>
      <c r="Q32" s="109">
        <f t="shared" si="4"/>
        <v>43591327.998750009</v>
      </c>
      <c r="R32" s="109">
        <f t="shared" si="5"/>
        <v>-9342765.9341881294</v>
      </c>
      <c r="AX32" s="86" t="s">
        <v>399</v>
      </c>
      <c r="AY32" s="107">
        <v>6383</v>
      </c>
      <c r="AZ32" s="86" t="s">
        <v>472</v>
      </c>
      <c r="BA32" s="86" t="s">
        <v>473</v>
      </c>
    </row>
    <row r="33" spans="1:54" ht="18" x14ac:dyDescent="0.35">
      <c r="A33" s="10">
        <v>45948</v>
      </c>
      <c r="B33" s="11" t="s">
        <v>253</v>
      </c>
      <c r="C33" s="11" t="s">
        <v>229</v>
      </c>
      <c r="D33" s="11" t="s">
        <v>9</v>
      </c>
      <c r="E33" s="12">
        <f>93.71-60-25</f>
        <v>8.7099999999999937</v>
      </c>
      <c r="F33" s="14">
        <f t="shared" si="0"/>
        <v>2.3520000000000056</v>
      </c>
      <c r="G33" s="14">
        <v>11.061999999999999</v>
      </c>
      <c r="H33" s="14">
        <v>4979.1419999999998</v>
      </c>
      <c r="I33" s="15" t="s">
        <v>32</v>
      </c>
      <c r="J33" s="65" t="s">
        <v>396</v>
      </c>
      <c r="K33" s="16">
        <f t="shared" ca="1" si="1"/>
        <v>0</v>
      </c>
      <c r="L33" s="112">
        <v>47695.293400000002</v>
      </c>
      <c r="M33" s="112">
        <v>46246.851851851854</v>
      </c>
      <c r="N33" s="86">
        <f t="shared" si="2"/>
        <v>48559.194444444445</v>
      </c>
      <c r="P33" s="109">
        <f t="shared" si="3"/>
        <v>415426.00551399973</v>
      </c>
      <c r="Q33" s="109">
        <f t="shared" si="4"/>
        <v>422950.58361111081</v>
      </c>
      <c r="R33" s="109">
        <f t="shared" si="5"/>
        <v>-7199380.2210450964</v>
      </c>
      <c r="AX33" s="86" t="s">
        <v>399</v>
      </c>
      <c r="AY33" s="107">
        <v>6146</v>
      </c>
      <c r="AZ33" s="86" t="s">
        <v>400</v>
      </c>
      <c r="BA33" s="86" t="s">
        <v>475</v>
      </c>
    </row>
    <row r="34" spans="1:54" ht="18" x14ac:dyDescent="0.35">
      <c r="A34" s="10">
        <v>46123</v>
      </c>
      <c r="B34" s="11" t="s">
        <v>344</v>
      </c>
      <c r="C34" s="11" t="s">
        <v>84</v>
      </c>
      <c r="D34" s="11" t="s">
        <v>9</v>
      </c>
      <c r="E34" s="12">
        <v>0</v>
      </c>
      <c r="F34" s="14">
        <f t="shared" si="0"/>
        <v>294.79700000000003</v>
      </c>
      <c r="G34" s="14">
        <v>294.79700000000003</v>
      </c>
      <c r="H34" s="14">
        <v>999.42700000000002</v>
      </c>
      <c r="I34" s="15" t="s">
        <v>47</v>
      </c>
      <c r="J34" s="65" t="s">
        <v>396</v>
      </c>
      <c r="K34" s="16">
        <f t="shared" ca="1" si="1"/>
        <v>0</v>
      </c>
      <c r="L34" s="112">
        <v>78611.74750131827</v>
      </c>
      <c r="M34" s="112">
        <v>110720.58823529411</v>
      </c>
      <c r="N34" s="86">
        <f t="shared" si="2"/>
        <v>116256.61764705883</v>
      </c>
      <c r="P34" s="109">
        <f t="shared" si="3"/>
        <v>0</v>
      </c>
      <c r="Q34" s="109">
        <f t="shared" si="4"/>
        <v>0</v>
      </c>
      <c r="R34" s="109">
        <f t="shared" si="5"/>
        <v>32090442.368235275</v>
      </c>
      <c r="AX34" s="86" t="s">
        <v>399</v>
      </c>
      <c r="AY34" s="107">
        <v>6323</v>
      </c>
      <c r="AZ34" s="86" t="s">
        <v>454</v>
      </c>
      <c r="BA34" s="86">
        <v>1</v>
      </c>
    </row>
    <row r="35" spans="1:54" ht="18" x14ac:dyDescent="0.35">
      <c r="A35" s="10">
        <v>46068</v>
      </c>
      <c r="B35" s="11" t="s">
        <v>293</v>
      </c>
      <c r="C35" s="11" t="s">
        <v>294</v>
      </c>
      <c r="D35" s="11" t="s">
        <v>9</v>
      </c>
      <c r="E35" s="12">
        <f>106.651-15-25-20</f>
        <v>46.650999999999996</v>
      </c>
      <c r="F35" s="14">
        <f t="shared" ref="F35:F66" si="6">G35-E35</f>
        <v>25.160000000000011</v>
      </c>
      <c r="G35" s="14">
        <v>71.811000000000007</v>
      </c>
      <c r="H35" s="14">
        <v>426.50099999999998</v>
      </c>
      <c r="I35" s="15" t="s">
        <v>32</v>
      </c>
      <c r="J35" s="65" t="s">
        <v>396</v>
      </c>
      <c r="K35" s="16">
        <f t="shared" ca="1" si="1"/>
        <v>103</v>
      </c>
      <c r="L35" s="112">
        <v>84836.10996793129</v>
      </c>
      <c r="M35" s="112">
        <v>107650</v>
      </c>
      <c r="N35" s="86">
        <f t="shared" si="2"/>
        <v>113032.5</v>
      </c>
      <c r="P35" s="109">
        <f t="shared" si="3"/>
        <v>3957689.3661139621</v>
      </c>
      <c r="Q35" s="109">
        <f t="shared" si="4"/>
        <v>5273079.1574999997</v>
      </c>
      <c r="R35" s="109">
        <f t="shared" si="5"/>
        <v>8665856.1286812983</v>
      </c>
      <c r="AX35" s="86" t="s">
        <v>399</v>
      </c>
      <c r="AY35" s="107">
        <v>6270</v>
      </c>
      <c r="AZ35" s="86" t="s">
        <v>476</v>
      </c>
    </row>
    <row r="36" spans="1:54" ht="18" x14ac:dyDescent="0.35">
      <c r="A36" s="10">
        <v>46013</v>
      </c>
      <c r="B36" s="11" t="s">
        <v>271</v>
      </c>
      <c r="C36" s="11" t="s">
        <v>88</v>
      </c>
      <c r="D36" s="11" t="s">
        <v>9</v>
      </c>
      <c r="E36" s="14">
        <v>30.721</v>
      </c>
      <c r="F36" s="14">
        <f t="shared" si="6"/>
        <v>21.148999999999997</v>
      </c>
      <c r="G36" s="14">
        <v>51.87</v>
      </c>
      <c r="H36" s="14">
        <v>2838.95</v>
      </c>
      <c r="I36" s="15" t="s">
        <v>29</v>
      </c>
      <c r="J36" s="65" t="s">
        <v>396</v>
      </c>
      <c r="K36" s="16">
        <f t="shared" ca="1" si="1"/>
        <v>158</v>
      </c>
      <c r="L36" s="112">
        <v>72839.8</v>
      </c>
      <c r="M36" s="112">
        <v>75423.399999999994</v>
      </c>
      <c r="N36" s="86">
        <f t="shared" si="2"/>
        <v>79194.569999999992</v>
      </c>
      <c r="P36" s="109">
        <f t="shared" si="3"/>
        <v>2237711.4958000001</v>
      </c>
      <c r="Q36" s="109">
        <f t="shared" si="4"/>
        <v>2432936.3849699995</v>
      </c>
      <c r="R36" s="109">
        <f t="shared" si="5"/>
        <v>7255340.4443999752</v>
      </c>
      <c r="AX36" s="86" t="s">
        <v>399</v>
      </c>
      <c r="AY36" s="107">
        <v>6230</v>
      </c>
      <c r="AZ36" s="86" t="s">
        <v>400</v>
      </c>
      <c r="BA36" s="86" t="s">
        <v>440</v>
      </c>
    </row>
    <row r="37" spans="1:54" ht="18" x14ac:dyDescent="0.35">
      <c r="A37" s="10">
        <v>46091</v>
      </c>
      <c r="B37" s="11" t="s">
        <v>317</v>
      </c>
      <c r="C37" s="11" t="s">
        <v>88</v>
      </c>
      <c r="D37" s="11" t="s">
        <v>9</v>
      </c>
      <c r="E37" s="14">
        <f>1570.567-208.51-260-25+21+185-400</f>
        <v>883.05700000000002</v>
      </c>
      <c r="F37" s="14">
        <f t="shared" si="6"/>
        <v>516.90100000000007</v>
      </c>
      <c r="G37" s="14">
        <v>1399.9580000000001</v>
      </c>
      <c r="H37" s="14">
        <v>1575</v>
      </c>
      <c r="I37" s="15" t="s">
        <v>32</v>
      </c>
      <c r="J37" s="65" t="s">
        <v>396</v>
      </c>
      <c r="K37" s="16">
        <f t="shared" ca="1" si="1"/>
        <v>80</v>
      </c>
      <c r="L37" s="112">
        <v>75312.05</v>
      </c>
      <c r="M37" s="112">
        <v>101250</v>
      </c>
      <c r="N37" s="86">
        <f t="shared" si="2"/>
        <v>106312.5</v>
      </c>
      <c r="P37" s="109">
        <f t="shared" si="3"/>
        <v>66504832.936850004</v>
      </c>
      <c r="Q37" s="109">
        <f t="shared" si="4"/>
        <v>93879997.3125</v>
      </c>
      <c r="R37" s="109">
        <f t="shared" si="5"/>
        <v>17947582.936849996</v>
      </c>
      <c r="AX37" s="86" t="s">
        <v>399</v>
      </c>
      <c r="AY37" s="107">
        <v>6311</v>
      </c>
      <c r="AZ37" s="86" t="s">
        <v>400</v>
      </c>
      <c r="BA37" s="86" t="s">
        <v>440</v>
      </c>
    </row>
    <row r="38" spans="1:54" ht="18" x14ac:dyDescent="0.35">
      <c r="A38" s="10">
        <v>46136</v>
      </c>
      <c r="B38" s="11" t="s">
        <v>358</v>
      </c>
      <c r="C38" s="11" t="s">
        <v>88</v>
      </c>
      <c r="D38" s="11" t="s">
        <v>9</v>
      </c>
      <c r="E38" s="14">
        <f>1970.256</f>
        <v>1970.2560000000001</v>
      </c>
      <c r="F38" s="14">
        <f t="shared" si="6"/>
        <v>0</v>
      </c>
      <c r="G38" s="14">
        <f>1960.109+10.147</f>
        <v>1970.2559999999999</v>
      </c>
      <c r="H38" s="14">
        <v>1984.7159999999999</v>
      </c>
      <c r="I38" s="15" t="s">
        <v>369</v>
      </c>
      <c r="J38" s="65" t="s">
        <v>396</v>
      </c>
      <c r="K38" s="16">
        <f t="shared" ca="1" si="1"/>
        <v>35</v>
      </c>
      <c r="L38" s="112">
        <v>105708.066751112</v>
      </c>
      <c r="M38" s="113">
        <f t="shared" si="2"/>
        <v>110993.4700886676</v>
      </c>
      <c r="N38" s="86">
        <f t="shared" si="2"/>
        <v>116543.14359310099</v>
      </c>
      <c r="P38" s="109">
        <f t="shared" si="3"/>
        <v>208271952.76477894</v>
      </c>
      <c r="Q38" s="109">
        <f t="shared" si="4"/>
        <v>229619827.92316881</v>
      </c>
      <c r="R38" s="109">
        <f t="shared" si="5"/>
        <v>76426.932261053007</v>
      </c>
      <c r="AX38" s="86" t="s">
        <v>399</v>
      </c>
      <c r="AY38" s="107">
        <v>6344</v>
      </c>
      <c r="AZ38" s="86" t="s">
        <v>482</v>
      </c>
      <c r="BA38" s="86" t="s">
        <v>483</v>
      </c>
    </row>
    <row r="39" spans="1:54" ht="18" x14ac:dyDescent="0.35">
      <c r="A39" s="10">
        <v>46009</v>
      </c>
      <c r="B39" s="11" t="s">
        <v>267</v>
      </c>
      <c r="C39" s="11" t="s">
        <v>88</v>
      </c>
      <c r="D39" s="11" t="s">
        <v>13</v>
      </c>
      <c r="E39" s="12">
        <v>0</v>
      </c>
      <c r="F39" s="14">
        <f t="shared" si="6"/>
        <v>0.751</v>
      </c>
      <c r="G39" s="14">
        <v>0.751</v>
      </c>
      <c r="H39" s="14">
        <v>1416.0609999999999</v>
      </c>
      <c r="I39" s="15" t="s">
        <v>21</v>
      </c>
      <c r="J39" s="65" t="s">
        <v>396</v>
      </c>
      <c r="K39" s="16">
        <f t="shared" ca="1" si="1"/>
        <v>0</v>
      </c>
      <c r="L39" s="112">
        <v>73348.744000000006</v>
      </c>
      <c r="M39" s="112">
        <v>77436.206896551725</v>
      </c>
      <c r="N39" s="86">
        <f t="shared" si="2"/>
        <v>81308.017241379319</v>
      </c>
      <c r="P39" s="109">
        <f t="shared" si="3"/>
        <v>0</v>
      </c>
      <c r="Q39" s="109">
        <f t="shared" si="4"/>
        <v>0</v>
      </c>
      <c r="R39" s="109">
        <f t="shared" si="5"/>
        <v>5788096.7967539225</v>
      </c>
      <c r="AX39" s="86" t="s">
        <v>399</v>
      </c>
      <c r="AY39" s="107">
        <v>6231</v>
      </c>
      <c r="AZ39" s="86" t="s">
        <v>400</v>
      </c>
      <c r="BA39" s="86" t="s">
        <v>440</v>
      </c>
    </row>
    <row r="40" spans="1:54" ht="18" x14ac:dyDescent="0.35">
      <c r="A40" s="10">
        <v>46082</v>
      </c>
      <c r="B40" s="11" t="s">
        <v>315</v>
      </c>
      <c r="C40" s="11" t="s">
        <v>88</v>
      </c>
      <c r="D40" s="11" t="s">
        <v>13</v>
      </c>
      <c r="E40" s="12">
        <v>0</v>
      </c>
      <c r="F40" s="14">
        <f t="shared" si="6"/>
        <v>188.077</v>
      </c>
      <c r="G40" s="14">
        <v>188.077</v>
      </c>
      <c r="H40" s="14">
        <v>1895.021</v>
      </c>
      <c r="I40" s="15" t="s">
        <v>21</v>
      </c>
      <c r="J40" s="65" t="s">
        <v>396</v>
      </c>
      <c r="K40" s="16">
        <f t="shared" ca="1" si="1"/>
        <v>0</v>
      </c>
      <c r="L40" s="112">
        <v>76093.460000000006</v>
      </c>
      <c r="M40" s="112">
        <v>99808.888888888891</v>
      </c>
      <c r="N40" s="86">
        <f t="shared" si="2"/>
        <v>104799.33333333334</v>
      </c>
      <c r="P40" s="109">
        <f t="shared" si="3"/>
        <v>0</v>
      </c>
      <c r="Q40" s="109">
        <f t="shared" si="4"/>
        <v>0</v>
      </c>
      <c r="R40" s="109">
        <f t="shared" si="5"/>
        <v>44941235.768451102</v>
      </c>
      <c r="AX40" s="86" t="s">
        <v>399</v>
      </c>
      <c r="AY40" s="107">
        <v>6307</v>
      </c>
      <c r="AZ40" s="86" t="s">
        <v>472</v>
      </c>
      <c r="BA40" s="86" t="s">
        <v>487</v>
      </c>
    </row>
    <row r="41" spans="1:54" ht="18" x14ac:dyDescent="0.35">
      <c r="A41" s="10">
        <v>46082</v>
      </c>
      <c r="B41" s="11" t="s">
        <v>316</v>
      </c>
      <c r="C41" s="11" t="s">
        <v>88</v>
      </c>
      <c r="D41" s="11" t="s">
        <v>13</v>
      </c>
      <c r="E41" s="12">
        <f>1904.769-118-700-160-20-75-30-140-25-92-20</f>
        <v>524.76900000000001</v>
      </c>
      <c r="F41" s="14">
        <f t="shared" si="6"/>
        <v>537.11000000000013</v>
      </c>
      <c r="G41" s="14">
        <f>1904.769-219.49-174.81-223.05-225.54</f>
        <v>1061.8790000000001</v>
      </c>
      <c r="H41" s="14">
        <v>1904.769</v>
      </c>
      <c r="I41" s="15" t="s">
        <v>21</v>
      </c>
      <c r="J41" s="65" t="s">
        <v>396</v>
      </c>
      <c r="K41" s="16">
        <f t="shared" ca="1" si="1"/>
        <v>89</v>
      </c>
      <c r="L41" s="112">
        <v>76093.460001026295</v>
      </c>
      <c r="M41" s="112">
        <v>107634.99999999999</v>
      </c>
      <c r="N41" s="86">
        <f t="shared" si="2"/>
        <v>113016.74999999999</v>
      </c>
      <c r="P41" s="109">
        <f t="shared" si="3"/>
        <v>39931488.911278568</v>
      </c>
      <c r="Q41" s="109">
        <f t="shared" si="4"/>
        <v>59307686.880749993</v>
      </c>
      <c r="R41" s="109">
        <f t="shared" si="5"/>
        <v>43527325.198583692</v>
      </c>
      <c r="AX41" s="86" t="s">
        <v>399</v>
      </c>
      <c r="AY41" s="107">
        <v>6308</v>
      </c>
      <c r="AZ41" s="86" t="s">
        <v>472</v>
      </c>
      <c r="BA41" s="86" t="s">
        <v>487</v>
      </c>
    </row>
    <row r="42" spans="1:54" ht="18" x14ac:dyDescent="0.35">
      <c r="A42" s="10">
        <v>46060</v>
      </c>
      <c r="B42" s="11" t="s">
        <v>286</v>
      </c>
      <c r="C42" s="11" t="s">
        <v>88</v>
      </c>
      <c r="D42" s="11" t="s">
        <v>19</v>
      </c>
      <c r="E42" s="12">
        <v>0</v>
      </c>
      <c r="F42" s="14">
        <f t="shared" si="6"/>
        <v>30.495999999999999</v>
      </c>
      <c r="G42" s="14">
        <v>30.495999999999999</v>
      </c>
      <c r="H42" s="14">
        <v>1911.7260000000001</v>
      </c>
      <c r="I42" s="15" t="s">
        <v>26</v>
      </c>
      <c r="J42" s="65" t="s">
        <v>396</v>
      </c>
      <c r="K42" s="16">
        <f t="shared" ca="1" si="1"/>
        <v>0</v>
      </c>
      <c r="L42" s="112">
        <v>72676.141649462676</v>
      </c>
      <c r="M42" s="112">
        <v>84935.416666666672</v>
      </c>
      <c r="N42" s="86">
        <f t="shared" si="2"/>
        <v>89182.187500000015</v>
      </c>
      <c r="P42" s="109">
        <f t="shared" si="3"/>
        <v>0</v>
      </c>
      <c r="Q42" s="109">
        <f t="shared" si="4"/>
        <v>0</v>
      </c>
      <c r="R42" s="109">
        <f t="shared" si="5"/>
        <v>23436374.791539326</v>
      </c>
      <c r="AX42" s="86" t="s">
        <v>399</v>
      </c>
      <c r="AY42" s="107">
        <v>6273</v>
      </c>
      <c r="AZ42" s="86" t="s">
        <v>457</v>
      </c>
      <c r="BA42" s="86" t="s">
        <v>458</v>
      </c>
    </row>
    <row r="43" spans="1:54" ht="18" x14ac:dyDescent="0.35">
      <c r="A43" s="10">
        <v>46131</v>
      </c>
      <c r="B43" s="11" t="s">
        <v>353</v>
      </c>
      <c r="C43" s="11" t="s">
        <v>88</v>
      </c>
      <c r="D43" s="11" t="s">
        <v>19</v>
      </c>
      <c r="E43" s="12">
        <v>0</v>
      </c>
      <c r="F43" s="14">
        <f t="shared" si="6"/>
        <v>4.8049999999999997</v>
      </c>
      <c r="G43" s="14">
        <v>4.8049999999999997</v>
      </c>
      <c r="H43" s="14">
        <v>1048.539</v>
      </c>
      <c r="I43" s="15" t="s">
        <v>26</v>
      </c>
      <c r="J43" s="65" t="s">
        <v>396</v>
      </c>
      <c r="K43" s="16">
        <f t="shared" ca="1" si="1"/>
        <v>0</v>
      </c>
      <c r="L43" s="112">
        <v>109058.93699709786</v>
      </c>
      <c r="M43" s="112">
        <v>98195.454545454559</v>
      </c>
      <c r="N43" s="86">
        <f t="shared" si="2"/>
        <v>103105.22727272729</v>
      </c>
      <c r="P43" s="109">
        <f t="shared" si="3"/>
        <v>0</v>
      </c>
      <c r="Q43" s="109">
        <f t="shared" si="4"/>
        <v>0</v>
      </c>
      <c r="R43" s="109">
        <f t="shared" si="5"/>
        <v>-11390785.026363613</v>
      </c>
      <c r="AX43" s="86" t="s">
        <v>399</v>
      </c>
      <c r="AY43" s="107">
        <v>6353</v>
      </c>
      <c r="AZ43" s="86" t="s">
        <v>491</v>
      </c>
      <c r="BA43" s="86" t="s">
        <v>492</v>
      </c>
    </row>
    <row r="44" spans="1:54" ht="18" x14ac:dyDescent="0.35">
      <c r="A44" s="10">
        <v>46086</v>
      </c>
      <c r="B44" s="11" t="s">
        <v>307</v>
      </c>
      <c r="C44" s="11" t="s">
        <v>88</v>
      </c>
      <c r="D44" s="11" t="s">
        <v>166</v>
      </c>
      <c r="E44" s="12">
        <v>0</v>
      </c>
      <c r="F44" s="14">
        <f t="shared" si="6"/>
        <v>375.72300000000001</v>
      </c>
      <c r="G44" s="14">
        <v>375.72300000000001</v>
      </c>
      <c r="H44" s="14">
        <v>2100</v>
      </c>
      <c r="I44" s="15" t="s">
        <v>167</v>
      </c>
      <c r="J44" s="65" t="s">
        <v>396</v>
      </c>
      <c r="K44" s="16">
        <f t="shared" ca="1" si="1"/>
        <v>0</v>
      </c>
      <c r="L44" s="112">
        <v>76908.904399999999</v>
      </c>
      <c r="M44" s="112">
        <v>98971.739130434784</v>
      </c>
      <c r="N44" s="86">
        <f t="shared" si="2"/>
        <v>103920.32608695653</v>
      </c>
      <c r="P44" s="109">
        <f t="shared" si="3"/>
        <v>0</v>
      </c>
      <c r="Q44" s="109">
        <f t="shared" si="4"/>
        <v>0</v>
      </c>
      <c r="R44" s="109">
        <f t="shared" si="5"/>
        <v>46331952.933913045</v>
      </c>
      <c r="AX44" s="86" t="s">
        <v>399</v>
      </c>
      <c r="AY44" s="107">
        <v>6297</v>
      </c>
      <c r="AZ44" s="86" t="s">
        <v>451</v>
      </c>
      <c r="BA44" s="86" t="s">
        <v>493</v>
      </c>
    </row>
    <row r="45" spans="1:54" ht="18" x14ac:dyDescent="0.35">
      <c r="A45" s="10">
        <v>45989</v>
      </c>
      <c r="B45" s="11" t="s">
        <v>263</v>
      </c>
      <c r="C45" s="11" t="s">
        <v>108</v>
      </c>
      <c r="D45" s="11" t="s">
        <v>9</v>
      </c>
      <c r="E45" s="12">
        <v>0</v>
      </c>
      <c r="F45" s="14">
        <f t="shared" si="6"/>
        <v>0.49399999999999999</v>
      </c>
      <c r="G45" s="14">
        <v>0.49399999999999999</v>
      </c>
      <c r="H45" s="14">
        <v>487.03500000000003</v>
      </c>
      <c r="I45" s="15" t="s">
        <v>32</v>
      </c>
      <c r="J45" s="65" t="s">
        <v>396</v>
      </c>
      <c r="K45" s="16">
        <f t="shared" ca="1" si="1"/>
        <v>0</v>
      </c>
      <c r="L45" s="112">
        <v>108126.4485086545</v>
      </c>
      <c r="M45" s="112">
        <v>119716.66666666666</v>
      </c>
      <c r="N45" s="86">
        <f t="shared" si="2"/>
        <v>125702.5</v>
      </c>
      <c r="P45" s="109">
        <f t="shared" si="3"/>
        <v>0</v>
      </c>
      <c r="Q45" s="109">
        <f t="shared" si="4"/>
        <v>0</v>
      </c>
      <c r="R45" s="109">
        <f t="shared" si="5"/>
        <v>5644841.9005874498</v>
      </c>
      <c r="AX45" s="86" t="s">
        <v>399</v>
      </c>
      <c r="AY45" s="107">
        <v>6215</v>
      </c>
      <c r="AZ45" s="86" t="s">
        <v>495</v>
      </c>
      <c r="BA45" s="86" t="s">
        <v>496</v>
      </c>
      <c r="BB45" s="86" t="s">
        <v>416</v>
      </c>
    </row>
    <row r="46" spans="1:54" ht="18" x14ac:dyDescent="0.35">
      <c r="A46" s="10">
        <v>46131</v>
      </c>
      <c r="B46" s="11" t="s">
        <v>351</v>
      </c>
      <c r="C46" s="11" t="s">
        <v>228</v>
      </c>
      <c r="D46" s="11" t="s">
        <v>13</v>
      </c>
      <c r="E46" s="12">
        <f>472.89-100-22+22-25-45-20-128-20-16-100</f>
        <v>18.889999999999986</v>
      </c>
      <c r="F46" s="14">
        <f t="shared" si="6"/>
        <v>290.52000000000004</v>
      </c>
      <c r="G46" s="14">
        <v>309.41000000000003</v>
      </c>
      <c r="H46" s="14">
        <v>472.89</v>
      </c>
      <c r="I46" s="15" t="s">
        <v>21</v>
      </c>
      <c r="J46" s="65" t="s">
        <v>396</v>
      </c>
      <c r="K46" s="16">
        <f t="shared" ca="1" si="1"/>
        <v>0</v>
      </c>
      <c r="L46" s="112">
        <v>102678</v>
      </c>
      <c r="M46" s="112">
        <v>124400</v>
      </c>
      <c r="N46" s="86">
        <f t="shared" si="2"/>
        <v>130620</v>
      </c>
      <c r="P46" s="109">
        <f t="shared" si="3"/>
        <v>1939587.4199999985</v>
      </c>
      <c r="Q46" s="109">
        <f t="shared" si="4"/>
        <v>2467411.7999999984</v>
      </c>
      <c r="R46" s="109">
        <f t="shared" si="5"/>
        <v>9861788</v>
      </c>
      <c r="AX46" s="86" t="s">
        <v>399</v>
      </c>
      <c r="AY46" s="107">
        <v>6338</v>
      </c>
      <c r="AZ46" s="86" t="s">
        <v>441</v>
      </c>
      <c r="BA46" s="86" t="s">
        <v>497</v>
      </c>
    </row>
    <row r="47" spans="1:54" ht="18" x14ac:dyDescent="0.35">
      <c r="A47" s="10">
        <v>46128</v>
      </c>
      <c r="B47" s="11" t="s">
        <v>350</v>
      </c>
      <c r="C47" s="11" t="s">
        <v>228</v>
      </c>
      <c r="D47" s="11" t="s">
        <v>16</v>
      </c>
      <c r="E47" s="12">
        <f>948.442-200-27-21-14.5-46-25-35-12-10-46.6-12-85-26-7-26-80-26-20-100</f>
        <v>129.34199999999998</v>
      </c>
      <c r="F47" s="14">
        <f t="shared" si="6"/>
        <v>357.84000000000003</v>
      </c>
      <c r="G47" s="14">
        <v>487.18200000000002</v>
      </c>
      <c r="H47" s="14">
        <v>948.44200000000001</v>
      </c>
      <c r="I47" s="15" t="s">
        <v>23</v>
      </c>
      <c r="J47" s="65" t="s">
        <v>396</v>
      </c>
      <c r="K47" s="16">
        <f t="shared" ca="1" si="1"/>
        <v>43</v>
      </c>
      <c r="L47" s="112">
        <v>104476.125</v>
      </c>
      <c r="M47" s="112">
        <v>126543.47826086957</v>
      </c>
      <c r="N47" s="86">
        <f t="shared" si="2"/>
        <v>132870.65217391305</v>
      </c>
      <c r="P47" s="109">
        <f t="shared" si="3"/>
        <v>13513150.959749999</v>
      </c>
      <c r="Q47" s="109">
        <f t="shared" si="4"/>
        <v>17185755.893478259</v>
      </c>
      <c r="R47" s="109">
        <f t="shared" si="5"/>
        <v>18075369.055978265</v>
      </c>
      <c r="AX47" s="86" t="s">
        <v>399</v>
      </c>
      <c r="AY47" s="107">
        <v>6374</v>
      </c>
      <c r="AZ47" s="86" t="s">
        <v>431</v>
      </c>
      <c r="BA47" s="86" t="s">
        <v>432</v>
      </c>
    </row>
    <row r="48" spans="1:54" ht="18" x14ac:dyDescent="0.35">
      <c r="A48" s="10">
        <v>45937</v>
      </c>
      <c r="B48" s="11" t="s">
        <v>250</v>
      </c>
      <c r="C48" s="11" t="s">
        <v>122</v>
      </c>
      <c r="D48" s="11" t="s">
        <v>9</v>
      </c>
      <c r="E48" s="12">
        <v>19.943999999999999</v>
      </c>
      <c r="F48" s="14">
        <f t="shared" si="6"/>
        <v>0</v>
      </c>
      <c r="G48" s="14">
        <v>19.943999999999999</v>
      </c>
      <c r="H48" s="14">
        <v>3136.0839999999998</v>
      </c>
      <c r="I48" s="15" t="s">
        <v>32</v>
      </c>
      <c r="J48" s="65" t="s">
        <v>396</v>
      </c>
      <c r="K48" s="16">
        <f t="shared" ca="1" si="1"/>
        <v>0</v>
      </c>
      <c r="L48" s="112">
        <v>74098.748101587305</v>
      </c>
      <c r="M48" s="112">
        <v>71075</v>
      </c>
      <c r="N48" s="86">
        <f t="shared" si="2"/>
        <v>74628.75</v>
      </c>
      <c r="P48" s="109">
        <f t="shared" si="3"/>
        <v>1477825.4321380572</v>
      </c>
      <c r="Q48" s="109">
        <f t="shared" si="4"/>
        <v>1488395.79</v>
      </c>
      <c r="R48" s="109">
        <f t="shared" si="5"/>
        <v>-9422422.4092802648</v>
      </c>
      <c r="AX48" s="86" t="s">
        <v>399</v>
      </c>
      <c r="AY48" s="107">
        <v>6161</v>
      </c>
      <c r="AZ48" s="86" t="s">
        <v>498</v>
      </c>
      <c r="BA48" s="86">
        <v>28</v>
      </c>
    </row>
    <row r="49" spans="1:53" ht="18" x14ac:dyDescent="0.35">
      <c r="A49" s="10">
        <v>46054</v>
      </c>
      <c r="B49" s="11" t="s">
        <v>291</v>
      </c>
      <c r="C49" s="11" t="s">
        <v>122</v>
      </c>
      <c r="D49" s="11" t="s">
        <v>9</v>
      </c>
      <c r="E49" s="12">
        <v>0.3</v>
      </c>
      <c r="F49" s="14">
        <f t="shared" si="6"/>
        <v>19.099999999999998</v>
      </c>
      <c r="G49" s="14">
        <v>19.399999999999999</v>
      </c>
      <c r="H49" s="14">
        <v>199.7</v>
      </c>
      <c r="I49" s="15" t="s">
        <v>29</v>
      </c>
      <c r="J49" s="65" t="s">
        <v>396</v>
      </c>
      <c r="K49" s="16">
        <f t="shared" ca="1" si="1"/>
        <v>0</v>
      </c>
      <c r="L49" s="112">
        <v>78753.000799999994</v>
      </c>
      <c r="M49" s="112">
        <v>106250</v>
      </c>
      <c r="N49" s="86">
        <f t="shared" si="2"/>
        <v>111562.5</v>
      </c>
      <c r="P49" s="109">
        <f t="shared" si="3"/>
        <v>23625.900239999999</v>
      </c>
      <c r="Q49" s="109">
        <f t="shared" si="4"/>
        <v>33468.75</v>
      </c>
      <c r="R49" s="109">
        <f t="shared" si="5"/>
        <v>5482901.6404800005</v>
      </c>
      <c r="AX49" s="86" t="s">
        <v>399</v>
      </c>
      <c r="AY49" s="107">
        <v>6301</v>
      </c>
      <c r="AZ49" s="86" t="s">
        <v>499</v>
      </c>
    </row>
    <row r="50" spans="1:53" ht="18" x14ac:dyDescent="0.35">
      <c r="A50" s="10">
        <v>46131</v>
      </c>
      <c r="B50" s="11" t="s">
        <v>355</v>
      </c>
      <c r="C50" s="11" t="s">
        <v>122</v>
      </c>
      <c r="D50" s="11" t="s">
        <v>9</v>
      </c>
      <c r="E50" s="12">
        <f>1219.877-57-111-49-120-30-165-150</f>
        <v>537.87699999999995</v>
      </c>
      <c r="F50" s="14">
        <f t="shared" si="6"/>
        <v>1173.942</v>
      </c>
      <c r="G50" s="14">
        <v>1711.819</v>
      </c>
      <c r="H50" s="14">
        <v>1725</v>
      </c>
      <c r="I50" s="15" t="s">
        <v>378</v>
      </c>
      <c r="J50" s="65" t="s">
        <v>396</v>
      </c>
      <c r="K50" s="16">
        <f t="shared" ca="1" si="1"/>
        <v>40</v>
      </c>
      <c r="L50" s="112">
        <v>121100.12849855072</v>
      </c>
      <c r="M50" s="112">
        <v>118000</v>
      </c>
      <c r="N50" s="86">
        <f t="shared" si="2"/>
        <v>123900</v>
      </c>
      <c r="P50" s="109">
        <f t="shared" si="3"/>
        <v>65136973.81641496</v>
      </c>
      <c r="Q50" s="109">
        <f t="shared" si="4"/>
        <v>66642960.299999997</v>
      </c>
      <c r="R50" s="109">
        <f t="shared" si="5"/>
        <v>-3680233.8435850297</v>
      </c>
      <c r="AX50" s="86" t="s">
        <v>399</v>
      </c>
      <c r="AY50" s="107">
        <v>6350</v>
      </c>
      <c r="AZ50" s="86" t="s">
        <v>455</v>
      </c>
      <c r="BA50" s="86" t="s">
        <v>456</v>
      </c>
    </row>
    <row r="51" spans="1:53" ht="18" x14ac:dyDescent="0.35">
      <c r="A51" s="10">
        <v>46131</v>
      </c>
      <c r="B51" s="11" t="s">
        <v>356</v>
      </c>
      <c r="C51" s="11" t="s">
        <v>122</v>
      </c>
      <c r="D51" s="11" t="s">
        <v>9</v>
      </c>
      <c r="E51" s="12">
        <v>0</v>
      </c>
      <c r="F51" s="14">
        <f t="shared" si="6"/>
        <v>243.34800000000001</v>
      </c>
      <c r="G51" s="14">
        <v>243.34800000000001</v>
      </c>
      <c r="H51" s="14">
        <v>947.17899999999997</v>
      </c>
      <c r="I51" s="15" t="s">
        <v>29</v>
      </c>
      <c r="J51" s="65" t="s">
        <v>396</v>
      </c>
      <c r="K51" s="16">
        <f t="shared" ca="1" si="1"/>
        <v>0</v>
      </c>
      <c r="L51" s="112">
        <v>119403.44</v>
      </c>
      <c r="M51" s="112">
        <v>114321.42857142857</v>
      </c>
      <c r="N51" s="86">
        <f t="shared" si="2"/>
        <v>120037.5</v>
      </c>
      <c r="P51" s="109">
        <f t="shared" si="3"/>
        <v>0</v>
      </c>
      <c r="Q51" s="109">
        <f t="shared" si="4"/>
        <v>0</v>
      </c>
      <c r="R51" s="109">
        <f t="shared" si="5"/>
        <v>-4813574.5029028654</v>
      </c>
      <c r="AX51" s="86" t="s">
        <v>399</v>
      </c>
      <c r="AY51" s="107">
        <v>6366</v>
      </c>
      <c r="AZ51" s="86" t="s">
        <v>455</v>
      </c>
      <c r="BA51" s="86" t="s">
        <v>456</v>
      </c>
    </row>
    <row r="52" spans="1:53" ht="18" x14ac:dyDescent="0.35">
      <c r="A52" s="10">
        <v>46136</v>
      </c>
      <c r="B52" s="11" t="s">
        <v>363</v>
      </c>
      <c r="C52" s="11" t="s">
        <v>122</v>
      </c>
      <c r="D52" s="11" t="s">
        <v>9</v>
      </c>
      <c r="E52" s="12">
        <v>313.59300000000002</v>
      </c>
      <c r="F52" s="14">
        <f t="shared" si="6"/>
        <v>0</v>
      </c>
      <c r="G52" s="14">
        <v>313.59300000000002</v>
      </c>
      <c r="H52" s="14">
        <v>313.59300000000002</v>
      </c>
      <c r="I52" s="15" t="s">
        <v>32</v>
      </c>
      <c r="J52" s="65" t="s">
        <v>396</v>
      </c>
      <c r="K52" s="16">
        <f t="shared" ca="1" si="1"/>
        <v>35</v>
      </c>
      <c r="L52" s="112">
        <v>122525</v>
      </c>
      <c r="M52" s="113">
        <f>M51</f>
        <v>114321.42857142857</v>
      </c>
      <c r="N52" s="86">
        <f>N51</f>
        <v>120037.5</v>
      </c>
      <c r="P52" s="109">
        <f t="shared" si="3"/>
        <v>38422982.325000003</v>
      </c>
      <c r="Q52" s="109">
        <f t="shared" si="4"/>
        <v>37642919.737500004</v>
      </c>
      <c r="R52" s="109">
        <f t="shared" si="5"/>
        <v>0</v>
      </c>
      <c r="AX52" s="86" t="s">
        <v>399</v>
      </c>
      <c r="AY52" s="107">
        <v>6375</v>
      </c>
      <c r="AZ52" s="86" t="s">
        <v>500</v>
      </c>
      <c r="BA52" s="86" t="s">
        <v>501</v>
      </c>
    </row>
    <row r="53" spans="1:53" ht="18" x14ac:dyDescent="0.35">
      <c r="A53" s="10">
        <v>46144</v>
      </c>
      <c r="B53" s="11" t="s">
        <v>366</v>
      </c>
      <c r="C53" s="11" t="s">
        <v>122</v>
      </c>
      <c r="D53" s="11" t="s">
        <v>9</v>
      </c>
      <c r="E53" s="12">
        <v>969.38099999999997</v>
      </c>
      <c r="F53" s="14">
        <f t="shared" si="6"/>
        <v>0</v>
      </c>
      <c r="G53" s="14">
        <v>969.38099999999997</v>
      </c>
      <c r="H53" s="14">
        <v>969.38099999999997</v>
      </c>
      <c r="I53" s="15" t="s">
        <v>276</v>
      </c>
      <c r="J53" s="65" t="s">
        <v>235</v>
      </c>
      <c r="K53" s="16">
        <f t="shared" ca="1" si="1"/>
        <v>27</v>
      </c>
      <c r="L53" s="112">
        <v>121035.884399039</v>
      </c>
      <c r="M53" s="113">
        <f>M52</f>
        <v>114321.42857142857</v>
      </c>
      <c r="N53" s="86">
        <f>N52</f>
        <v>120037.5</v>
      </c>
      <c r="P53" s="109">
        <f t="shared" si="3"/>
        <v>117329886.65462482</v>
      </c>
      <c r="Q53" s="109">
        <f t="shared" si="4"/>
        <v>116362071.78749999</v>
      </c>
      <c r="R53" s="109">
        <f t="shared" si="5"/>
        <v>0</v>
      </c>
      <c r="AX53" s="86" t="s">
        <v>399</v>
      </c>
      <c r="AY53" s="107">
        <v>6351</v>
      </c>
      <c r="AZ53" s="86" t="s">
        <v>485</v>
      </c>
      <c r="BA53" s="86" t="s">
        <v>502</v>
      </c>
    </row>
    <row r="54" spans="1:53" ht="18" x14ac:dyDescent="0.35">
      <c r="A54" s="10">
        <v>46005</v>
      </c>
      <c r="B54" s="11" t="s">
        <v>266</v>
      </c>
      <c r="C54" s="11" t="s">
        <v>248</v>
      </c>
      <c r="D54" s="11" t="s">
        <v>19</v>
      </c>
      <c r="E54" s="12">
        <v>0</v>
      </c>
      <c r="F54" s="14">
        <f t="shared" si="6"/>
        <v>111.845</v>
      </c>
      <c r="G54" s="14">
        <v>111.845</v>
      </c>
      <c r="H54" s="14">
        <v>2859.0250000000001</v>
      </c>
      <c r="I54" s="15" t="s">
        <v>26</v>
      </c>
      <c r="J54" s="65" t="s">
        <v>396</v>
      </c>
      <c r="K54" s="16">
        <f t="shared" ca="1" si="1"/>
        <v>0</v>
      </c>
      <c r="L54" s="112">
        <v>72621.029899949528</v>
      </c>
      <c r="M54" s="112">
        <v>78759.302325581404</v>
      </c>
      <c r="N54" s="86">
        <f t="shared" si="2"/>
        <v>82697.267441860473</v>
      </c>
      <c r="P54" s="109">
        <f t="shared" si="3"/>
        <v>0</v>
      </c>
      <c r="Q54" s="109">
        <f t="shared" si="4"/>
        <v>0</v>
      </c>
      <c r="R54" s="109">
        <f t="shared" si="5"/>
        <v>17549474.321692176</v>
      </c>
      <c r="AX54" s="86" t="s">
        <v>399</v>
      </c>
      <c r="AY54" s="107">
        <v>6225</v>
      </c>
      <c r="AZ54" s="86" t="s">
        <v>439</v>
      </c>
      <c r="BA54" s="86" t="s">
        <v>451</v>
      </c>
    </row>
    <row r="55" spans="1:53" ht="18" x14ac:dyDescent="0.35">
      <c r="A55" s="10">
        <v>46111</v>
      </c>
      <c r="B55" s="11" t="s">
        <v>333</v>
      </c>
      <c r="C55" s="11" t="s">
        <v>248</v>
      </c>
      <c r="D55" s="11" t="s">
        <v>19</v>
      </c>
      <c r="E55" s="12">
        <v>0</v>
      </c>
      <c r="F55" s="14">
        <f t="shared" si="6"/>
        <v>28.681000000000001</v>
      </c>
      <c r="G55" s="14">
        <f>51.371-22.69</f>
        <v>28.681000000000001</v>
      </c>
      <c r="H55" s="14">
        <v>997.822</v>
      </c>
      <c r="I55" s="15" t="s">
        <v>26</v>
      </c>
      <c r="J55" s="65" t="s">
        <v>396</v>
      </c>
      <c r="K55" s="16">
        <f t="shared" ca="1" si="1"/>
        <v>0</v>
      </c>
      <c r="L55" s="112">
        <v>75719.574999999997</v>
      </c>
      <c r="M55" s="112">
        <v>100071.42857142857</v>
      </c>
      <c r="N55" s="86">
        <f t="shared" si="2"/>
        <v>105075</v>
      </c>
      <c r="P55" s="109">
        <f t="shared" si="3"/>
        <v>0</v>
      </c>
      <c r="Q55" s="109">
        <f t="shared" si="4"/>
        <v>0</v>
      </c>
      <c r="R55" s="109">
        <f t="shared" si="5"/>
        <v>24298815.234349996</v>
      </c>
      <c r="AX55" s="86" t="s">
        <v>399</v>
      </c>
      <c r="AY55" s="107">
        <v>6333</v>
      </c>
      <c r="AZ55" s="86" t="s">
        <v>507</v>
      </c>
      <c r="BA55" s="86" t="s">
        <v>508</v>
      </c>
    </row>
    <row r="56" spans="1:53" ht="18" x14ac:dyDescent="0.35">
      <c r="A56" s="10">
        <v>46111</v>
      </c>
      <c r="B56" s="11" t="s">
        <v>332</v>
      </c>
      <c r="C56" s="11" t="s">
        <v>248</v>
      </c>
      <c r="D56" s="11" t="s">
        <v>19</v>
      </c>
      <c r="E56" s="12">
        <f>997.822-258.413-10+21-75-21-18-31-72-10-40+85</f>
        <v>568.40899999999999</v>
      </c>
      <c r="F56" s="14">
        <f t="shared" si="6"/>
        <v>429.41300000000001</v>
      </c>
      <c r="G56" s="14">
        <v>997.822</v>
      </c>
      <c r="H56" s="14">
        <v>997.822</v>
      </c>
      <c r="I56" s="15" t="s">
        <v>26</v>
      </c>
      <c r="J56" s="65" t="s">
        <v>396</v>
      </c>
      <c r="K56" s="16">
        <f t="shared" ca="1" si="1"/>
        <v>60</v>
      </c>
      <c r="L56" s="112">
        <v>76552.167499999996</v>
      </c>
      <c r="M56" s="112">
        <v>109000</v>
      </c>
      <c r="N56" s="86">
        <f t="shared" si="2"/>
        <v>114450</v>
      </c>
      <c r="P56" s="109">
        <f t="shared" si="3"/>
        <v>43512940.9765075</v>
      </c>
      <c r="Q56" s="109">
        <f t="shared" si="4"/>
        <v>65054410.049999997</v>
      </c>
      <c r="R56" s="109">
        <f t="shared" si="5"/>
        <v>13933521.097322501</v>
      </c>
      <c r="AX56" s="86" t="s">
        <v>399</v>
      </c>
      <c r="AY56" s="107">
        <v>6317</v>
      </c>
      <c r="AZ56" s="86" t="s">
        <v>507</v>
      </c>
      <c r="BA56" s="86" t="s">
        <v>508</v>
      </c>
    </row>
    <row r="57" spans="1:53" ht="18" x14ac:dyDescent="0.35">
      <c r="A57" s="10">
        <v>46093</v>
      </c>
      <c r="B57" s="11" t="s">
        <v>320</v>
      </c>
      <c r="C57" s="11" t="s">
        <v>261</v>
      </c>
      <c r="D57" s="11" t="s">
        <v>321</v>
      </c>
      <c r="E57" s="12">
        <f>1553.833-150</f>
        <v>1403.8330000000001</v>
      </c>
      <c r="F57" s="14">
        <f t="shared" si="6"/>
        <v>150</v>
      </c>
      <c r="G57" s="14">
        <v>1553.8330000000001</v>
      </c>
      <c r="H57" s="14">
        <v>1553.837</v>
      </c>
      <c r="I57" s="15" t="s">
        <v>23</v>
      </c>
      <c r="J57" s="65" t="s">
        <v>396</v>
      </c>
      <c r="K57" s="16">
        <f t="shared" ca="1" si="1"/>
        <v>78</v>
      </c>
      <c r="L57" s="112">
        <v>81737.600000000006</v>
      </c>
      <c r="M57" s="112">
        <v>108000</v>
      </c>
      <c r="N57" s="86">
        <f t="shared" si="2"/>
        <v>113400</v>
      </c>
      <c r="P57" s="109">
        <f t="shared" si="3"/>
        <v>114745940.22080001</v>
      </c>
      <c r="Q57" s="109">
        <f t="shared" si="4"/>
        <v>159194662.20000002</v>
      </c>
      <c r="R57" s="109">
        <f t="shared" si="5"/>
        <v>3939465.0495999968</v>
      </c>
      <c r="AX57" s="86" t="s">
        <v>399</v>
      </c>
      <c r="AY57" s="107">
        <v>6346</v>
      </c>
      <c r="AZ57" s="86" t="s">
        <v>472</v>
      </c>
      <c r="BA57" s="86" t="s">
        <v>487</v>
      </c>
    </row>
    <row r="58" spans="1:53" ht="18" x14ac:dyDescent="0.35">
      <c r="A58" s="10">
        <v>46085</v>
      </c>
      <c r="B58" s="11" t="s">
        <v>303</v>
      </c>
      <c r="C58" s="11" t="s">
        <v>248</v>
      </c>
      <c r="D58" s="11" t="s">
        <v>13</v>
      </c>
      <c r="E58" s="12">
        <f>616.995-50-134-25-25+50</f>
        <v>432.995</v>
      </c>
      <c r="F58" s="14">
        <f t="shared" si="6"/>
        <v>33.860000000000014</v>
      </c>
      <c r="G58" s="14">
        <v>466.85500000000002</v>
      </c>
      <c r="H58" s="14">
        <v>947.53499999999997</v>
      </c>
      <c r="I58" s="15" t="s">
        <v>21</v>
      </c>
      <c r="J58" s="65" t="s">
        <v>396</v>
      </c>
      <c r="K58" s="16">
        <f t="shared" ca="1" si="1"/>
        <v>86</v>
      </c>
      <c r="L58" s="112">
        <v>76414.850002523614</v>
      </c>
      <c r="M58" s="112">
        <v>100468.75</v>
      </c>
      <c r="N58" s="86">
        <f t="shared" si="2"/>
        <v>105492.1875</v>
      </c>
      <c r="P58" s="109">
        <f t="shared" si="3"/>
        <v>33087247.976842713</v>
      </c>
      <c r="Q58" s="109">
        <f t="shared" si="4"/>
        <v>45677589.7265625</v>
      </c>
      <c r="R58" s="109">
        <f t="shared" si="5"/>
        <v>12376693.704701498</v>
      </c>
      <c r="AX58" s="86" t="s">
        <v>399</v>
      </c>
      <c r="AY58" s="107">
        <v>6309</v>
      </c>
      <c r="AZ58" s="86" t="s">
        <v>400</v>
      </c>
      <c r="BA58" s="86" t="s">
        <v>440</v>
      </c>
    </row>
    <row r="59" spans="1:53" ht="18" x14ac:dyDescent="0.35">
      <c r="A59" s="10">
        <v>45927</v>
      </c>
      <c r="B59" s="11" t="s">
        <v>247</v>
      </c>
      <c r="C59" s="11" t="s">
        <v>248</v>
      </c>
      <c r="D59" s="11" t="s">
        <v>9</v>
      </c>
      <c r="E59" s="12">
        <v>0</v>
      </c>
      <c r="F59" s="14">
        <f t="shared" si="6"/>
        <v>2.5</v>
      </c>
      <c r="G59" s="14">
        <v>2.5</v>
      </c>
      <c r="H59" s="14">
        <v>2836.84</v>
      </c>
      <c r="I59" s="15" t="s">
        <v>249</v>
      </c>
      <c r="J59" s="65" t="s">
        <v>396</v>
      </c>
      <c r="K59" s="16">
        <f t="shared" ca="1" si="1"/>
        <v>0</v>
      </c>
      <c r="L59" s="112">
        <v>66630.392000917753</v>
      </c>
      <c r="M59" s="112">
        <v>71112.5</v>
      </c>
      <c r="N59" s="86">
        <f t="shared" si="2"/>
        <v>74668.125</v>
      </c>
      <c r="P59" s="109">
        <f t="shared" si="3"/>
        <v>0</v>
      </c>
      <c r="Q59" s="109">
        <f t="shared" si="4"/>
        <v>0</v>
      </c>
      <c r="R59" s="109">
        <f t="shared" si="5"/>
        <v>12715023.256116483</v>
      </c>
      <c r="AX59" s="86" t="s">
        <v>399</v>
      </c>
      <c r="AY59" s="107">
        <v>6094</v>
      </c>
      <c r="AZ59" s="86" t="s">
        <v>521</v>
      </c>
    </row>
    <row r="60" spans="1:53" ht="18" x14ac:dyDescent="0.35">
      <c r="A60" s="10">
        <v>45965</v>
      </c>
      <c r="B60" s="11" t="s">
        <v>256</v>
      </c>
      <c r="C60" s="11" t="s">
        <v>248</v>
      </c>
      <c r="D60" s="11" t="s">
        <v>9</v>
      </c>
      <c r="E60" s="12">
        <v>0</v>
      </c>
      <c r="F60" s="14">
        <f t="shared" si="6"/>
        <v>7.7329999999999997</v>
      </c>
      <c r="G60" s="14">
        <v>7.7329999999999997</v>
      </c>
      <c r="H60" s="14">
        <v>2995.4349999999999</v>
      </c>
      <c r="I60" s="15" t="s">
        <v>249</v>
      </c>
      <c r="J60" s="65" t="s">
        <v>396</v>
      </c>
      <c r="K60" s="16">
        <f t="shared" ca="1" si="1"/>
        <v>0</v>
      </c>
      <c r="L60" s="112">
        <v>65781.782701267017</v>
      </c>
      <c r="M60" s="112">
        <v>76675.238095238092</v>
      </c>
      <c r="N60" s="86">
        <f t="shared" si="2"/>
        <v>80509</v>
      </c>
      <c r="P60" s="109">
        <f t="shared" si="3"/>
        <v>0</v>
      </c>
      <c r="Q60" s="109">
        <f t="shared" si="4"/>
        <v>0</v>
      </c>
      <c r="R60" s="109">
        <f t="shared" si="5"/>
        <v>32630637.558039747</v>
      </c>
      <c r="AX60" s="86" t="s">
        <v>399</v>
      </c>
      <c r="AY60" s="107">
        <v>6145</v>
      </c>
      <c r="AZ60" s="86" t="s">
        <v>485</v>
      </c>
      <c r="BA60" s="86" t="s">
        <v>522</v>
      </c>
    </row>
    <row r="61" spans="1:53" ht="18" x14ac:dyDescent="0.35">
      <c r="A61" s="10">
        <v>45980</v>
      </c>
      <c r="B61" s="11" t="s">
        <v>259</v>
      </c>
      <c r="C61" s="11" t="s">
        <v>248</v>
      </c>
      <c r="D61" s="11" t="s">
        <v>9</v>
      </c>
      <c r="E61" s="12">
        <v>0</v>
      </c>
      <c r="F61" s="14">
        <f t="shared" si="6"/>
        <v>1.173</v>
      </c>
      <c r="G61" s="14">
        <v>1.173</v>
      </c>
      <c r="H61" s="14">
        <v>474.95299999999997</v>
      </c>
      <c r="I61" s="15" t="s">
        <v>32</v>
      </c>
      <c r="J61" s="65" t="s">
        <v>396</v>
      </c>
      <c r="K61" s="16">
        <f t="shared" ca="1" si="1"/>
        <v>0</v>
      </c>
      <c r="L61" s="112">
        <v>65478.2</v>
      </c>
      <c r="M61" s="112">
        <v>78100</v>
      </c>
      <c r="N61" s="86">
        <f t="shared" si="2"/>
        <v>82005</v>
      </c>
      <c r="P61" s="109">
        <f t="shared" si="3"/>
        <v>0</v>
      </c>
      <c r="Q61" s="109">
        <f t="shared" si="4"/>
        <v>0</v>
      </c>
      <c r="R61" s="109">
        <f t="shared" si="5"/>
        <v>5994761.7754000006</v>
      </c>
      <c r="AX61" s="86" t="s">
        <v>399</v>
      </c>
      <c r="AY61" s="107">
        <v>6188</v>
      </c>
      <c r="AZ61" s="86" t="s">
        <v>417</v>
      </c>
      <c r="BA61" s="86" t="s">
        <v>523</v>
      </c>
    </row>
    <row r="62" spans="1:53" ht="18" x14ac:dyDescent="0.35">
      <c r="A62" s="10">
        <v>46018</v>
      </c>
      <c r="B62" s="11" t="s">
        <v>272</v>
      </c>
      <c r="C62" s="11" t="s">
        <v>248</v>
      </c>
      <c r="D62" s="11" t="s">
        <v>9</v>
      </c>
      <c r="E62" s="12">
        <v>0</v>
      </c>
      <c r="F62" s="14">
        <f t="shared" si="6"/>
        <v>14.218</v>
      </c>
      <c r="G62" s="14">
        <v>14.218</v>
      </c>
      <c r="H62" s="14">
        <v>2086.8789999999999</v>
      </c>
      <c r="I62" s="15" t="s">
        <v>130</v>
      </c>
      <c r="J62" s="65" t="s">
        <v>396</v>
      </c>
      <c r="K62" s="16">
        <f t="shared" ca="1" si="1"/>
        <v>0</v>
      </c>
      <c r="L62" s="112">
        <v>74314.197499999995</v>
      </c>
      <c r="M62" s="112">
        <v>78437.5</v>
      </c>
      <c r="N62" s="86">
        <f t="shared" si="2"/>
        <v>82359.375</v>
      </c>
      <c r="P62" s="109">
        <f t="shared" si="3"/>
        <v>0</v>
      </c>
      <c r="Q62" s="109">
        <f t="shared" si="4"/>
        <v>0</v>
      </c>
      <c r="R62" s="109">
        <f t="shared" si="5"/>
        <v>8604833.3978975099</v>
      </c>
      <c r="AX62" s="86" t="s">
        <v>399</v>
      </c>
      <c r="AY62" s="107">
        <v>6226</v>
      </c>
      <c r="AZ62" s="86" t="s">
        <v>524</v>
      </c>
      <c r="BA62" s="86" t="s">
        <v>525</v>
      </c>
    </row>
    <row r="63" spans="1:53" ht="18" x14ac:dyDescent="0.35">
      <c r="A63" s="10">
        <v>46069</v>
      </c>
      <c r="B63" s="11" t="s">
        <v>292</v>
      </c>
      <c r="C63" s="11" t="s">
        <v>114</v>
      </c>
      <c r="D63" s="11" t="s">
        <v>13</v>
      </c>
      <c r="E63" s="12">
        <v>0</v>
      </c>
      <c r="F63" s="14">
        <f t="shared" si="6"/>
        <v>0.38200000000000001</v>
      </c>
      <c r="G63" s="14">
        <v>0.38200000000000001</v>
      </c>
      <c r="H63" s="14">
        <v>800.42899999999997</v>
      </c>
      <c r="I63" s="15" t="s">
        <v>21</v>
      </c>
      <c r="J63" s="65" t="s">
        <v>396</v>
      </c>
      <c r="K63" s="16">
        <f t="shared" ca="1" si="1"/>
        <v>0</v>
      </c>
      <c r="L63" s="112">
        <v>89694.111907489612</v>
      </c>
      <c r="M63" s="112">
        <v>107156.25</v>
      </c>
      <c r="N63" s="86">
        <f t="shared" si="2"/>
        <v>112514.0625</v>
      </c>
      <c r="P63" s="109">
        <f t="shared" si="3"/>
        <v>0</v>
      </c>
      <c r="Q63" s="109">
        <f t="shared" si="4"/>
        <v>0</v>
      </c>
      <c r="R63" s="109">
        <f t="shared" si="5"/>
        <v>13977201.731249997</v>
      </c>
      <c r="AX63" s="86" t="s">
        <v>399</v>
      </c>
      <c r="AY63" s="107">
        <v>6284</v>
      </c>
      <c r="AZ63" s="86" t="s">
        <v>544</v>
      </c>
      <c r="BA63" s="86" t="s">
        <v>545</v>
      </c>
    </row>
    <row r="64" spans="1:53" ht="18" x14ac:dyDescent="0.35">
      <c r="A64" s="10">
        <v>46080</v>
      </c>
      <c r="B64" s="11" t="s">
        <v>302</v>
      </c>
      <c r="C64" s="11" t="s">
        <v>114</v>
      </c>
      <c r="D64" s="11" t="s">
        <v>13</v>
      </c>
      <c r="E64" s="12">
        <v>21.053000000000001</v>
      </c>
      <c r="F64" s="14">
        <f t="shared" si="6"/>
        <v>11.27</v>
      </c>
      <c r="G64" s="14">
        <v>32.323</v>
      </c>
      <c r="H64" s="14">
        <v>1047.319</v>
      </c>
      <c r="I64" s="15" t="s">
        <v>21</v>
      </c>
      <c r="J64" s="65" t="s">
        <v>396</v>
      </c>
      <c r="K64" s="16">
        <f t="shared" ca="1" si="1"/>
        <v>0</v>
      </c>
      <c r="L64" s="112">
        <v>94189.495794797549</v>
      </c>
      <c r="M64" s="112">
        <v>180321.42857142858</v>
      </c>
      <c r="N64" s="86">
        <f t="shared" si="2"/>
        <v>189337.50000000003</v>
      </c>
      <c r="P64" s="109">
        <f t="shared" si="3"/>
        <v>1982971.4549678729</v>
      </c>
      <c r="Q64" s="109">
        <f t="shared" si="4"/>
        <v>3986122.3875000007</v>
      </c>
      <c r="R64" s="109">
        <f t="shared" si="5"/>
        <v>88394274.122942016</v>
      </c>
      <c r="AX64" s="86" t="s">
        <v>399</v>
      </c>
      <c r="AY64" s="107">
        <v>6310</v>
      </c>
      <c r="AZ64" s="86" t="s">
        <v>546</v>
      </c>
    </row>
    <row r="65" spans="1:53" ht="18" x14ac:dyDescent="0.35">
      <c r="A65" s="10">
        <v>46139</v>
      </c>
      <c r="B65" s="11" t="s">
        <v>364</v>
      </c>
      <c r="C65" s="11" t="s">
        <v>114</v>
      </c>
      <c r="D65" s="11" t="s">
        <v>9</v>
      </c>
      <c r="E65" s="12">
        <v>0</v>
      </c>
      <c r="F65" s="14">
        <f t="shared" si="6"/>
        <v>325.988</v>
      </c>
      <c r="G65" s="14">
        <v>325.988</v>
      </c>
      <c r="H65" s="14">
        <v>1998.7049999999999</v>
      </c>
      <c r="I65" s="15" t="s">
        <v>23</v>
      </c>
      <c r="J65" s="65" t="s">
        <v>570</v>
      </c>
      <c r="K65" s="16">
        <f t="shared" ca="1" si="1"/>
        <v>0</v>
      </c>
      <c r="L65" s="112">
        <v>135097.68359752669</v>
      </c>
      <c r="M65" s="112">
        <v>164409.09090909091</v>
      </c>
      <c r="N65" s="86">
        <f t="shared" si="2"/>
        <v>172629.54545454547</v>
      </c>
      <c r="P65" s="109">
        <f t="shared" si="3"/>
        <v>0</v>
      </c>
      <c r="Q65" s="109">
        <f t="shared" si="4"/>
        <v>0</v>
      </c>
      <c r="R65" s="109">
        <f t="shared" si="5"/>
        <v>58584856.350659974</v>
      </c>
      <c r="AX65" s="86" t="s">
        <v>399</v>
      </c>
      <c r="AY65" s="107">
        <v>6373</v>
      </c>
      <c r="AZ65" s="86" t="s">
        <v>457</v>
      </c>
      <c r="BA65" s="86" t="s">
        <v>458</v>
      </c>
    </row>
    <row r="66" spans="1:53" ht="18" x14ac:dyDescent="0.35">
      <c r="A66" s="10">
        <v>46063</v>
      </c>
      <c r="B66" s="11" t="s">
        <v>287</v>
      </c>
      <c r="C66" s="11" t="s">
        <v>225</v>
      </c>
      <c r="D66" s="11" t="s">
        <v>9</v>
      </c>
      <c r="E66" s="12">
        <f>1125.224-200-298-18-100-195-150</f>
        <v>164.22399999999993</v>
      </c>
      <c r="F66" s="14">
        <f t="shared" si="6"/>
        <v>392.72</v>
      </c>
      <c r="G66" s="14">
        <v>556.94399999999996</v>
      </c>
      <c r="H66" s="14">
        <v>1869.5719999999999</v>
      </c>
      <c r="I66" s="15" t="s">
        <v>32</v>
      </c>
      <c r="J66" s="65" t="s">
        <v>396</v>
      </c>
      <c r="K66" s="16">
        <f t="shared" ca="1" si="1"/>
        <v>108</v>
      </c>
      <c r="L66" s="112">
        <v>104906.49999572095</v>
      </c>
      <c r="M66" s="112">
        <v>146500</v>
      </c>
      <c r="N66" s="86">
        <f t="shared" si="2"/>
        <v>153825</v>
      </c>
      <c r="P66" s="109">
        <f t="shared" si="3"/>
        <v>17228165.05529727</v>
      </c>
      <c r="Q66" s="109">
        <f t="shared" si="4"/>
        <v>25261756.79999999</v>
      </c>
      <c r="R66" s="109">
        <f t="shared" si="5"/>
        <v>70931392.045297265</v>
      </c>
      <c r="AX66" s="86" t="s">
        <v>399</v>
      </c>
      <c r="AY66" s="107">
        <v>6271</v>
      </c>
      <c r="AZ66" s="86" t="s">
        <v>544</v>
      </c>
      <c r="BA66" s="86" t="s">
        <v>545</v>
      </c>
    </row>
    <row r="67" spans="1:53" ht="18" x14ac:dyDescent="0.35">
      <c r="A67" s="10">
        <v>45996</v>
      </c>
      <c r="B67" s="11" t="s">
        <v>264</v>
      </c>
      <c r="C67" s="11" t="s">
        <v>225</v>
      </c>
      <c r="D67" s="11" t="s">
        <v>227</v>
      </c>
      <c r="E67" s="12">
        <v>0</v>
      </c>
      <c r="F67" s="14">
        <f t="shared" ref="F67:F75" si="7">G67-E67</f>
        <v>0.60499999999999998</v>
      </c>
      <c r="G67" s="14">
        <v>0.60499999999999998</v>
      </c>
      <c r="H67" s="14">
        <v>1451.973</v>
      </c>
      <c r="I67" s="15" t="s">
        <v>136</v>
      </c>
      <c r="J67" s="65" t="s">
        <v>396</v>
      </c>
      <c r="K67" s="16">
        <f t="shared" ca="1" si="1"/>
        <v>0</v>
      </c>
      <c r="L67" s="112">
        <v>101594.60000055042</v>
      </c>
      <c r="M67" s="112">
        <v>124834.48275862068</v>
      </c>
      <c r="N67" s="86">
        <f t="shared" si="2"/>
        <v>131076.20689655171</v>
      </c>
      <c r="P67" s="109">
        <f t="shared" si="3"/>
        <v>0</v>
      </c>
      <c r="Q67" s="109">
        <f t="shared" si="4"/>
        <v>0</v>
      </c>
      <c r="R67" s="109">
        <f t="shared" si="5"/>
        <v>33743682.287883557</v>
      </c>
      <c r="AX67" s="86" t="s">
        <v>399</v>
      </c>
      <c r="AY67" s="107">
        <v>6196</v>
      </c>
      <c r="AZ67" s="86" t="s">
        <v>553</v>
      </c>
      <c r="BA67" s="86" t="s">
        <v>452</v>
      </c>
    </row>
    <row r="68" spans="1:53" ht="18" x14ac:dyDescent="0.35">
      <c r="A68" s="10">
        <v>46037</v>
      </c>
      <c r="B68" s="11" t="s">
        <v>275</v>
      </c>
      <c r="C68" s="11" t="s">
        <v>159</v>
      </c>
      <c r="D68" s="11" t="s">
        <v>166</v>
      </c>
      <c r="E68" s="12">
        <v>0.29299999999999998</v>
      </c>
      <c r="F68" s="14">
        <f t="shared" si="7"/>
        <v>36.71</v>
      </c>
      <c r="G68" s="14">
        <v>37.003</v>
      </c>
      <c r="H68" s="14">
        <v>4023.86</v>
      </c>
      <c r="I68" s="15" t="s">
        <v>167</v>
      </c>
      <c r="J68" s="65" t="s">
        <v>396</v>
      </c>
      <c r="K68" s="16">
        <f t="shared" ref="K68:K75" ca="1" si="8">IF(E68&gt;25, TODAY()-A68, 0)</f>
        <v>0</v>
      </c>
      <c r="L68" s="112">
        <v>28833.439999404811</v>
      </c>
      <c r="M68" s="112">
        <v>40388.181818181816</v>
      </c>
      <c r="N68" s="86">
        <f t="shared" ref="N68:N75" si="9">M68*1.05</f>
        <v>42407.590909090912</v>
      </c>
      <c r="P68" s="109">
        <f t="shared" ref="P68:P75" si="10">L68*E68</f>
        <v>8448.1979198256086</v>
      </c>
      <c r="Q68" s="109">
        <f t="shared" ref="Q68:Q75" si="11">N68*E68</f>
        <v>12425.424136363636</v>
      </c>
      <c r="R68" s="109">
        <f t="shared" ref="R68:R75" si="12">(M68-L68)*(H68-E68)</f>
        <v>46491277.875551142</v>
      </c>
      <c r="AX68" s="86" t="s">
        <v>399</v>
      </c>
      <c r="AY68" s="107">
        <v>6280</v>
      </c>
      <c r="AZ68" s="86" t="s">
        <v>554</v>
      </c>
      <c r="BA68" s="86" t="s">
        <v>555</v>
      </c>
    </row>
    <row r="69" spans="1:53" ht="18" x14ac:dyDescent="0.35">
      <c r="A69" s="10">
        <v>46111</v>
      </c>
      <c r="B69" s="11" t="s">
        <v>334</v>
      </c>
      <c r="C69" s="11" t="s">
        <v>159</v>
      </c>
      <c r="D69" s="11" t="s">
        <v>166</v>
      </c>
      <c r="E69" s="12">
        <v>0</v>
      </c>
      <c r="F69" s="14">
        <f t="shared" si="7"/>
        <v>484.15899999999999</v>
      </c>
      <c r="G69" s="14">
        <v>484.15899999999999</v>
      </c>
      <c r="H69" s="14">
        <v>4454.6869999999999</v>
      </c>
      <c r="I69" s="15" t="s">
        <v>167</v>
      </c>
      <c r="J69" s="65" t="s">
        <v>396</v>
      </c>
      <c r="K69" s="16">
        <f t="shared" ca="1" si="8"/>
        <v>0</v>
      </c>
      <c r="L69" s="112">
        <v>30023.927499283338</v>
      </c>
      <c r="M69" s="112">
        <v>60711.206896551732</v>
      </c>
      <c r="N69" s="86">
        <f t="shared" si="9"/>
        <v>63746.767241379319</v>
      </c>
      <c r="P69" s="109">
        <f t="shared" si="10"/>
        <v>0</v>
      </c>
      <c r="Q69" s="109">
        <f t="shared" si="11"/>
        <v>0</v>
      </c>
      <c r="R69" s="109">
        <f t="shared" si="12"/>
        <v>136702224.59637934</v>
      </c>
      <c r="AX69" s="86" t="s">
        <v>399</v>
      </c>
      <c r="AY69" s="107">
        <v>6348</v>
      </c>
      <c r="AZ69" s="86" t="s">
        <v>556</v>
      </c>
      <c r="BA69" s="86" t="s">
        <v>557</v>
      </c>
    </row>
    <row r="70" spans="1:53" ht="18" x14ac:dyDescent="0.35">
      <c r="A70" s="10">
        <v>46027</v>
      </c>
      <c r="B70" s="11" t="s">
        <v>273</v>
      </c>
      <c r="C70" s="11" t="s">
        <v>159</v>
      </c>
      <c r="D70" s="11" t="s">
        <v>13</v>
      </c>
      <c r="E70" s="12">
        <v>0</v>
      </c>
      <c r="F70" s="14">
        <f t="shared" si="7"/>
        <v>11.332000000000001</v>
      </c>
      <c r="G70" s="14">
        <v>11.332000000000001</v>
      </c>
      <c r="H70" s="14">
        <v>10459.857</v>
      </c>
      <c r="I70" s="15" t="s">
        <v>21</v>
      </c>
      <c r="J70" s="65" t="s">
        <v>396</v>
      </c>
      <c r="K70" s="16">
        <f t="shared" ca="1" si="8"/>
        <v>0</v>
      </c>
      <c r="L70" s="112">
        <v>29548.237499999999</v>
      </c>
      <c r="M70" s="112">
        <v>30853.333333333328</v>
      </c>
      <c r="N70" s="86">
        <f t="shared" si="9"/>
        <v>32395.999999999996</v>
      </c>
      <c r="P70" s="109">
        <f t="shared" si="10"/>
        <v>0</v>
      </c>
      <c r="Q70" s="109">
        <f t="shared" si="11"/>
        <v>0</v>
      </c>
      <c r="R70" s="109">
        <f t="shared" si="12"/>
        <v>13651115.787962457</v>
      </c>
      <c r="AX70" s="86" t="s">
        <v>399</v>
      </c>
      <c r="AY70" s="107">
        <v>6252</v>
      </c>
      <c r="AZ70" s="86" t="s">
        <v>558</v>
      </c>
      <c r="BA70" s="86" t="s">
        <v>559</v>
      </c>
    </row>
    <row r="71" spans="1:53" ht="18" x14ac:dyDescent="0.35">
      <c r="A71" s="10">
        <v>46121</v>
      </c>
      <c r="B71" s="11" t="s">
        <v>343</v>
      </c>
      <c r="C71" s="11" t="s">
        <v>159</v>
      </c>
      <c r="D71" s="11" t="s">
        <v>13</v>
      </c>
      <c r="E71" s="12">
        <f>2991.197-167.506-62-600-23-825-483-40-200-64-25+26-40-250-32-16</f>
        <v>189.69100000000026</v>
      </c>
      <c r="F71" s="14">
        <f t="shared" si="7"/>
        <v>293.22399999999976</v>
      </c>
      <c r="G71" s="14">
        <v>482.91500000000002</v>
      </c>
      <c r="H71" s="14">
        <v>2991.1970000000001</v>
      </c>
      <c r="I71" s="15" t="s">
        <v>21</v>
      </c>
      <c r="J71" s="65" t="s">
        <v>396</v>
      </c>
      <c r="K71" s="16">
        <f t="shared" ca="1" si="8"/>
        <v>50</v>
      </c>
      <c r="L71" s="112">
        <v>71288</v>
      </c>
      <c r="M71" s="112">
        <v>66515.384615384624</v>
      </c>
      <c r="N71" s="86">
        <f t="shared" si="9"/>
        <v>69841.153846153858</v>
      </c>
      <c r="P71" s="109">
        <f t="shared" si="10"/>
        <v>13522692.008000018</v>
      </c>
      <c r="Q71" s="109">
        <f t="shared" si="11"/>
        <v>13248238.31423079</v>
      </c>
      <c r="R71" s="109">
        <f t="shared" si="12"/>
        <v>-13370510.635692282</v>
      </c>
      <c r="AX71" s="86" t="s">
        <v>399</v>
      </c>
      <c r="AY71" s="107">
        <v>6385</v>
      </c>
      <c r="AZ71" s="86" t="s">
        <v>562</v>
      </c>
      <c r="BA71" s="86" t="s">
        <v>563</v>
      </c>
    </row>
    <row r="72" spans="1:53" s="89" customFormat="1" ht="18" x14ac:dyDescent="0.35">
      <c r="A72" s="88">
        <v>46032</v>
      </c>
      <c r="B72" s="26" t="s">
        <v>274</v>
      </c>
      <c r="C72" s="26" t="s">
        <v>159</v>
      </c>
      <c r="D72" s="26" t="s">
        <v>9</v>
      </c>
      <c r="E72" s="13">
        <v>0</v>
      </c>
      <c r="F72" s="21">
        <f t="shared" si="7"/>
        <v>12.464</v>
      </c>
      <c r="G72" s="21">
        <v>12.464</v>
      </c>
      <c r="H72" s="21">
        <v>4981.598</v>
      </c>
      <c r="I72" s="23" t="s">
        <v>29</v>
      </c>
      <c r="J72" s="65" t="s">
        <v>396</v>
      </c>
      <c r="K72" s="16">
        <f t="shared" ca="1" si="8"/>
        <v>0</v>
      </c>
      <c r="L72" s="112">
        <v>29393.24</v>
      </c>
      <c r="M72" s="112">
        <v>37986.538461538468</v>
      </c>
      <c r="N72" s="86">
        <f t="shared" si="9"/>
        <v>39885.86538461539</v>
      </c>
      <c r="O72" s="86"/>
      <c r="P72" s="109">
        <f t="shared" si="10"/>
        <v>0</v>
      </c>
      <c r="Q72" s="109">
        <f t="shared" si="11"/>
        <v>0</v>
      </c>
      <c r="R72" s="109">
        <f t="shared" si="12"/>
        <v>42808358.429403104</v>
      </c>
      <c r="AX72" s="89" t="s">
        <v>399</v>
      </c>
      <c r="AY72" s="108">
        <v>6267</v>
      </c>
      <c r="AZ72" s="89" t="s">
        <v>564</v>
      </c>
      <c r="BA72" s="89" t="s">
        <v>565</v>
      </c>
    </row>
    <row r="73" spans="1:53" s="89" customFormat="1" ht="18" x14ac:dyDescent="0.35">
      <c r="A73" s="88">
        <v>46073</v>
      </c>
      <c r="B73" s="26" t="s">
        <v>301</v>
      </c>
      <c r="C73" s="26" t="s">
        <v>159</v>
      </c>
      <c r="D73" s="26" t="s">
        <v>9</v>
      </c>
      <c r="E73" s="13">
        <v>0</v>
      </c>
      <c r="F73" s="21">
        <f t="shared" si="7"/>
        <v>21.808</v>
      </c>
      <c r="G73" s="21">
        <v>21.808</v>
      </c>
      <c r="H73" s="21">
        <v>5879.7470000000003</v>
      </c>
      <c r="I73" s="23" t="s">
        <v>152</v>
      </c>
      <c r="J73" s="65" t="s">
        <v>396</v>
      </c>
      <c r="K73" s="16">
        <f t="shared" ca="1" si="8"/>
        <v>0</v>
      </c>
      <c r="L73" s="112">
        <v>27220.000000000004</v>
      </c>
      <c r="M73" s="112">
        <v>67105.882352941175</v>
      </c>
      <c r="N73" s="86">
        <f t="shared" si="9"/>
        <v>70461.176470588238</v>
      </c>
      <c r="O73" s="86"/>
      <c r="P73" s="109">
        <f t="shared" si="10"/>
        <v>0</v>
      </c>
      <c r="Q73" s="109">
        <f t="shared" si="11"/>
        <v>0</v>
      </c>
      <c r="R73" s="109">
        <f t="shared" si="12"/>
        <v>234518897.10705882</v>
      </c>
      <c r="AX73" s="89" t="s">
        <v>399</v>
      </c>
      <c r="AY73" s="108">
        <v>6329</v>
      </c>
      <c r="AZ73" s="89" t="s">
        <v>417</v>
      </c>
      <c r="BA73" s="89" t="s">
        <v>566</v>
      </c>
    </row>
    <row r="74" spans="1:53" ht="18" x14ac:dyDescent="0.35">
      <c r="A74" s="10">
        <v>46010</v>
      </c>
      <c r="B74" s="11" t="s">
        <v>269</v>
      </c>
      <c r="C74" s="11" t="s">
        <v>159</v>
      </c>
      <c r="D74" s="11" t="s">
        <v>16</v>
      </c>
      <c r="E74" s="12">
        <v>0</v>
      </c>
      <c r="F74" s="14">
        <f t="shared" si="7"/>
        <v>24.088000000000001</v>
      </c>
      <c r="G74" s="14">
        <v>24.088000000000001</v>
      </c>
      <c r="H74" s="14">
        <v>5242.9709999999995</v>
      </c>
      <c r="I74" s="15" t="s">
        <v>23</v>
      </c>
      <c r="J74" s="65" t="s">
        <v>396</v>
      </c>
      <c r="K74" s="16">
        <f t="shared" ca="1" si="8"/>
        <v>0</v>
      </c>
      <c r="L74" s="112">
        <v>29641.987500952378</v>
      </c>
      <c r="M74" s="112">
        <v>33934.054054054053</v>
      </c>
      <c r="N74" s="86">
        <f t="shared" si="9"/>
        <v>35630.75675675676</v>
      </c>
      <c r="P74" s="109">
        <f t="shared" si="10"/>
        <v>0</v>
      </c>
      <c r="Q74" s="109">
        <f t="shared" si="11"/>
        <v>0</v>
      </c>
      <c r="R74" s="109">
        <f t="shared" si="12"/>
        <v>22503180.467982039</v>
      </c>
      <c r="AX74" s="86" t="s">
        <v>399</v>
      </c>
      <c r="AY74" s="107">
        <v>6263</v>
      </c>
      <c r="AZ74" s="86" t="s">
        <v>482</v>
      </c>
      <c r="BA74" s="86" t="s">
        <v>567</v>
      </c>
    </row>
    <row r="75" spans="1:53" ht="18" x14ac:dyDescent="0.35">
      <c r="A75" s="10">
        <v>46099</v>
      </c>
      <c r="B75" s="11" t="s">
        <v>331</v>
      </c>
      <c r="C75" s="11" t="s">
        <v>159</v>
      </c>
      <c r="D75" s="11" t="s">
        <v>16</v>
      </c>
      <c r="E75" s="12">
        <v>0</v>
      </c>
      <c r="F75" s="14">
        <f t="shared" si="7"/>
        <v>996.48500000000001</v>
      </c>
      <c r="G75" s="14">
        <v>996.48500000000001</v>
      </c>
      <c r="H75" s="14">
        <v>8521.9869999999992</v>
      </c>
      <c r="I75" s="15" t="s">
        <v>23</v>
      </c>
      <c r="J75" s="65" t="s">
        <v>396</v>
      </c>
      <c r="K75" s="16">
        <f t="shared" ca="1" si="8"/>
        <v>0</v>
      </c>
      <c r="L75" s="112">
        <v>29000.724999999999</v>
      </c>
      <c r="M75" s="112">
        <v>61367.741935483871</v>
      </c>
      <c r="N75" s="86">
        <f t="shared" si="9"/>
        <v>64436.129032258068</v>
      </c>
      <c r="P75" s="109">
        <f t="shared" si="10"/>
        <v>0</v>
      </c>
      <c r="Q75" s="109">
        <f t="shared" si="11"/>
        <v>0</v>
      </c>
      <c r="R75" s="109">
        <f t="shared" si="12"/>
        <v>275831297.55297339</v>
      </c>
      <c r="AX75" s="86" t="s">
        <v>399</v>
      </c>
      <c r="AY75" s="107">
        <v>6334</v>
      </c>
      <c r="AZ75" s="86" t="s">
        <v>558</v>
      </c>
      <c r="BA75" s="86" t="s">
        <v>559</v>
      </c>
    </row>
    <row r="76" spans="1:53" x14ac:dyDescent="0.3">
      <c r="E76" s="44">
        <f t="shared" ref="E76:G76" si="13">SUM(E3:E75)</f>
        <v>14323.862999999999</v>
      </c>
      <c r="F76" s="44">
        <f t="shared" si="13"/>
        <v>11223.241</v>
      </c>
      <c r="G76" s="44">
        <f t="shared" si="13"/>
        <v>25547.104000000007</v>
      </c>
      <c r="H76" s="44">
        <f>SUM(H3:H75)</f>
        <v>137814.72900000002</v>
      </c>
      <c r="P76" s="109">
        <f>SUM(P3:P75)</f>
        <v>1279500097.6510642</v>
      </c>
      <c r="Q76" s="109">
        <f t="shared" ref="Q76:R76" si="14">SUM(Q3:Q75)</f>
        <v>1529586980.5390744</v>
      </c>
      <c r="R76" s="109">
        <f t="shared" si="14"/>
        <v>1861066673.8364596</v>
      </c>
    </row>
    <row r="77" spans="1:53" ht="18" x14ac:dyDescent="0.35">
      <c r="G77" s="90"/>
      <c r="H77" s="44"/>
      <c r="P77" s="109">
        <f>P76/10000000</f>
        <v>127.95000976510642</v>
      </c>
      <c r="Q77" s="109">
        <f t="shared" ref="Q77:R77" si="15">Q76/10000000</f>
        <v>152.95869805390745</v>
      </c>
      <c r="R77" s="109">
        <f t="shared" si="15"/>
        <v>186.10666738364597</v>
      </c>
    </row>
    <row r="78" spans="1:53" ht="18" x14ac:dyDescent="0.35">
      <c r="G78" s="90"/>
      <c r="H78" s="90">
        <f>H76-E76</f>
        <v>123490.86600000002</v>
      </c>
    </row>
    <row r="79" spans="1:53" ht="18" x14ac:dyDescent="0.35">
      <c r="G79" s="90"/>
      <c r="H79" s="90"/>
      <c r="I79" s="99"/>
    </row>
    <row r="80" spans="1:53" ht="18" x14ac:dyDescent="0.35">
      <c r="F80" s="44"/>
      <c r="G80" s="90"/>
      <c r="H80" s="44"/>
      <c r="I80" s="99"/>
    </row>
    <row r="81" spans="6:8" x14ac:dyDescent="0.3">
      <c r="F81" s="44"/>
      <c r="G81" s="44">
        <f>G76-F76</f>
        <v>14323.863000000007</v>
      </c>
      <c r="H81" s="44"/>
    </row>
    <row r="82" spans="6:8" x14ac:dyDescent="0.3">
      <c r="F82" s="44"/>
      <c r="G82" s="44"/>
      <c r="H82" s="44"/>
    </row>
    <row r="83" spans="6:8" x14ac:dyDescent="0.3">
      <c r="F83" s="44"/>
      <c r="G83" s="44"/>
      <c r="H83" s="44"/>
    </row>
    <row r="84" spans="6:8" x14ac:dyDescent="0.3">
      <c r="F84" s="44"/>
      <c r="G84" s="44"/>
      <c r="H84" s="44"/>
    </row>
    <row r="85" spans="6:8" x14ac:dyDescent="0.3">
      <c r="F85" s="44"/>
      <c r="G85" s="44"/>
      <c r="H85" s="44"/>
    </row>
    <row r="86" spans="6:8" x14ac:dyDescent="0.3">
      <c r="F86" s="44"/>
      <c r="G86" s="44"/>
      <c r="H86" s="44"/>
    </row>
    <row r="87" spans="6:8" x14ac:dyDescent="0.3">
      <c r="F87" s="44"/>
      <c r="G87" s="44"/>
      <c r="H87" s="44"/>
    </row>
  </sheetData>
  <autoFilter ref="A2:M76" xr:uid="{00000000-0001-0000-0100-000000000000}"/>
  <mergeCells count="1">
    <mergeCell ref="A1:K1"/>
  </mergeCells>
  <conditionalFormatting sqref="G77 G78:H79 G80">
    <cfRule type="cellIs" dxfId="1" priority="34" operator="lessThan">
      <formula>0</formula>
    </cfRule>
  </conditionalFormatting>
  <conditionalFormatting sqref="G1:H67 E1:E1048576 G70:H75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399999999999999" x14ac:dyDescent="0.35"/>
  <cols>
    <col min="1" max="1" width="16.109375" style="1" customWidth="1"/>
    <col min="2" max="2" width="38" bestFit="1" customWidth="1"/>
    <col min="3" max="3" width="24.5546875" customWidth="1"/>
    <col min="4" max="4" width="14.33203125" customWidth="1"/>
    <col min="5" max="5" width="17.6640625" style="1" customWidth="1"/>
    <col min="6" max="6" width="14.109375" style="2" customWidth="1"/>
    <col min="7" max="7" width="23.33203125" customWidth="1"/>
    <col min="8" max="8" width="20.33203125" customWidth="1"/>
    <col min="9" max="9" width="34.6640625" style="1" customWidth="1"/>
    <col min="10" max="10" width="17.88671875" style="1" customWidth="1"/>
    <col min="11" max="11" width="23.5546875" style="3" customWidth="1"/>
    <col min="12" max="12" width="31.33203125" customWidth="1"/>
    <col min="13" max="13" width="12.88671875" customWidth="1"/>
    <col min="14" max="14" width="12.6640625" customWidth="1"/>
  </cols>
  <sheetData>
    <row r="4" spans="1:14" ht="18" thickBot="1" x14ac:dyDescent="0.4"/>
    <row r="5" spans="1:14" ht="33" customHeight="1" thickBot="1" x14ac:dyDescent="0.35">
      <c r="A5" s="115" t="s">
        <v>172</v>
      </c>
      <c r="B5" s="116"/>
      <c r="C5" s="116"/>
      <c r="D5" s="116"/>
      <c r="E5" s="116"/>
      <c r="F5" s="116"/>
      <c r="G5" s="116"/>
      <c r="H5" s="116"/>
      <c r="I5" s="116"/>
      <c r="J5" s="117"/>
      <c r="K5" s="4"/>
    </row>
    <row r="6" spans="1:14" ht="36.6" thickBot="1" x14ac:dyDescent="0.4">
      <c r="A6" s="5" t="s">
        <v>0</v>
      </c>
      <c r="B6" s="6" t="s">
        <v>1</v>
      </c>
      <c r="C6" s="6" t="s">
        <v>2</v>
      </c>
      <c r="D6" s="6" t="s">
        <v>3</v>
      </c>
      <c r="E6" s="7" t="s">
        <v>4</v>
      </c>
      <c r="F6" s="7" t="s">
        <v>4</v>
      </c>
      <c r="G6" s="7" t="s">
        <v>5</v>
      </c>
      <c r="H6" s="7" t="s">
        <v>6</v>
      </c>
      <c r="I6" s="7" t="s">
        <v>7</v>
      </c>
      <c r="J6" s="8"/>
      <c r="K6" s="9" t="s">
        <v>8</v>
      </c>
      <c r="M6" s="55" t="s">
        <v>224</v>
      </c>
      <c r="N6" t="s">
        <v>173</v>
      </c>
    </row>
    <row r="7" spans="1:14" ht="18" x14ac:dyDescent="0.35">
      <c r="A7" s="10">
        <v>44893</v>
      </c>
      <c r="B7" s="11" t="s">
        <v>10</v>
      </c>
      <c r="C7" s="11" t="s">
        <v>11</v>
      </c>
      <c r="D7" s="11" t="s">
        <v>9</v>
      </c>
      <c r="E7" s="12">
        <v>5.6970000000001164</v>
      </c>
      <c r="F7" s="13"/>
      <c r="G7" s="14">
        <v>0</v>
      </c>
      <c r="H7" s="14">
        <v>5.6970000000001164</v>
      </c>
      <c r="I7" s="15" t="s">
        <v>12</v>
      </c>
      <c r="J7" s="16"/>
      <c r="K7" s="17">
        <v>473</v>
      </c>
      <c r="M7" t="e">
        <v>#N/A</v>
      </c>
      <c r="N7" t="e">
        <v>#N/A</v>
      </c>
    </row>
    <row r="8" spans="1:14" ht="18" x14ac:dyDescent="0.35">
      <c r="A8" s="10">
        <v>44964</v>
      </c>
      <c r="B8" s="11" t="s">
        <v>14</v>
      </c>
      <c r="C8" s="11" t="s">
        <v>11</v>
      </c>
      <c r="D8" s="11" t="s">
        <v>9</v>
      </c>
      <c r="E8" s="12">
        <f t="shared" ref="E8:E15" si="0">H8-G8</f>
        <v>0</v>
      </c>
      <c r="F8" s="13"/>
      <c r="G8" s="14">
        <f>322.189-37.75-166.01-103.19</f>
        <v>15.239000000000033</v>
      </c>
      <c r="H8" s="14">
        <f>322.189-37.75-166.01-103.19</f>
        <v>15.239000000000033</v>
      </c>
      <c r="I8" s="15" t="s">
        <v>15</v>
      </c>
      <c r="J8" s="16"/>
      <c r="K8" s="18">
        <v>435</v>
      </c>
      <c r="M8">
        <v>0</v>
      </c>
      <c r="N8">
        <v>2.8421709430404007E-13</v>
      </c>
    </row>
    <row r="9" spans="1:14" ht="18" x14ac:dyDescent="0.35">
      <c r="A9" s="10">
        <v>44992</v>
      </c>
      <c r="B9" s="11" t="s">
        <v>17</v>
      </c>
      <c r="C9" s="11" t="s">
        <v>11</v>
      </c>
      <c r="D9" s="11" t="s">
        <v>9</v>
      </c>
      <c r="E9" s="12">
        <f t="shared" si="0"/>
        <v>753.14100000000008</v>
      </c>
      <c r="F9" s="13"/>
      <c r="G9" s="14">
        <f>80+18+282-9.83</f>
        <v>370.17</v>
      </c>
      <c r="H9" s="14">
        <f>1392.151-69.52-132.92-56.57-9.83</f>
        <v>1123.3110000000001</v>
      </c>
      <c r="I9" s="15" t="s">
        <v>18</v>
      </c>
      <c r="J9" s="16"/>
      <c r="K9" s="18">
        <v>435.07498157175701</v>
      </c>
      <c r="M9">
        <v>353.94100000000003</v>
      </c>
      <c r="N9">
        <v>-32.848999999999933</v>
      </c>
    </row>
    <row r="10" spans="1:14" ht="18" x14ac:dyDescent="0.35">
      <c r="A10" s="10">
        <v>45007</v>
      </c>
      <c r="B10" s="11" t="s">
        <v>20</v>
      </c>
      <c r="C10" s="11" t="s">
        <v>11</v>
      </c>
      <c r="D10" s="11" t="s">
        <v>13</v>
      </c>
      <c r="E10" s="12">
        <f t="shared" si="0"/>
        <v>120.46399999999994</v>
      </c>
      <c r="F10" s="13"/>
      <c r="G10" s="14">
        <f>693.44-64.12-25.08-24.21-60.09+88-35.06</f>
        <v>572.87999999999988</v>
      </c>
      <c r="H10" s="14">
        <f>901.904-64.12-25.08-24.21-60.09-35.06</f>
        <v>693.34399999999982</v>
      </c>
      <c r="I10" s="15" t="s">
        <v>21</v>
      </c>
      <c r="J10" s="16"/>
      <c r="K10" s="18">
        <v>455.07895326310899</v>
      </c>
      <c r="M10">
        <v>205.05399999999986</v>
      </c>
      <c r="N10">
        <v>71.653999999999883</v>
      </c>
    </row>
    <row r="11" spans="1:14" ht="18" x14ac:dyDescent="0.35">
      <c r="A11" s="10">
        <v>45026</v>
      </c>
      <c r="B11" s="11" t="s">
        <v>22</v>
      </c>
      <c r="C11" s="11" t="s">
        <v>11</v>
      </c>
      <c r="D11" s="11" t="s">
        <v>13</v>
      </c>
      <c r="E11" s="12">
        <f t="shared" si="0"/>
        <v>848.58600000000001</v>
      </c>
      <c r="F11" s="13"/>
      <c r="G11" s="14">
        <v>200</v>
      </c>
      <c r="H11" s="14">
        <v>1048.586</v>
      </c>
      <c r="I11" s="15" t="s">
        <v>21</v>
      </c>
      <c r="J11" s="16"/>
      <c r="K11" s="18">
        <v>455.07995469010302</v>
      </c>
      <c r="M11">
        <v>848.58600000000001</v>
      </c>
      <c r="N11">
        <v>848.58600000000001</v>
      </c>
    </row>
    <row r="12" spans="1:14" ht="18" x14ac:dyDescent="0.35">
      <c r="A12" s="10">
        <v>44959</v>
      </c>
      <c r="B12" s="11" t="s">
        <v>174</v>
      </c>
      <c r="C12" s="11" t="s">
        <v>11</v>
      </c>
      <c r="D12" s="11" t="s">
        <v>16</v>
      </c>
      <c r="E12" s="12">
        <f t="shared" si="0"/>
        <v>123.40899999999998</v>
      </c>
      <c r="F12" s="13"/>
      <c r="G12" s="14">
        <f>105-24.84-7.11</f>
        <v>73.05</v>
      </c>
      <c r="H12" s="14">
        <f>228.409-24.84-7.11</f>
        <v>196.45899999999997</v>
      </c>
      <c r="I12" s="15" t="s">
        <v>23</v>
      </c>
      <c r="J12" s="16"/>
      <c r="K12" s="18">
        <v>441.98</v>
      </c>
      <c r="M12">
        <v>1.9309999999998126</v>
      </c>
      <c r="N12">
        <v>-52.34900000000016</v>
      </c>
    </row>
    <row r="13" spans="1:14" ht="18" x14ac:dyDescent="0.35">
      <c r="A13" s="10">
        <v>45004</v>
      </c>
      <c r="B13" s="11" t="s">
        <v>24</v>
      </c>
      <c r="C13" s="11" t="s">
        <v>11</v>
      </c>
      <c r="D13" s="11" t="s">
        <v>16</v>
      </c>
      <c r="E13" s="12">
        <f>H13-G13</f>
        <v>43.650999999999968</v>
      </c>
      <c r="F13" s="13"/>
      <c r="G13" s="14">
        <f>115.68-21.77</f>
        <v>93.910000000000011</v>
      </c>
      <c r="H13" s="14">
        <f>159.331-21.77</f>
        <v>137.56099999999998</v>
      </c>
      <c r="I13" s="15" t="s">
        <v>23</v>
      </c>
      <c r="J13" s="16"/>
      <c r="K13" s="18">
        <v>455.07914508269999</v>
      </c>
      <c r="M13">
        <v>117.81099999999992</v>
      </c>
      <c r="N13">
        <v>43.471000000000004</v>
      </c>
    </row>
    <row r="14" spans="1:14" ht="18" x14ac:dyDescent="0.35">
      <c r="A14" s="10">
        <v>45061</v>
      </c>
      <c r="B14" s="11" t="s">
        <v>213</v>
      </c>
      <c r="C14" s="11" t="s">
        <v>11</v>
      </c>
      <c r="D14" s="11" t="s">
        <v>16</v>
      </c>
      <c r="E14" s="12">
        <f>H14-G14</f>
        <v>43.650999999999968</v>
      </c>
      <c r="F14" s="13"/>
      <c r="G14" s="14">
        <f>115.68-21.77</f>
        <v>93.910000000000011</v>
      </c>
      <c r="H14" s="14">
        <f>159.331-21.77</f>
        <v>137.56099999999998</v>
      </c>
      <c r="I14" s="15" t="s">
        <v>23</v>
      </c>
      <c r="J14" s="16"/>
      <c r="K14" s="18">
        <v>455.07914508269999</v>
      </c>
      <c r="M14">
        <v>1000.042</v>
      </c>
      <c r="N14">
        <v>1000.0419999999999</v>
      </c>
    </row>
    <row r="15" spans="1:14" ht="18" x14ac:dyDescent="0.35">
      <c r="A15" s="10">
        <v>44855</v>
      </c>
      <c r="B15" s="11" t="s">
        <v>25</v>
      </c>
      <c r="C15" s="11" t="s">
        <v>11</v>
      </c>
      <c r="D15" s="11" t="s">
        <v>19</v>
      </c>
      <c r="E15" s="12">
        <f t="shared" si="0"/>
        <v>2.0150000000000001</v>
      </c>
      <c r="F15" s="13"/>
      <c r="G15" s="14">
        <v>0</v>
      </c>
      <c r="H15" s="14">
        <v>2.0150000000000001</v>
      </c>
      <c r="I15" s="15" t="s">
        <v>26</v>
      </c>
      <c r="J15" s="16"/>
      <c r="K15" s="18">
        <v>495</v>
      </c>
      <c r="M15">
        <v>2.055000000000291</v>
      </c>
      <c r="N15">
        <v>1.095000000000141</v>
      </c>
    </row>
    <row r="16" spans="1:14" ht="18" x14ac:dyDescent="0.35">
      <c r="A16" s="19"/>
      <c r="B16" s="13" t="s">
        <v>27</v>
      </c>
      <c r="C16" s="13"/>
      <c r="D16" s="13"/>
      <c r="E16" s="20">
        <f>SUBTOTAL(9,E7:E15)</f>
        <v>1940.6140000000003</v>
      </c>
      <c r="F16" s="21">
        <f>E16</f>
        <v>1940.6140000000003</v>
      </c>
      <c r="G16" s="20">
        <f>SUBTOTAL(9,G7:G15)</f>
        <v>1419.1590000000001</v>
      </c>
      <c r="H16" s="20">
        <f>SUBTOTAL(9,H7:H15)</f>
        <v>3359.7730000000001</v>
      </c>
      <c r="I16" s="15"/>
      <c r="J16" s="16"/>
      <c r="K16" s="18"/>
    </row>
    <row r="17" spans="1:14" ht="18" x14ac:dyDescent="0.35">
      <c r="A17" s="19"/>
      <c r="B17" s="13"/>
      <c r="C17" s="13"/>
      <c r="D17" s="13"/>
      <c r="E17" s="20"/>
      <c r="F17" s="21"/>
      <c r="G17" s="20"/>
      <c r="H17" s="20"/>
      <c r="I17" s="15"/>
      <c r="J17" s="16"/>
      <c r="K17" s="18"/>
    </row>
    <row r="18" spans="1:14" ht="18" x14ac:dyDescent="0.35">
      <c r="A18" s="10">
        <v>44893</v>
      </c>
      <c r="B18" s="11" t="s">
        <v>175</v>
      </c>
      <c r="C18" s="12" t="s">
        <v>28</v>
      </c>
      <c r="D18" s="12" t="s">
        <v>9</v>
      </c>
      <c r="E18" s="12">
        <f t="shared" ref="E18:E19" si="1">H18-G18</f>
        <v>528.90800000000002</v>
      </c>
      <c r="F18" s="14"/>
      <c r="G18" s="22">
        <f>20</f>
        <v>20</v>
      </c>
      <c r="H18" s="22">
        <f>565.828-16.92</f>
        <v>548.90800000000002</v>
      </c>
      <c r="I18" s="15" t="s">
        <v>29</v>
      </c>
      <c r="J18" s="16"/>
      <c r="K18" s="18">
        <v>1290</v>
      </c>
      <c r="M18">
        <v>56.535999999999831</v>
      </c>
      <c r="N18">
        <v>36.215999999999951</v>
      </c>
    </row>
    <row r="19" spans="1:14" ht="18" x14ac:dyDescent="0.35">
      <c r="A19" s="10">
        <v>44893</v>
      </c>
      <c r="B19" s="11" t="s">
        <v>176</v>
      </c>
      <c r="C19" s="12" t="s">
        <v>28</v>
      </c>
      <c r="D19" s="12" t="s">
        <v>9</v>
      </c>
      <c r="E19" s="12">
        <f t="shared" si="1"/>
        <v>528.90800000000002</v>
      </c>
      <c r="F19" s="14"/>
      <c r="G19" s="22">
        <f>20</f>
        <v>20</v>
      </c>
      <c r="H19" s="22">
        <f>565.828-16.92</f>
        <v>548.90800000000002</v>
      </c>
      <c r="I19" s="15" t="s">
        <v>29</v>
      </c>
      <c r="J19" s="16"/>
      <c r="K19" s="18">
        <v>1290</v>
      </c>
      <c r="M19">
        <v>482.28800000000001</v>
      </c>
      <c r="N19">
        <v>482.28800000000001</v>
      </c>
    </row>
    <row r="20" spans="1:14" ht="18" x14ac:dyDescent="0.35">
      <c r="A20" s="10"/>
      <c r="B20" s="13" t="s">
        <v>27</v>
      </c>
      <c r="C20" s="12"/>
      <c r="D20" s="12"/>
      <c r="E20" s="20">
        <f>SUBTOTAL(9,E19:E19)</f>
        <v>528.90800000000002</v>
      </c>
      <c r="F20" s="21">
        <f>E20</f>
        <v>528.90800000000002</v>
      </c>
      <c r="G20" s="20">
        <f>SUBTOTAL(9,G19:G19)</f>
        <v>20</v>
      </c>
      <c r="H20" s="20">
        <f>SUBTOTAL(9,H19:H19)</f>
        <v>548.90800000000002</v>
      </c>
      <c r="I20" s="15"/>
      <c r="J20" s="16"/>
      <c r="K20" s="18"/>
    </row>
    <row r="21" spans="1:14" ht="18" x14ac:dyDescent="0.35">
      <c r="A21" s="19"/>
      <c r="B21" s="13"/>
      <c r="C21" s="13"/>
      <c r="D21" s="13"/>
      <c r="E21" s="13"/>
      <c r="F21" s="21"/>
      <c r="G21" s="20"/>
      <c r="H21" s="20"/>
      <c r="I21" s="15"/>
      <c r="J21" s="16"/>
      <c r="K21" s="18"/>
    </row>
    <row r="22" spans="1:14" ht="18" x14ac:dyDescent="0.35">
      <c r="A22" s="10">
        <v>44910</v>
      </c>
      <c r="B22" s="12" t="s">
        <v>30</v>
      </c>
      <c r="C22" s="12" t="s">
        <v>31</v>
      </c>
      <c r="D22" s="12" t="s">
        <v>9</v>
      </c>
      <c r="E22" s="12">
        <f t="shared" ref="E22:E24" si="2">H22-G22</f>
        <v>0</v>
      </c>
      <c r="F22" s="21"/>
      <c r="G22" s="22">
        <v>10.776999999999999</v>
      </c>
      <c r="H22" s="22">
        <v>10.776999999999999</v>
      </c>
      <c r="I22" s="15" t="s">
        <v>32</v>
      </c>
      <c r="J22" s="16"/>
      <c r="K22" s="18">
        <v>680.11914634146342</v>
      </c>
      <c r="M22">
        <v>-10.642999999999972</v>
      </c>
      <c r="N22">
        <v>-0.41299999999995407</v>
      </c>
    </row>
    <row r="23" spans="1:14" ht="18" x14ac:dyDescent="0.35">
      <c r="A23" s="10">
        <v>44847</v>
      </c>
      <c r="B23" s="12" t="s">
        <v>33</v>
      </c>
      <c r="C23" s="12" t="s">
        <v>31</v>
      </c>
      <c r="D23" s="12" t="s">
        <v>16</v>
      </c>
      <c r="E23" s="12">
        <f t="shared" si="2"/>
        <v>0</v>
      </c>
      <c r="F23" s="21"/>
      <c r="G23" s="22">
        <v>22.535</v>
      </c>
      <c r="H23" s="22">
        <v>22.535</v>
      </c>
      <c r="I23" s="15" t="s">
        <v>23</v>
      </c>
      <c r="J23" s="16"/>
      <c r="K23" s="18">
        <v>670</v>
      </c>
      <c r="M23">
        <v>23.591000000000065</v>
      </c>
      <c r="N23">
        <v>-0.73900000000003274</v>
      </c>
    </row>
    <row r="24" spans="1:14" ht="18" x14ac:dyDescent="0.35">
      <c r="A24" s="10">
        <v>44789</v>
      </c>
      <c r="B24" s="12" t="s">
        <v>34</v>
      </c>
      <c r="C24" s="12" t="s">
        <v>31</v>
      </c>
      <c r="D24" s="12" t="s">
        <v>19</v>
      </c>
      <c r="E24" s="12">
        <f t="shared" si="2"/>
        <v>0</v>
      </c>
      <c r="F24" s="21"/>
      <c r="G24" s="22">
        <v>2.1280000000000001</v>
      </c>
      <c r="H24" s="22">
        <v>2.1280000000000001</v>
      </c>
      <c r="I24" s="15" t="s">
        <v>19</v>
      </c>
      <c r="J24" s="16"/>
      <c r="K24" s="18">
        <v>762</v>
      </c>
      <c r="M24">
        <v>7.32000000000005</v>
      </c>
      <c r="N24">
        <v>0.43000000000006366</v>
      </c>
    </row>
    <row r="25" spans="1:14" ht="18" x14ac:dyDescent="0.35">
      <c r="A25" s="19"/>
      <c r="B25" s="13" t="s">
        <v>27</v>
      </c>
      <c r="C25" s="13"/>
      <c r="D25" s="13"/>
      <c r="E25" s="20">
        <f>SUBTOTAL(9,E22:E24)</f>
        <v>0</v>
      </c>
      <c r="F25" s="21">
        <f>E25</f>
        <v>0</v>
      </c>
      <c r="G25" s="20">
        <f>SUBTOTAL(9,G22:G24)</f>
        <v>35.44</v>
      </c>
      <c r="H25" s="20">
        <f>SUBTOTAL(9,H22:H24)</f>
        <v>35.44</v>
      </c>
      <c r="I25" s="15"/>
      <c r="J25" s="16"/>
      <c r="K25" s="18"/>
    </row>
    <row r="26" spans="1:14" ht="18" x14ac:dyDescent="0.35">
      <c r="A26" s="19"/>
      <c r="B26" s="23"/>
      <c r="C26" s="23"/>
      <c r="D26" s="23"/>
      <c r="E26" s="24"/>
      <c r="F26" s="24"/>
      <c r="G26" s="24"/>
      <c r="H26" s="23"/>
      <c r="I26" s="15"/>
      <c r="J26" s="16"/>
      <c r="K26" s="18"/>
    </row>
    <row r="27" spans="1:14" ht="18" x14ac:dyDescent="0.35">
      <c r="A27" s="10">
        <v>44400</v>
      </c>
      <c r="B27" s="11" t="s">
        <v>177</v>
      </c>
      <c r="C27" s="11" t="s">
        <v>35</v>
      </c>
      <c r="D27" s="11" t="s">
        <v>9</v>
      </c>
      <c r="E27" s="12">
        <f t="shared" ref="E27:E36" si="3">H27-G27</f>
        <v>2.4209999999999994</v>
      </c>
      <c r="F27" s="13"/>
      <c r="G27" s="22">
        <v>0</v>
      </c>
      <c r="H27" s="22">
        <v>2.4209999999999994</v>
      </c>
      <c r="I27" s="15" t="s">
        <v>36</v>
      </c>
      <c r="J27" s="16"/>
      <c r="K27" s="18">
        <v>2225</v>
      </c>
      <c r="M27">
        <v>2.4210000000000491</v>
      </c>
      <c r="N27">
        <v>-2.4440000000000204</v>
      </c>
    </row>
    <row r="28" spans="1:14" ht="18" x14ac:dyDescent="0.35">
      <c r="A28" s="10">
        <v>44696</v>
      </c>
      <c r="B28" s="11" t="s">
        <v>37</v>
      </c>
      <c r="C28" s="11" t="s">
        <v>35</v>
      </c>
      <c r="D28" s="11" t="s">
        <v>9</v>
      </c>
      <c r="E28" s="12">
        <f t="shared" si="3"/>
        <v>9.0749999999999993</v>
      </c>
      <c r="F28" s="13"/>
      <c r="G28" s="22">
        <v>0</v>
      </c>
      <c r="H28" s="22">
        <v>9.0749999999999993</v>
      </c>
      <c r="I28" s="15" t="s">
        <v>38</v>
      </c>
      <c r="J28" s="16"/>
      <c r="K28" s="18">
        <v>1710</v>
      </c>
      <c r="M28">
        <v>0</v>
      </c>
      <c r="N28">
        <v>-4.4408920985006262E-15</v>
      </c>
    </row>
    <row r="29" spans="1:14" ht="18" x14ac:dyDescent="0.35">
      <c r="A29" s="10">
        <v>44773</v>
      </c>
      <c r="B29" s="11" t="s">
        <v>39</v>
      </c>
      <c r="C29" s="11" t="s">
        <v>35</v>
      </c>
      <c r="D29" s="11" t="s">
        <v>9</v>
      </c>
      <c r="E29" s="12">
        <f t="shared" si="3"/>
        <v>490.36</v>
      </c>
      <c r="F29" s="13"/>
      <c r="G29" s="22">
        <v>0</v>
      </c>
      <c r="H29" s="22">
        <v>490.36</v>
      </c>
      <c r="I29" s="15" t="s">
        <v>40</v>
      </c>
      <c r="J29" s="25" t="s">
        <v>41</v>
      </c>
      <c r="K29" s="18">
        <v>1577</v>
      </c>
      <c r="M29" t="e">
        <v>#N/A</v>
      </c>
      <c r="N29" t="e">
        <v>#N/A</v>
      </c>
    </row>
    <row r="30" spans="1:14" ht="18" x14ac:dyDescent="0.35">
      <c r="A30" s="10">
        <v>44843</v>
      </c>
      <c r="B30" s="11" t="s">
        <v>42</v>
      </c>
      <c r="C30" s="11" t="s">
        <v>35</v>
      </c>
      <c r="D30" s="11" t="s">
        <v>9</v>
      </c>
      <c r="E30" s="12">
        <f t="shared" si="3"/>
        <v>0</v>
      </c>
      <c r="F30" s="13"/>
      <c r="G30" s="22">
        <f>171.643-26.12-26.4-20.02</f>
        <v>99.102999999999994</v>
      </c>
      <c r="H30" s="22">
        <f>171.643-26.12-26.4-20.02</f>
        <v>99.102999999999994</v>
      </c>
      <c r="I30" s="15" t="s">
        <v>40</v>
      </c>
      <c r="J30" s="16"/>
      <c r="K30" s="18">
        <v>1332</v>
      </c>
      <c r="M30">
        <v>89.240000000000123</v>
      </c>
      <c r="N30">
        <v>2.0799999999999272</v>
      </c>
    </row>
    <row r="31" spans="1:14" ht="18" x14ac:dyDescent="0.35">
      <c r="A31" s="10">
        <v>44884</v>
      </c>
      <c r="B31" s="11" t="s">
        <v>178</v>
      </c>
      <c r="C31" s="11" t="s">
        <v>35</v>
      </c>
      <c r="D31" s="11" t="s">
        <v>9</v>
      </c>
      <c r="E31" s="12">
        <f t="shared" si="3"/>
        <v>705.59799999999996</v>
      </c>
      <c r="F31" s="13"/>
      <c r="G31" s="22">
        <v>0</v>
      </c>
      <c r="H31" s="22">
        <v>705.59799999999996</v>
      </c>
      <c r="I31" s="15" t="s">
        <v>40</v>
      </c>
      <c r="J31" s="16"/>
      <c r="K31" s="18">
        <v>1460</v>
      </c>
      <c r="M31">
        <v>594.01739999999995</v>
      </c>
      <c r="N31">
        <v>-4.9826000000000477</v>
      </c>
    </row>
    <row r="32" spans="1:14" ht="18" x14ac:dyDescent="0.35">
      <c r="A32" s="10">
        <v>44884</v>
      </c>
      <c r="B32" s="11" t="s">
        <v>179</v>
      </c>
      <c r="C32" s="11" t="s">
        <v>35</v>
      </c>
      <c r="D32" s="11" t="s">
        <v>9</v>
      </c>
      <c r="E32" s="12">
        <f t="shared" si="3"/>
        <v>705.59799999999996</v>
      </c>
      <c r="F32" s="13"/>
      <c r="G32" s="22">
        <v>0</v>
      </c>
      <c r="H32" s="22">
        <v>705.59799999999996</v>
      </c>
      <c r="I32" s="15" t="s">
        <v>40</v>
      </c>
      <c r="J32" s="16"/>
      <c r="K32" s="18">
        <v>1460</v>
      </c>
      <c r="M32">
        <v>710.5806</v>
      </c>
      <c r="N32">
        <v>628.58059999999989</v>
      </c>
    </row>
    <row r="33" spans="1:14" ht="18" x14ac:dyDescent="0.35">
      <c r="A33" s="10">
        <v>44962</v>
      </c>
      <c r="B33" s="11" t="s">
        <v>180</v>
      </c>
      <c r="C33" s="11" t="s">
        <v>35</v>
      </c>
      <c r="D33" s="11" t="s">
        <v>9</v>
      </c>
      <c r="E33" s="12">
        <f t="shared" si="3"/>
        <v>0</v>
      </c>
      <c r="F33" s="13"/>
      <c r="G33" s="22">
        <f>265+33.707</f>
        <v>298.70699999999999</v>
      </c>
      <c r="H33" s="22">
        <v>298.70699999999999</v>
      </c>
      <c r="I33" s="15" t="s">
        <v>40</v>
      </c>
      <c r="J33" s="16"/>
      <c r="K33" s="18">
        <v>1375</v>
      </c>
      <c r="M33">
        <v>298.70699999999999</v>
      </c>
      <c r="N33">
        <v>298.70699999999999</v>
      </c>
    </row>
    <row r="34" spans="1:14" ht="18" x14ac:dyDescent="0.35">
      <c r="A34" s="10">
        <v>44971</v>
      </c>
      <c r="B34" s="11" t="s">
        <v>181</v>
      </c>
      <c r="C34" s="11" t="s">
        <v>35</v>
      </c>
      <c r="D34" s="11" t="s">
        <v>9</v>
      </c>
      <c r="E34" s="12">
        <f t="shared" si="3"/>
        <v>0</v>
      </c>
      <c r="F34" s="13"/>
      <c r="G34" s="22">
        <f>369.602-15.26-71.12-28.11</f>
        <v>255.11199999999997</v>
      </c>
      <c r="H34" s="22">
        <f>369.602-15.26-71.12-28.11</f>
        <v>255.11199999999997</v>
      </c>
      <c r="I34" s="15" t="s">
        <v>43</v>
      </c>
      <c r="J34" s="16"/>
      <c r="K34" s="18">
        <v>1366.65</v>
      </c>
      <c r="M34">
        <v>172.87200000000018</v>
      </c>
      <c r="N34">
        <v>-23.277999999999793</v>
      </c>
    </row>
    <row r="35" spans="1:14" ht="18" x14ac:dyDescent="0.35">
      <c r="A35" s="10">
        <v>45004</v>
      </c>
      <c r="B35" s="11" t="s">
        <v>44</v>
      </c>
      <c r="C35" s="11" t="s">
        <v>35</v>
      </c>
      <c r="D35" s="11" t="s">
        <v>9</v>
      </c>
      <c r="E35" s="12">
        <f t="shared" si="3"/>
        <v>1772.7069999999999</v>
      </c>
      <c r="F35" s="13"/>
      <c r="G35" s="22">
        <f>27+140+200</f>
        <v>367</v>
      </c>
      <c r="H35" s="22">
        <v>2139.7069999999999</v>
      </c>
      <c r="I35" s="15" t="s">
        <v>45</v>
      </c>
      <c r="J35" s="16"/>
      <c r="K35" s="18">
        <v>780.63691570676497</v>
      </c>
      <c r="M35">
        <v>2132.9670000000001</v>
      </c>
      <c r="N35">
        <v>1494.2669999999998</v>
      </c>
    </row>
    <row r="36" spans="1:14" ht="18" x14ac:dyDescent="0.35">
      <c r="A36" s="10">
        <v>45034</v>
      </c>
      <c r="B36" s="11" t="s">
        <v>182</v>
      </c>
      <c r="C36" s="11" t="s">
        <v>35</v>
      </c>
      <c r="D36" s="11" t="s">
        <v>9</v>
      </c>
      <c r="E36" s="12">
        <f t="shared" si="3"/>
        <v>297.28300000000002</v>
      </c>
      <c r="F36" s="13"/>
      <c r="G36" s="22">
        <v>0</v>
      </c>
      <c r="H36" s="22">
        <v>297.28300000000002</v>
      </c>
      <c r="I36" s="15" t="s">
        <v>29</v>
      </c>
      <c r="J36" s="16"/>
      <c r="K36" s="18"/>
      <c r="M36">
        <v>297.28300000000002</v>
      </c>
      <c r="N36">
        <v>297.28300000000002</v>
      </c>
    </row>
    <row r="37" spans="1:14" ht="18" x14ac:dyDescent="0.35">
      <c r="A37" s="19"/>
      <c r="B37" s="26" t="s">
        <v>27</v>
      </c>
      <c r="C37" s="11"/>
      <c r="D37" s="11"/>
      <c r="E37" s="20">
        <f>SUBTOTAL(9,E27:E36)</f>
        <v>3983.0419999999999</v>
      </c>
      <c r="F37" s="21">
        <f>E37</f>
        <v>3983.0419999999999</v>
      </c>
      <c r="G37" s="20">
        <f>SUBTOTAL(9,G27:G36)</f>
        <v>1019.922</v>
      </c>
      <c r="H37" s="20">
        <f>SUBTOTAL(9,H27:H36)</f>
        <v>5002.9639999999999</v>
      </c>
      <c r="I37" s="15"/>
      <c r="J37" s="16"/>
      <c r="K37" s="18"/>
    </row>
    <row r="38" spans="1:14" ht="18" x14ac:dyDescent="0.35">
      <c r="A38" s="19"/>
      <c r="B38" s="26"/>
      <c r="C38" s="11"/>
      <c r="D38" s="11"/>
      <c r="E38" s="13"/>
      <c r="F38" s="13"/>
      <c r="G38" s="13"/>
      <c r="H38" s="27"/>
      <c r="I38" s="15"/>
      <c r="J38" s="16"/>
      <c r="K38" s="18"/>
    </row>
    <row r="39" spans="1:14" ht="18" x14ac:dyDescent="0.35">
      <c r="A39" s="10">
        <v>44904</v>
      </c>
      <c r="B39" s="11" t="s">
        <v>183</v>
      </c>
      <c r="C39" s="11" t="s">
        <v>46</v>
      </c>
      <c r="D39" s="11" t="s">
        <v>9</v>
      </c>
      <c r="E39" s="12">
        <f t="shared" ref="E39:E48" si="4">H39-G39</f>
        <v>0</v>
      </c>
      <c r="F39" s="13"/>
      <c r="G39" s="22">
        <v>3.1539999999999999</v>
      </c>
      <c r="H39" s="22">
        <v>3.1539999999999999</v>
      </c>
      <c r="I39" s="15" t="s">
        <v>47</v>
      </c>
      <c r="J39" s="16"/>
      <c r="K39" s="18">
        <v>970.16994580646303</v>
      </c>
      <c r="M39">
        <v>10.041999999999916</v>
      </c>
      <c r="N39">
        <v>10.042000000000144</v>
      </c>
    </row>
    <row r="40" spans="1:14" ht="18" x14ac:dyDescent="0.35">
      <c r="A40" s="10">
        <v>44904</v>
      </c>
      <c r="B40" s="11" t="s">
        <v>184</v>
      </c>
      <c r="C40" s="11" t="s">
        <v>46</v>
      </c>
      <c r="D40" s="11" t="s">
        <v>9</v>
      </c>
      <c r="E40" s="12">
        <f t="shared" si="4"/>
        <v>0</v>
      </c>
      <c r="F40" s="13"/>
      <c r="G40" s="22">
        <v>3.1539999999999999</v>
      </c>
      <c r="H40" s="22">
        <v>3.1539999999999999</v>
      </c>
      <c r="I40" s="15" t="s">
        <v>47</v>
      </c>
      <c r="J40" s="16"/>
      <c r="K40" s="18">
        <v>970.16994580646303</v>
      </c>
      <c r="M40">
        <v>3.1559999999999491</v>
      </c>
      <c r="N40">
        <v>3.1559999999994943</v>
      </c>
    </row>
    <row r="41" spans="1:14" ht="18" x14ac:dyDescent="0.35">
      <c r="A41" s="10">
        <v>44911</v>
      </c>
      <c r="B41" s="11" t="s">
        <v>48</v>
      </c>
      <c r="C41" s="11" t="s">
        <v>46</v>
      </c>
      <c r="D41" s="11" t="s">
        <v>9</v>
      </c>
      <c r="E41" s="12">
        <f t="shared" si="4"/>
        <v>27.477</v>
      </c>
      <c r="F41" s="13"/>
      <c r="G41" s="22">
        <v>15.52</v>
      </c>
      <c r="H41" s="22">
        <v>42.997</v>
      </c>
      <c r="I41" s="15" t="s">
        <v>29</v>
      </c>
      <c r="J41" s="16"/>
      <c r="K41" s="18">
        <v>920.16353236038913</v>
      </c>
      <c r="M41">
        <v>0.29300000000012005</v>
      </c>
      <c r="N41">
        <v>-1.3799999999999457</v>
      </c>
    </row>
    <row r="42" spans="1:14" ht="18" x14ac:dyDescent="0.35">
      <c r="A42" s="10">
        <v>44978</v>
      </c>
      <c r="B42" s="11" t="s">
        <v>185</v>
      </c>
      <c r="C42" s="11" t="s">
        <v>46</v>
      </c>
      <c r="D42" s="11" t="s">
        <v>9</v>
      </c>
      <c r="E42" s="12">
        <f t="shared" si="4"/>
        <v>0</v>
      </c>
      <c r="F42" s="13"/>
      <c r="G42" s="22">
        <f>285.963-27.53-44.66-16.08</f>
        <v>197.69299999999998</v>
      </c>
      <c r="H42" s="22">
        <f>285.963-27.53-44.66-16.08</f>
        <v>197.69299999999998</v>
      </c>
      <c r="I42" s="15" t="s">
        <v>18</v>
      </c>
      <c r="J42" s="16"/>
      <c r="K42" s="18">
        <v>1015.17464507461</v>
      </c>
      <c r="M42">
        <v>33.633000000000493</v>
      </c>
      <c r="N42">
        <v>-50.766999999999825</v>
      </c>
    </row>
    <row r="43" spans="1:14" ht="18" x14ac:dyDescent="0.35">
      <c r="A43" s="10">
        <v>45009</v>
      </c>
      <c r="B43" s="11" t="s">
        <v>49</v>
      </c>
      <c r="C43" s="11" t="s">
        <v>46</v>
      </c>
      <c r="D43" s="11" t="s">
        <v>9</v>
      </c>
      <c r="E43" s="12">
        <f t="shared" si="4"/>
        <v>0</v>
      </c>
      <c r="F43" s="13"/>
      <c r="G43" s="22">
        <f>80+51+21+50+20+224+25-107+200+21+22-24.77+25-42.77-39.44-94.18+113.735-38.54-41.69-49.23-22.04-38.76-47.64</f>
        <v>306.6749999999999</v>
      </c>
      <c r="H43" s="22">
        <f>80+51+21+50+20+224+25-107+200+21+22-24.77+25-42.77-39.44-94.18+113.735-38.54-41.69-49.23-22.04-38.76-47.64</f>
        <v>306.6749999999999</v>
      </c>
      <c r="I43" s="15" t="s">
        <v>18</v>
      </c>
      <c r="J43" s="16"/>
      <c r="K43" s="18">
        <v>1030.17871517803</v>
      </c>
      <c r="M43">
        <v>103.99500000000012</v>
      </c>
      <c r="N43">
        <v>-4.1749999999999545</v>
      </c>
    </row>
    <row r="44" spans="1:14" ht="18" x14ac:dyDescent="0.35">
      <c r="A44" s="10">
        <v>45034</v>
      </c>
      <c r="B44" s="11" t="s">
        <v>50</v>
      </c>
      <c r="C44" s="11" t="s">
        <v>46</v>
      </c>
      <c r="D44" s="11" t="s">
        <v>9</v>
      </c>
      <c r="E44" s="12">
        <f t="shared" si="4"/>
        <v>248.90699999999998</v>
      </c>
      <c r="F44" s="13"/>
      <c r="G44" s="22">
        <v>65</v>
      </c>
      <c r="H44" s="22">
        <v>313.90699999999998</v>
      </c>
      <c r="I44" s="15" t="s">
        <v>18</v>
      </c>
      <c r="J44" s="16"/>
      <c r="K44" s="18"/>
      <c r="M44">
        <v>134.80699999999999</v>
      </c>
      <c r="N44">
        <v>-318.15299999999996</v>
      </c>
    </row>
    <row r="45" spans="1:14" ht="18" x14ac:dyDescent="0.35">
      <c r="A45" s="10">
        <v>45060</v>
      </c>
      <c r="B45" s="11" t="s">
        <v>214</v>
      </c>
      <c r="C45" s="11" t="s">
        <v>46</v>
      </c>
      <c r="D45" s="11" t="s">
        <v>9</v>
      </c>
      <c r="E45" s="12">
        <f t="shared" si="4"/>
        <v>248.90699999999998</v>
      </c>
      <c r="F45" s="13"/>
      <c r="G45" s="22">
        <v>65</v>
      </c>
      <c r="H45" s="22">
        <v>313.90699999999998</v>
      </c>
      <c r="I45" s="15" t="s">
        <v>223</v>
      </c>
      <c r="J45" s="16"/>
      <c r="K45" s="18"/>
      <c r="M45">
        <v>999.16300000000001</v>
      </c>
      <c r="N45">
        <v>999.16300000000001</v>
      </c>
    </row>
    <row r="46" spans="1:14" ht="18" x14ac:dyDescent="0.35">
      <c r="A46" s="10">
        <v>44941</v>
      </c>
      <c r="B46" s="11" t="s">
        <v>51</v>
      </c>
      <c r="C46" s="11" t="s">
        <v>46</v>
      </c>
      <c r="D46" s="11" t="s">
        <v>19</v>
      </c>
      <c r="E46" s="12">
        <f t="shared" si="4"/>
        <v>0</v>
      </c>
      <c r="F46" s="13"/>
      <c r="G46" s="22">
        <v>19.75</v>
      </c>
      <c r="H46" s="22">
        <v>19.75</v>
      </c>
      <c r="I46" s="15" t="s">
        <v>26</v>
      </c>
      <c r="J46" s="16"/>
      <c r="K46" s="18">
        <v>974.57917791423142</v>
      </c>
      <c r="M46">
        <v>0</v>
      </c>
      <c r="N46">
        <v>4.5474735088646412E-13</v>
      </c>
    </row>
    <row r="47" spans="1:14" ht="18" x14ac:dyDescent="0.35">
      <c r="A47" s="10">
        <v>45004</v>
      </c>
      <c r="B47" s="11" t="s">
        <v>52</v>
      </c>
      <c r="C47" s="11" t="s">
        <v>46</v>
      </c>
      <c r="D47" s="11" t="s">
        <v>19</v>
      </c>
      <c r="E47" s="28">
        <f t="shared" si="4"/>
        <v>-114.53300000000002</v>
      </c>
      <c r="F47" s="13"/>
      <c r="G47" s="22">
        <f>341+15+25-14.94+30</f>
        <v>396.06</v>
      </c>
      <c r="H47" s="22">
        <f>296.467-14.94</f>
        <v>281.52699999999999</v>
      </c>
      <c r="I47" s="15" t="s">
        <v>26</v>
      </c>
      <c r="J47" s="16"/>
      <c r="K47" s="18">
        <v>1030.17914864454</v>
      </c>
      <c r="M47">
        <v>4.7170000000000982</v>
      </c>
      <c r="N47">
        <v>-101.21999999999986</v>
      </c>
    </row>
    <row r="48" spans="1:14" ht="18" x14ac:dyDescent="0.35">
      <c r="A48" s="10">
        <v>45055</v>
      </c>
      <c r="B48" s="11" t="s">
        <v>215</v>
      </c>
      <c r="C48" s="11" t="s">
        <v>46</v>
      </c>
      <c r="D48" s="11" t="s">
        <v>19</v>
      </c>
      <c r="E48" s="28">
        <f t="shared" si="4"/>
        <v>-114.53300000000002</v>
      </c>
      <c r="F48" s="13"/>
      <c r="G48" s="22">
        <f>341+15+25-14.94+30</f>
        <v>396.06</v>
      </c>
      <c r="H48" s="22">
        <f>296.467-14.94</f>
        <v>281.52699999999999</v>
      </c>
      <c r="I48" s="15" t="s">
        <v>26</v>
      </c>
      <c r="J48" s="16"/>
      <c r="K48" s="18">
        <v>1030.17914864454</v>
      </c>
      <c r="M48">
        <v>977.11</v>
      </c>
      <c r="N48">
        <v>945.40699999999993</v>
      </c>
    </row>
    <row r="49" spans="1:14" ht="20.25" customHeight="1" x14ac:dyDescent="0.35">
      <c r="A49" s="19"/>
      <c r="B49" s="26" t="s">
        <v>27</v>
      </c>
      <c r="C49" s="11"/>
      <c r="D49" s="11"/>
      <c r="E49" s="20">
        <f>SUBTOTAL(9,E39:E48)</f>
        <v>296.22499999999991</v>
      </c>
      <c r="F49" s="21">
        <f>E49</f>
        <v>296.22499999999991</v>
      </c>
      <c r="G49" s="20">
        <f>SUBTOTAL(9,G39:G48)</f>
        <v>1468.0659999999998</v>
      </c>
      <c r="H49" s="20">
        <f>SUBTOTAL(9,H39:H48)</f>
        <v>1764.2909999999999</v>
      </c>
      <c r="I49" s="15"/>
      <c r="J49" s="16"/>
      <c r="K49" s="18"/>
    </row>
    <row r="50" spans="1:14" ht="18" x14ac:dyDescent="0.35">
      <c r="A50" s="19"/>
      <c r="B50" s="26"/>
      <c r="C50" s="11"/>
      <c r="D50" s="11"/>
      <c r="E50" s="13"/>
      <c r="F50" s="21"/>
      <c r="G50" s="20"/>
      <c r="H50" s="20"/>
      <c r="I50" s="15"/>
      <c r="J50" s="16"/>
      <c r="K50" s="18"/>
    </row>
    <row r="51" spans="1:14" ht="18" x14ac:dyDescent="0.35">
      <c r="A51" s="10">
        <v>44839</v>
      </c>
      <c r="B51" s="11" t="s">
        <v>186</v>
      </c>
      <c r="C51" s="11" t="s">
        <v>53</v>
      </c>
      <c r="D51" s="11" t="s">
        <v>9</v>
      </c>
      <c r="E51" s="12">
        <f t="shared" ref="E51:E56" si="5">H51-G51</f>
        <v>4.3049999999999997</v>
      </c>
      <c r="F51" s="21"/>
      <c r="G51" s="22">
        <v>0</v>
      </c>
      <c r="H51" s="22">
        <v>4.3049999999999997</v>
      </c>
      <c r="I51" s="15" t="s">
        <v>47</v>
      </c>
      <c r="J51" s="16"/>
      <c r="K51" s="18">
        <v>851.14810627318195</v>
      </c>
      <c r="M51">
        <v>4.305000000000291</v>
      </c>
      <c r="N51">
        <v>-17.374999999999091</v>
      </c>
    </row>
    <row r="52" spans="1:14" ht="18" x14ac:dyDescent="0.35">
      <c r="A52" s="10">
        <v>44978</v>
      </c>
      <c r="B52" s="11" t="s">
        <v>187</v>
      </c>
      <c r="C52" s="11" t="s">
        <v>53</v>
      </c>
      <c r="D52" s="11" t="s">
        <v>9</v>
      </c>
      <c r="E52" s="12">
        <f t="shared" si="5"/>
        <v>667.32299999999998</v>
      </c>
      <c r="F52" s="21"/>
      <c r="G52" s="22">
        <f>71+44-16.86+51-51.07-51.38</f>
        <v>46.689999999999991</v>
      </c>
      <c r="H52" s="22">
        <f>833.323-16.86-51.07-51.38</f>
        <v>714.01299999999992</v>
      </c>
      <c r="I52" s="15" t="s">
        <v>29</v>
      </c>
      <c r="J52" s="16"/>
      <c r="K52" s="18">
        <v>1000.1720589981708</v>
      </c>
      <c r="M52">
        <v>648.23300000000017</v>
      </c>
      <c r="N52">
        <v>464.23300000000063</v>
      </c>
    </row>
    <row r="53" spans="1:14" ht="18" x14ac:dyDescent="0.35">
      <c r="A53" s="10">
        <v>45009</v>
      </c>
      <c r="B53" s="11" t="s">
        <v>188</v>
      </c>
      <c r="C53" s="11" t="s">
        <v>53</v>
      </c>
      <c r="D53" s="11" t="s">
        <v>9</v>
      </c>
      <c r="E53" s="12">
        <f t="shared" si="5"/>
        <v>1066.547</v>
      </c>
      <c r="F53" s="21"/>
      <c r="G53" s="22">
        <v>500</v>
      </c>
      <c r="H53" s="22">
        <v>1566.547</v>
      </c>
      <c r="I53" s="15" t="s">
        <v>54</v>
      </c>
      <c r="J53" s="16"/>
      <c r="K53" s="18">
        <v>1030.1787151780288</v>
      </c>
      <c r="M53">
        <v>1566.547</v>
      </c>
      <c r="N53">
        <v>1566.547</v>
      </c>
    </row>
    <row r="54" spans="1:14" ht="18" x14ac:dyDescent="0.35">
      <c r="A54" s="10">
        <v>45034</v>
      </c>
      <c r="B54" s="11" t="s">
        <v>55</v>
      </c>
      <c r="C54" s="11" t="s">
        <v>53</v>
      </c>
      <c r="D54" s="11" t="s">
        <v>9</v>
      </c>
      <c r="E54" s="12">
        <f t="shared" si="5"/>
        <v>731.40499999999997</v>
      </c>
      <c r="F54" s="21"/>
      <c r="G54" s="22">
        <v>0</v>
      </c>
      <c r="H54" s="22">
        <v>731.40499999999997</v>
      </c>
      <c r="I54" s="15" t="s">
        <v>54</v>
      </c>
      <c r="J54" s="16"/>
      <c r="K54" s="18"/>
      <c r="M54">
        <v>731.40499999999997</v>
      </c>
      <c r="N54">
        <v>731.40499999999997</v>
      </c>
    </row>
    <row r="55" spans="1:14" ht="18" x14ac:dyDescent="0.35">
      <c r="A55" s="10">
        <v>45021</v>
      </c>
      <c r="B55" s="11" t="s">
        <v>56</v>
      </c>
      <c r="C55" s="11" t="s">
        <v>53</v>
      </c>
      <c r="D55" s="11" t="s">
        <v>13</v>
      </c>
      <c r="E55" s="12">
        <f t="shared" si="5"/>
        <v>0</v>
      </c>
      <c r="F55" s="21"/>
      <c r="G55" s="22">
        <f>504.115-22.96-45.89-22.96-8.19</f>
        <v>404.11500000000007</v>
      </c>
      <c r="H55" s="22">
        <f>504.115-22.96-45.89-22.96-8.19</f>
        <v>404.11500000000007</v>
      </c>
      <c r="I55" s="15" t="s">
        <v>13</v>
      </c>
      <c r="J55" s="16"/>
      <c r="K55" s="18"/>
      <c r="M55">
        <v>236.86500000000001</v>
      </c>
      <c r="N55">
        <v>0.43</v>
      </c>
    </row>
    <row r="56" spans="1:14" ht="18" x14ac:dyDescent="0.35">
      <c r="A56" s="10">
        <v>45029</v>
      </c>
      <c r="B56" s="11" t="s">
        <v>57</v>
      </c>
      <c r="C56" s="11" t="s">
        <v>53</v>
      </c>
      <c r="D56" s="11" t="s">
        <v>16</v>
      </c>
      <c r="E56" s="12">
        <f t="shared" si="5"/>
        <v>1097.454</v>
      </c>
      <c r="F56" s="21"/>
      <c r="G56" s="22">
        <f>57+10-16.04+10+30+25-29.04+53.5-18.47</f>
        <v>121.95000000000002</v>
      </c>
      <c r="H56" s="22">
        <f>1282.954-16.04-29.04-18.47</f>
        <v>1219.404</v>
      </c>
      <c r="I56" s="15" t="s">
        <v>23</v>
      </c>
      <c r="J56" s="16"/>
      <c r="K56" s="18">
        <v>971.25</v>
      </c>
      <c r="M56">
        <v>940.33400000000006</v>
      </c>
      <c r="N56">
        <v>785.67399999999998</v>
      </c>
    </row>
    <row r="57" spans="1:14" ht="18" x14ac:dyDescent="0.35">
      <c r="A57" s="19"/>
      <c r="B57" s="26" t="s">
        <v>27</v>
      </c>
      <c r="C57" s="11"/>
      <c r="D57" s="11"/>
      <c r="E57" s="20">
        <f>SUBTOTAL(9,E51:E56)</f>
        <v>3567.0339999999997</v>
      </c>
      <c r="F57" s="21">
        <f>E57</f>
        <v>3567.0339999999997</v>
      </c>
      <c r="G57" s="20">
        <f>SUBTOTAL(9,G51:G56)</f>
        <v>1072.7550000000001</v>
      </c>
      <c r="H57" s="20">
        <f>SUBTOTAL(9,H51:H56)</f>
        <v>4639.7889999999998</v>
      </c>
      <c r="I57" s="15"/>
      <c r="J57" s="16"/>
      <c r="K57" s="18"/>
    </row>
    <row r="58" spans="1:14" ht="18" x14ac:dyDescent="0.35">
      <c r="A58" s="19"/>
      <c r="B58" s="26"/>
      <c r="C58" s="11"/>
      <c r="D58" s="11"/>
      <c r="E58" s="13"/>
      <c r="F58" s="21"/>
      <c r="G58" s="20"/>
      <c r="H58" s="20"/>
      <c r="I58" s="15"/>
      <c r="J58" s="16"/>
      <c r="K58" s="18"/>
    </row>
    <row r="59" spans="1:14" ht="18" x14ac:dyDescent="0.35">
      <c r="A59" s="10">
        <v>44949</v>
      </c>
      <c r="B59" s="11" t="s">
        <v>189</v>
      </c>
      <c r="C59" s="11" t="s">
        <v>58</v>
      </c>
      <c r="D59" s="11" t="s">
        <v>9</v>
      </c>
      <c r="E59" s="12">
        <f t="shared" ref="E59:E64" si="6">H59-G59</f>
        <v>24.122</v>
      </c>
      <c r="F59" s="29"/>
      <c r="G59" s="22">
        <v>0</v>
      </c>
      <c r="H59" s="22">
        <f>53.042-28.92</f>
        <v>24.122</v>
      </c>
      <c r="I59" s="15" t="s">
        <v>40</v>
      </c>
      <c r="J59" s="16"/>
      <c r="K59" s="18">
        <v>825</v>
      </c>
      <c r="M59">
        <v>24.111999999999995</v>
      </c>
      <c r="N59">
        <v>24.111999999999995</v>
      </c>
    </row>
    <row r="60" spans="1:14" ht="18" x14ac:dyDescent="0.35">
      <c r="A60" s="10">
        <v>45004</v>
      </c>
      <c r="B60" s="11" t="s">
        <v>59</v>
      </c>
      <c r="C60" s="11" t="s">
        <v>58</v>
      </c>
      <c r="D60" s="11" t="s">
        <v>9</v>
      </c>
      <c r="E60" s="12">
        <f t="shared" si="6"/>
        <v>423.30700000000002</v>
      </c>
      <c r="F60" s="29"/>
      <c r="G60" s="22">
        <f>50-29.92-20.08</f>
        <v>0</v>
      </c>
      <c r="H60" s="22">
        <f>473.307-29.92-20.08</f>
        <v>423.30700000000002</v>
      </c>
      <c r="I60" s="15" t="s">
        <v>40</v>
      </c>
      <c r="J60" s="16"/>
      <c r="K60" s="18">
        <v>855</v>
      </c>
      <c r="M60">
        <v>423.30700000000002</v>
      </c>
      <c r="N60">
        <v>423.30700000000002</v>
      </c>
    </row>
    <row r="61" spans="1:14" ht="18" x14ac:dyDescent="0.35">
      <c r="A61" s="10">
        <v>45060</v>
      </c>
      <c r="B61" s="11" t="s">
        <v>220</v>
      </c>
      <c r="C61" s="11" t="s">
        <v>58</v>
      </c>
      <c r="D61" s="11" t="s">
        <v>9</v>
      </c>
      <c r="E61" s="12">
        <f t="shared" si="6"/>
        <v>423.30700000000002</v>
      </c>
      <c r="F61" s="29"/>
      <c r="G61" s="22">
        <f>50-29.92-20.08</f>
        <v>0</v>
      </c>
      <c r="H61" s="22">
        <f>473.307-29.92-20.08</f>
        <v>423.30700000000002</v>
      </c>
      <c r="I61" s="15" t="s">
        <v>47</v>
      </c>
      <c r="J61" s="16"/>
      <c r="K61" s="18">
        <v>855</v>
      </c>
      <c r="M61">
        <v>223.541</v>
      </c>
      <c r="N61">
        <v>223.541</v>
      </c>
    </row>
    <row r="62" spans="1:14" s="52" customFormat="1" ht="18" x14ac:dyDescent="0.35">
      <c r="A62" s="45"/>
      <c r="B62" s="31" t="s">
        <v>60</v>
      </c>
      <c r="C62" s="31" t="s">
        <v>58</v>
      </c>
      <c r="D62" s="31" t="s">
        <v>9</v>
      </c>
      <c r="E62" s="46">
        <f t="shared" si="6"/>
        <v>117.62</v>
      </c>
      <c r="F62" s="47"/>
      <c r="G62" s="48">
        <v>0</v>
      </c>
      <c r="H62" s="48">
        <v>117.62</v>
      </c>
      <c r="I62" s="49" t="s">
        <v>40</v>
      </c>
      <c r="J62" s="50"/>
      <c r="K62" s="51"/>
      <c r="M62" s="52" t="e">
        <v>#N/A</v>
      </c>
      <c r="N62" s="52" t="e">
        <v>#N/A</v>
      </c>
    </row>
    <row r="63" spans="1:14" ht="18" x14ac:dyDescent="0.35">
      <c r="A63" s="10">
        <v>45006</v>
      </c>
      <c r="B63" s="11" t="s">
        <v>61</v>
      </c>
      <c r="C63" s="11" t="s">
        <v>58</v>
      </c>
      <c r="D63" s="11" t="s">
        <v>13</v>
      </c>
      <c r="E63" s="12">
        <f t="shared" si="6"/>
        <v>141.67000000000002</v>
      </c>
      <c r="F63" s="29"/>
      <c r="G63" s="22">
        <f>25+20+24.5-17.691-1.489</f>
        <v>50.32</v>
      </c>
      <c r="H63" s="22">
        <f>236.961-4.19-23.09-17.691</f>
        <v>191.99</v>
      </c>
      <c r="I63" s="15" t="s">
        <v>21</v>
      </c>
      <c r="J63" s="16"/>
      <c r="K63" s="18">
        <v>925.00001999999995</v>
      </c>
      <c r="M63">
        <v>123.47000000000003</v>
      </c>
      <c r="N63">
        <v>55.470000000000027</v>
      </c>
    </row>
    <row r="64" spans="1:14" ht="18" x14ac:dyDescent="0.35">
      <c r="A64" s="10">
        <v>45052</v>
      </c>
      <c r="B64" s="11" t="s">
        <v>219</v>
      </c>
      <c r="C64" s="11" t="s">
        <v>58</v>
      </c>
      <c r="D64" s="11" t="s">
        <v>13</v>
      </c>
      <c r="E64" s="12">
        <f t="shared" si="6"/>
        <v>141.67000000000002</v>
      </c>
      <c r="F64" s="29"/>
      <c r="G64" s="22">
        <f>25+20+24.5-17.691-1.489</f>
        <v>50.32</v>
      </c>
      <c r="H64" s="22">
        <f>236.961-4.19-23.09-17.691</f>
        <v>191.99</v>
      </c>
      <c r="I64" s="15" t="s">
        <v>21</v>
      </c>
      <c r="J64" s="16"/>
      <c r="K64" s="18">
        <v>925.00001999999995</v>
      </c>
      <c r="M64">
        <v>286.29899999999998</v>
      </c>
      <c r="N64">
        <v>286.29899999999998</v>
      </c>
    </row>
    <row r="65" spans="1:14" ht="18" x14ac:dyDescent="0.35">
      <c r="A65" s="19"/>
      <c r="B65" s="26" t="s">
        <v>27</v>
      </c>
      <c r="C65" s="11"/>
      <c r="D65" s="11"/>
      <c r="E65" s="20">
        <f>SUBTOTAL(9,E59:E64)</f>
        <v>1271.6960000000001</v>
      </c>
      <c r="F65" s="21">
        <f>E65</f>
        <v>1271.6960000000001</v>
      </c>
      <c r="G65" s="20">
        <f>SUBTOTAL(9,G59:G64)</f>
        <v>100.64</v>
      </c>
      <c r="H65" s="20">
        <f>SUBTOTAL(9,H59:H64)</f>
        <v>1372.336</v>
      </c>
      <c r="I65" s="15"/>
      <c r="J65" s="16"/>
      <c r="K65" s="18"/>
    </row>
    <row r="66" spans="1:14" ht="18" x14ac:dyDescent="0.35">
      <c r="A66" s="19"/>
      <c r="B66" s="26"/>
      <c r="C66" s="11"/>
      <c r="D66" s="11"/>
      <c r="E66" s="13"/>
      <c r="F66" s="21"/>
      <c r="G66" s="13"/>
      <c r="H66" s="13"/>
      <c r="I66" s="15"/>
      <c r="J66" s="16"/>
      <c r="K66" s="18"/>
    </row>
    <row r="67" spans="1:14" ht="18" x14ac:dyDescent="0.35">
      <c r="A67" s="10">
        <v>44826</v>
      </c>
      <c r="B67" s="11" t="s">
        <v>62</v>
      </c>
      <c r="C67" s="11" t="s">
        <v>63</v>
      </c>
      <c r="D67" s="11" t="s">
        <v>9</v>
      </c>
      <c r="E67" s="12">
        <f>H67-G67</f>
        <v>116.05500000000001</v>
      </c>
      <c r="F67" s="21"/>
      <c r="G67" s="22">
        <v>18</v>
      </c>
      <c r="H67" s="22">
        <v>134.05500000000001</v>
      </c>
      <c r="I67" s="15" t="s">
        <v>29</v>
      </c>
      <c r="J67" s="16"/>
      <c r="K67" s="18">
        <v>1100.9074566164593</v>
      </c>
      <c r="M67">
        <v>116.29499999999996</v>
      </c>
      <c r="N67">
        <v>-83.705000000000041</v>
      </c>
    </row>
    <row r="68" spans="1:14" ht="18" x14ac:dyDescent="0.35">
      <c r="A68" s="10">
        <v>45004</v>
      </c>
      <c r="B68" s="11" t="s">
        <v>64</v>
      </c>
      <c r="C68" s="11" t="s">
        <v>63</v>
      </c>
      <c r="D68" s="11" t="s">
        <v>9</v>
      </c>
      <c r="E68" s="12">
        <f>H68-G68</f>
        <v>507.40800000000002</v>
      </c>
      <c r="F68" s="21"/>
      <c r="G68" s="22">
        <v>0</v>
      </c>
      <c r="H68" s="22">
        <v>507.40800000000002</v>
      </c>
      <c r="I68" s="15" t="s">
        <v>29</v>
      </c>
      <c r="J68" s="16"/>
      <c r="K68" s="18">
        <v>780.63691570676497</v>
      </c>
      <c r="M68">
        <v>507.40800000000002</v>
      </c>
      <c r="N68">
        <v>507.40800000000002</v>
      </c>
    </row>
    <row r="69" spans="1:14" ht="18" x14ac:dyDescent="0.35">
      <c r="A69" s="10"/>
      <c r="B69" s="26" t="s">
        <v>27</v>
      </c>
      <c r="C69" s="11"/>
      <c r="D69" s="11"/>
      <c r="E69" s="20">
        <f>SUBTOTAL(9,E67:E68)</f>
        <v>623.46299999999997</v>
      </c>
      <c r="F69" s="21">
        <f>E69</f>
        <v>623.46299999999997</v>
      </c>
      <c r="G69" s="20">
        <f>SUBTOTAL(9,G67:G68)</f>
        <v>18</v>
      </c>
      <c r="H69" s="20">
        <f>SUBTOTAL(9,H67:H68)</f>
        <v>641.46299999999997</v>
      </c>
      <c r="I69" s="15"/>
      <c r="J69" s="16"/>
      <c r="K69" s="18"/>
    </row>
    <row r="70" spans="1:14" ht="18" x14ac:dyDescent="0.35">
      <c r="A70" s="10"/>
      <c r="B70" s="11"/>
      <c r="C70" s="11"/>
      <c r="D70" s="11"/>
      <c r="E70" s="12"/>
      <c r="F70" s="21"/>
      <c r="G70" s="22"/>
      <c r="H70" s="22"/>
      <c r="I70" s="15"/>
      <c r="J70" s="16"/>
      <c r="K70" s="18"/>
    </row>
    <row r="71" spans="1:14" ht="18" x14ac:dyDescent="0.35">
      <c r="A71" s="10">
        <v>44869</v>
      </c>
      <c r="B71" s="11" t="s">
        <v>190</v>
      </c>
      <c r="C71" s="11" t="s">
        <v>65</v>
      </c>
      <c r="D71" s="11" t="s">
        <v>9</v>
      </c>
      <c r="E71" s="12">
        <f>H71-G71</f>
        <v>7.6079999999999997</v>
      </c>
      <c r="F71" s="21"/>
      <c r="G71" s="22">
        <v>0</v>
      </c>
      <c r="H71" s="22">
        <v>7.6079999999999997</v>
      </c>
      <c r="I71" s="15" t="s">
        <v>47</v>
      </c>
      <c r="J71" s="16"/>
      <c r="K71" s="18">
        <v>1180</v>
      </c>
      <c r="M71">
        <v>7.6079999999998336</v>
      </c>
      <c r="N71">
        <v>-0.44200000000000728</v>
      </c>
    </row>
    <row r="72" spans="1:14" ht="18" x14ac:dyDescent="0.35">
      <c r="A72" s="10"/>
      <c r="B72" s="26" t="s">
        <v>27</v>
      </c>
      <c r="C72" s="11"/>
      <c r="D72" s="11"/>
      <c r="E72" s="20">
        <f>SUBTOTAL(9,E71:E71)</f>
        <v>7.6079999999999997</v>
      </c>
      <c r="F72" s="21">
        <f>E72</f>
        <v>7.6079999999999997</v>
      </c>
      <c r="G72" s="20">
        <f>SUBTOTAL(9,G71:G71)</f>
        <v>0</v>
      </c>
      <c r="H72" s="20">
        <f>SUBTOTAL(9,H71:H71)</f>
        <v>7.6079999999999997</v>
      </c>
      <c r="I72" s="15"/>
      <c r="J72" s="16"/>
      <c r="K72" s="18"/>
    </row>
    <row r="73" spans="1:14" ht="18" x14ac:dyDescent="0.35">
      <c r="A73" s="19"/>
      <c r="B73" s="26"/>
      <c r="C73" s="11"/>
      <c r="D73" s="11"/>
      <c r="E73" s="13"/>
      <c r="F73" s="13"/>
      <c r="G73" s="13"/>
      <c r="H73" s="27"/>
      <c r="I73" s="15"/>
      <c r="J73" s="16"/>
      <c r="K73" s="18"/>
    </row>
    <row r="74" spans="1:14" ht="18" x14ac:dyDescent="0.35">
      <c r="A74" s="10">
        <v>44700</v>
      </c>
      <c r="B74" s="11" t="s">
        <v>66</v>
      </c>
      <c r="C74" s="11" t="s">
        <v>67</v>
      </c>
      <c r="D74" s="11" t="s">
        <v>9</v>
      </c>
      <c r="E74" s="12">
        <f t="shared" ref="E74:E82" si="7">H74-G74</f>
        <v>19.937000000000005</v>
      </c>
      <c r="F74" s="21"/>
      <c r="G74" s="22">
        <v>0</v>
      </c>
      <c r="H74" s="22">
        <f>79.757-24.54-25.7-9.58</f>
        <v>19.937000000000005</v>
      </c>
      <c r="I74" s="15" t="s">
        <v>29</v>
      </c>
      <c r="J74" s="16"/>
      <c r="K74" s="18">
        <v>2200</v>
      </c>
      <c r="M74">
        <v>19.936999999999443</v>
      </c>
      <c r="N74">
        <v>21.132000000000289</v>
      </c>
    </row>
    <row r="75" spans="1:14" s="52" customFormat="1" ht="18" x14ac:dyDescent="0.35">
      <c r="A75" s="45">
        <v>44705</v>
      </c>
      <c r="B75" s="31" t="s">
        <v>68</v>
      </c>
      <c r="C75" s="31" t="s">
        <v>67</v>
      </c>
      <c r="D75" s="31" t="s">
        <v>9</v>
      </c>
      <c r="E75" s="46">
        <f t="shared" si="7"/>
        <v>6.3780000000000001</v>
      </c>
      <c r="F75" s="53"/>
      <c r="G75" s="48">
        <v>0</v>
      </c>
      <c r="H75" s="48">
        <v>6.3780000000000001</v>
      </c>
      <c r="I75" s="49" t="s">
        <v>47</v>
      </c>
      <c r="J75" s="50"/>
      <c r="K75" s="51">
        <v>2300.400559704723</v>
      </c>
      <c r="M75" s="52" t="e">
        <v>#N/A</v>
      </c>
      <c r="N75" s="52" t="e">
        <v>#N/A</v>
      </c>
    </row>
    <row r="76" spans="1:14" ht="18" x14ac:dyDescent="0.35">
      <c r="A76" s="10">
        <v>44725</v>
      </c>
      <c r="B76" s="11" t="s">
        <v>69</v>
      </c>
      <c r="C76" s="11" t="s">
        <v>67</v>
      </c>
      <c r="D76" s="11" t="s">
        <v>9</v>
      </c>
      <c r="E76" s="12">
        <f t="shared" si="7"/>
        <v>314.18400000000003</v>
      </c>
      <c r="F76" s="21"/>
      <c r="G76" s="22">
        <f>30+21-24.58</f>
        <v>26.42</v>
      </c>
      <c r="H76" s="22">
        <f>375.204-10.02-24.58</f>
        <v>340.60400000000004</v>
      </c>
      <c r="I76" s="15" t="s">
        <v>70</v>
      </c>
      <c r="J76" s="16"/>
      <c r="K76" s="18">
        <v>2220.3866229603536</v>
      </c>
      <c r="M76">
        <v>200.44400000000007</v>
      </c>
      <c r="N76">
        <v>-40.315999999999917</v>
      </c>
    </row>
    <row r="77" spans="1:14" ht="18" x14ac:dyDescent="0.35">
      <c r="A77" s="10">
        <v>44736</v>
      </c>
      <c r="B77" s="11" t="s">
        <v>71</v>
      </c>
      <c r="C77" s="11" t="s">
        <v>67</v>
      </c>
      <c r="D77" s="11" t="s">
        <v>9</v>
      </c>
      <c r="E77" s="12">
        <f t="shared" si="7"/>
        <v>317.57000000000005</v>
      </c>
      <c r="F77" s="21"/>
      <c r="G77" s="22">
        <f>158.78-30.7</f>
        <v>128.08000000000001</v>
      </c>
      <c r="H77" s="22">
        <f>476.35-30.7</f>
        <v>445.65000000000003</v>
      </c>
      <c r="I77" s="15" t="s">
        <v>29</v>
      </c>
      <c r="J77" s="16"/>
      <c r="K77" s="18">
        <v>2351.9034198930826</v>
      </c>
      <c r="M77">
        <v>398.43000000000006</v>
      </c>
      <c r="N77">
        <v>241.90999999999997</v>
      </c>
    </row>
    <row r="78" spans="1:14" ht="18" x14ac:dyDescent="0.35">
      <c r="A78" s="10">
        <v>44747</v>
      </c>
      <c r="B78" s="11" t="s">
        <v>72</v>
      </c>
      <c r="C78" s="11" t="s">
        <v>67</v>
      </c>
      <c r="D78" s="11" t="s">
        <v>9</v>
      </c>
      <c r="E78" s="12">
        <f t="shared" si="7"/>
        <v>98.27000000000001</v>
      </c>
      <c r="F78" s="21"/>
      <c r="G78" s="22">
        <v>0</v>
      </c>
      <c r="H78" s="22">
        <f>127.95-29.68</f>
        <v>98.27000000000001</v>
      </c>
      <c r="I78" s="15" t="s">
        <v>29</v>
      </c>
      <c r="J78" s="16"/>
      <c r="K78" s="18">
        <v>2056.6737332548364</v>
      </c>
      <c r="M78">
        <v>48.429999999999893</v>
      </c>
      <c r="N78">
        <v>38.329999999999927</v>
      </c>
    </row>
    <row r="79" spans="1:14" ht="18" x14ac:dyDescent="0.35">
      <c r="A79" s="10">
        <v>44834</v>
      </c>
      <c r="B79" s="11" t="s">
        <v>73</v>
      </c>
      <c r="C79" s="11" t="s">
        <v>67</v>
      </c>
      <c r="D79" s="11" t="s">
        <v>9</v>
      </c>
      <c r="E79" s="12">
        <f t="shared" si="7"/>
        <v>1024.1690000000001</v>
      </c>
      <c r="F79" s="21"/>
      <c r="G79" s="22">
        <v>0</v>
      </c>
      <c r="H79" s="22">
        <v>1024.1690000000001</v>
      </c>
      <c r="I79" s="15" t="s">
        <v>70</v>
      </c>
      <c r="J79" s="16"/>
      <c r="K79" s="18">
        <v>2301.8649111652999</v>
      </c>
      <c r="M79">
        <v>1024.1690000000001</v>
      </c>
      <c r="N79">
        <v>1024.1690000000001</v>
      </c>
    </row>
    <row r="80" spans="1:14" ht="18" x14ac:dyDescent="0.35">
      <c r="A80" s="10">
        <v>45009</v>
      </c>
      <c r="B80" s="11" t="s">
        <v>74</v>
      </c>
      <c r="C80" s="11" t="s">
        <v>67</v>
      </c>
      <c r="D80" s="11" t="s">
        <v>9</v>
      </c>
      <c r="E80" s="12">
        <f t="shared" si="7"/>
        <v>0</v>
      </c>
      <c r="F80" s="21"/>
      <c r="G80" s="22">
        <f>30+128+250-24.02-26.08+55-29.34+12.371-29.14-24.56-45.7-29.9-49.28-12.056-28.6-21.14-20.78-71.26</f>
        <v>63.515000000000057</v>
      </c>
      <c r="H80" s="22">
        <f>30+128+250-24.02-26.08+55-29.34+12.371-29.14-24.56-45.7-29.9-49.28-12.056-28.6-21.14-20.78-71.26</f>
        <v>63.515000000000057</v>
      </c>
      <c r="I80" s="15" t="s">
        <v>29</v>
      </c>
      <c r="J80" s="16"/>
      <c r="K80" s="18">
        <v>1205.2090879478401</v>
      </c>
      <c r="M80">
        <v>63.514999999999986</v>
      </c>
      <c r="N80">
        <v>43.514999999999986</v>
      </c>
    </row>
    <row r="81" spans="1:14" ht="18" x14ac:dyDescent="0.35">
      <c r="A81" s="10">
        <v>45034</v>
      </c>
      <c r="B81" s="11" t="s">
        <v>75</v>
      </c>
      <c r="C81" s="11" t="s">
        <v>67</v>
      </c>
      <c r="D81" s="11" t="s">
        <v>9</v>
      </c>
      <c r="E81" s="12">
        <f t="shared" si="7"/>
        <v>0</v>
      </c>
      <c r="F81" s="21"/>
      <c r="G81" s="22">
        <f>30+101+25+25+60+73.143-29.84</f>
        <v>284.30300000000005</v>
      </c>
      <c r="H81" s="22">
        <f>30+101+25+25+60+73.143-29.84</f>
        <v>284.30300000000005</v>
      </c>
      <c r="I81" s="15" t="s">
        <v>29</v>
      </c>
      <c r="J81" s="16"/>
      <c r="K81" s="18"/>
      <c r="M81">
        <v>284.303</v>
      </c>
      <c r="N81">
        <v>254.14299999999997</v>
      </c>
    </row>
    <row r="82" spans="1:14" ht="18" x14ac:dyDescent="0.35">
      <c r="A82" s="10">
        <v>45055</v>
      </c>
      <c r="B82" s="11" t="s">
        <v>216</v>
      </c>
      <c r="C82" s="11" t="s">
        <v>67</v>
      </c>
      <c r="D82" s="11" t="s">
        <v>19</v>
      </c>
      <c r="E82" s="12">
        <f t="shared" si="7"/>
        <v>0</v>
      </c>
      <c r="F82" s="21"/>
      <c r="G82" s="22">
        <f>30+101+25+25+60+73.143-29.84</f>
        <v>284.30300000000005</v>
      </c>
      <c r="H82" s="22">
        <f>30+101+25+25+60+73.143-29.84</f>
        <v>284.30300000000005</v>
      </c>
      <c r="I82" s="15" t="s">
        <v>26</v>
      </c>
      <c r="J82" s="16"/>
      <c r="K82" s="18"/>
      <c r="M82">
        <v>971.14100000000008</v>
      </c>
      <c r="N82">
        <v>786.58100000000002</v>
      </c>
    </row>
    <row r="83" spans="1:14" ht="18" x14ac:dyDescent="0.35">
      <c r="A83" s="19"/>
      <c r="B83" s="26" t="s">
        <v>27</v>
      </c>
      <c r="C83" s="11"/>
      <c r="D83" s="11"/>
      <c r="E83" s="20">
        <f>SUBTOTAL(9,E74:E82)</f>
        <v>1780.5080000000003</v>
      </c>
      <c r="F83" s="21">
        <f>E83</f>
        <v>1780.5080000000003</v>
      </c>
      <c r="G83" s="20">
        <f>SUBTOTAL(9,G74:G82)</f>
        <v>786.62100000000009</v>
      </c>
      <c r="H83" s="20">
        <f>SUBTOTAL(9,H74:H82)</f>
        <v>2567.1290000000004</v>
      </c>
      <c r="I83" s="15"/>
      <c r="J83" s="16"/>
      <c r="K83" s="18"/>
    </row>
    <row r="84" spans="1:14" ht="18" x14ac:dyDescent="0.35">
      <c r="A84" s="19"/>
      <c r="B84" s="26"/>
      <c r="C84" s="11"/>
      <c r="D84" s="11"/>
      <c r="E84" s="20"/>
      <c r="F84" s="21"/>
      <c r="G84" s="20"/>
      <c r="H84" s="20"/>
      <c r="I84" s="15"/>
      <c r="J84" s="16"/>
      <c r="K84" s="18"/>
    </row>
    <row r="85" spans="1:14" ht="18" x14ac:dyDescent="0.35">
      <c r="A85" s="10">
        <v>44995</v>
      </c>
      <c r="B85" s="11" t="s">
        <v>76</v>
      </c>
      <c r="C85" s="11" t="s">
        <v>77</v>
      </c>
      <c r="D85" s="11" t="s">
        <v>9</v>
      </c>
      <c r="E85" s="12">
        <f>H85-G85</f>
        <v>431.67200000000014</v>
      </c>
      <c r="F85" s="21"/>
      <c r="G85" s="22">
        <f>202-25.31-24.11-13.9</f>
        <v>138.67999999999998</v>
      </c>
      <c r="H85" s="22">
        <f>633.672-25.31-24.11-13.9</f>
        <v>570.35200000000009</v>
      </c>
      <c r="I85" s="15" t="s">
        <v>78</v>
      </c>
      <c r="J85" s="16"/>
      <c r="K85" s="18">
        <v>1040.8825627624774</v>
      </c>
      <c r="M85">
        <v>376.71199999999999</v>
      </c>
      <c r="N85">
        <v>98.252000000000066</v>
      </c>
    </row>
    <row r="86" spans="1:14" ht="18" x14ac:dyDescent="0.35">
      <c r="A86" s="10"/>
      <c r="B86" s="26" t="s">
        <v>27</v>
      </c>
      <c r="C86" s="11"/>
      <c r="D86" s="11"/>
      <c r="E86" s="20">
        <f>SUBTOTAL(9,E85:E85)</f>
        <v>431.67200000000014</v>
      </c>
      <c r="F86" s="21">
        <f>E86</f>
        <v>431.67200000000014</v>
      </c>
      <c r="G86" s="20">
        <f>SUBTOTAL(9,G85:G85)</f>
        <v>138.67999999999998</v>
      </c>
      <c r="H86" s="20">
        <f>SUBTOTAL(9,H85:H85)</f>
        <v>570.35200000000009</v>
      </c>
      <c r="I86" s="15"/>
      <c r="J86" s="16"/>
      <c r="K86" s="18"/>
    </row>
    <row r="87" spans="1:14" ht="18" x14ac:dyDescent="0.35">
      <c r="A87" s="19"/>
      <c r="B87" s="26"/>
      <c r="C87" s="11"/>
      <c r="D87" s="11"/>
      <c r="E87" s="13"/>
      <c r="F87" s="21"/>
      <c r="G87" s="13"/>
      <c r="H87" s="27"/>
      <c r="I87" s="15"/>
      <c r="J87" s="16"/>
      <c r="K87" s="18"/>
    </row>
    <row r="88" spans="1:14" ht="18" x14ac:dyDescent="0.35">
      <c r="A88" s="10">
        <v>44749</v>
      </c>
      <c r="B88" s="11" t="s">
        <v>79</v>
      </c>
      <c r="C88" s="11" t="s">
        <v>80</v>
      </c>
      <c r="D88" s="11" t="s">
        <v>9</v>
      </c>
      <c r="E88" s="12">
        <f>H88-G88</f>
        <v>12.34</v>
      </c>
      <c r="F88" s="21"/>
      <c r="G88" s="22">
        <v>0</v>
      </c>
      <c r="H88" s="22">
        <v>12.34</v>
      </c>
      <c r="I88" s="15" t="s">
        <v>32</v>
      </c>
      <c r="J88" s="16"/>
      <c r="K88" s="18">
        <v>1875.2699932515579</v>
      </c>
      <c r="M88">
        <v>12.340000000000146</v>
      </c>
      <c r="N88">
        <v>11.31599999999986</v>
      </c>
    </row>
    <row r="89" spans="1:14" ht="18" x14ac:dyDescent="0.35">
      <c r="A89" s="10">
        <v>44979</v>
      </c>
      <c r="B89" s="11" t="s">
        <v>191</v>
      </c>
      <c r="C89" s="11" t="s">
        <v>80</v>
      </c>
      <c r="D89" s="11" t="s">
        <v>9</v>
      </c>
      <c r="E89" s="12">
        <f>H89-G89</f>
        <v>260.3309999999999</v>
      </c>
      <c r="F89" s="21"/>
      <c r="G89" s="22">
        <f>519.67-31.32-40.06+106-59.78-45.94-30.18</f>
        <v>418.39</v>
      </c>
      <c r="H89" s="22">
        <f>887.001-32.32-40.06-59.78-45.94-30.18</f>
        <v>678.72099999999989</v>
      </c>
      <c r="I89" s="15" t="s">
        <v>70</v>
      </c>
      <c r="J89" s="16"/>
      <c r="K89" s="18">
        <v>1245.0000025254401</v>
      </c>
      <c r="M89">
        <v>469.68100000000004</v>
      </c>
      <c r="N89">
        <v>217.88099999999986</v>
      </c>
    </row>
    <row r="90" spans="1:14" ht="18" x14ac:dyDescent="0.35">
      <c r="A90" s="19"/>
      <c r="B90" s="26" t="s">
        <v>27</v>
      </c>
      <c r="C90" s="11"/>
      <c r="D90" s="11"/>
      <c r="E90" s="20">
        <f>SUBTOTAL(9,E88:E89)</f>
        <v>272.67099999999988</v>
      </c>
      <c r="F90" s="21">
        <f>E90</f>
        <v>272.67099999999988</v>
      </c>
      <c r="G90" s="20">
        <f>SUBTOTAL(9,G88:G89)</f>
        <v>418.39</v>
      </c>
      <c r="H90" s="20">
        <f>SUBTOTAL(9,H88:H89)</f>
        <v>691.06099999999992</v>
      </c>
      <c r="I90" s="15"/>
      <c r="J90" s="16"/>
      <c r="K90" s="18"/>
    </row>
    <row r="91" spans="1:14" ht="18" x14ac:dyDescent="0.35">
      <c r="A91" s="19"/>
      <c r="B91" s="26"/>
      <c r="C91" s="11"/>
      <c r="D91" s="11"/>
      <c r="E91" s="13"/>
      <c r="F91" s="21"/>
      <c r="G91" s="20"/>
      <c r="H91" s="20"/>
      <c r="I91" s="15"/>
      <c r="J91" s="16"/>
      <c r="K91" s="18"/>
    </row>
    <row r="92" spans="1:14" ht="18" x14ac:dyDescent="0.35">
      <c r="A92" s="10">
        <v>45004</v>
      </c>
      <c r="B92" s="11" t="s">
        <v>81</v>
      </c>
      <c r="C92" s="11" t="s">
        <v>82</v>
      </c>
      <c r="D92" s="11" t="s">
        <v>9</v>
      </c>
      <c r="E92" s="12">
        <f>H92-G92</f>
        <v>530.10500000000002</v>
      </c>
      <c r="F92" s="13"/>
      <c r="G92" s="22">
        <f>217.15-87.39+21</f>
        <v>150.76</v>
      </c>
      <c r="H92" s="22">
        <f>768.255-87.39</f>
        <v>680.86500000000001</v>
      </c>
      <c r="I92" s="15" t="s">
        <v>47</v>
      </c>
      <c r="J92" s="16"/>
      <c r="K92" s="18">
        <v>920</v>
      </c>
      <c r="M92">
        <v>494.36399999999981</v>
      </c>
      <c r="N92">
        <v>362.11399999999981</v>
      </c>
    </row>
    <row r="93" spans="1:14" ht="18" x14ac:dyDescent="0.35">
      <c r="A93" s="10">
        <v>44865</v>
      </c>
      <c r="B93" s="11" t="s">
        <v>192</v>
      </c>
      <c r="C93" s="11" t="s">
        <v>82</v>
      </c>
      <c r="D93" s="11" t="s">
        <v>16</v>
      </c>
      <c r="E93" s="12">
        <f>H93-G93</f>
        <v>7.7069999999999936</v>
      </c>
      <c r="F93" s="13"/>
      <c r="G93" s="22">
        <f>65.67-15.58</f>
        <v>50.09</v>
      </c>
      <c r="H93" s="22">
        <f>73.377-15.58</f>
        <v>57.796999999999997</v>
      </c>
      <c r="I93" s="15" t="s">
        <v>23</v>
      </c>
      <c r="J93" s="16"/>
      <c r="K93" s="18">
        <v>1230</v>
      </c>
      <c r="M93">
        <v>60.245999999999981</v>
      </c>
      <c r="N93">
        <v>9.4759999999999991</v>
      </c>
    </row>
    <row r="94" spans="1:14" ht="18" x14ac:dyDescent="0.35">
      <c r="A94" s="10">
        <v>44997</v>
      </c>
      <c r="B94" s="11" t="s">
        <v>193</v>
      </c>
      <c r="C94" s="11" t="s">
        <v>82</v>
      </c>
      <c r="D94" s="11" t="s">
        <v>16</v>
      </c>
      <c r="E94" s="12">
        <f>H94-G94</f>
        <v>148.07999999999996</v>
      </c>
      <c r="F94" s="13"/>
      <c r="G94" s="22">
        <f>190.37+20+25-49.87-41.82-7.72</f>
        <v>135.96</v>
      </c>
      <c r="H94" s="22">
        <f>383.45-49.87-41.82-7.72</f>
        <v>284.03999999999996</v>
      </c>
      <c r="I94" s="15" t="s">
        <v>23</v>
      </c>
      <c r="J94" s="16"/>
      <c r="K94" s="18">
        <v>900</v>
      </c>
      <c r="M94">
        <v>228.66000000000003</v>
      </c>
      <c r="N94">
        <v>101.33499999999998</v>
      </c>
    </row>
    <row r="95" spans="1:14" s="52" customFormat="1" ht="18" x14ac:dyDescent="0.35">
      <c r="A95" s="45">
        <v>44834</v>
      </c>
      <c r="B95" s="31" t="s">
        <v>83</v>
      </c>
      <c r="C95" s="31" t="s">
        <v>82</v>
      </c>
      <c r="D95" s="31" t="s">
        <v>19</v>
      </c>
      <c r="E95" s="46">
        <f>H95-G95</f>
        <v>6.4969999999999999</v>
      </c>
      <c r="F95" s="54"/>
      <c r="G95" s="48">
        <v>0</v>
      </c>
      <c r="H95" s="48">
        <f>26.157-19.66</f>
        <v>6.4969999999999999</v>
      </c>
      <c r="I95" s="49" t="s">
        <v>19</v>
      </c>
      <c r="J95" s="50"/>
      <c r="K95" s="51">
        <v>930</v>
      </c>
      <c r="M95" s="52" t="e">
        <v>#N/A</v>
      </c>
      <c r="N95" s="52" t="e">
        <v>#N/A</v>
      </c>
    </row>
    <row r="96" spans="1:14" ht="18" x14ac:dyDescent="0.35">
      <c r="A96" s="19"/>
      <c r="B96" s="26" t="s">
        <v>27</v>
      </c>
      <c r="C96" s="11"/>
      <c r="D96" s="11"/>
      <c r="E96" s="20">
        <f>SUBTOTAL(9,E92:E95)</f>
        <v>692.3889999999999</v>
      </c>
      <c r="F96" s="21">
        <f>E96</f>
        <v>692.3889999999999</v>
      </c>
      <c r="G96" s="20">
        <f>SUBTOTAL(9,G92:G95)</f>
        <v>336.81</v>
      </c>
      <c r="H96" s="20">
        <f>SUBTOTAL(9,H92:H95)</f>
        <v>1029.1990000000001</v>
      </c>
      <c r="I96" s="15"/>
      <c r="J96" s="16"/>
      <c r="K96" s="18"/>
    </row>
    <row r="97" spans="1:14" ht="18" x14ac:dyDescent="0.35">
      <c r="A97" s="19"/>
      <c r="B97" s="11"/>
      <c r="C97" s="11"/>
      <c r="D97" s="11"/>
      <c r="E97" s="12"/>
      <c r="F97" s="13"/>
      <c r="G97" s="13"/>
      <c r="H97" s="27"/>
      <c r="I97" s="15"/>
      <c r="J97" s="16"/>
      <c r="K97" s="18"/>
    </row>
    <row r="98" spans="1:14" ht="18" x14ac:dyDescent="0.35">
      <c r="A98" s="10">
        <v>44884</v>
      </c>
      <c r="B98" s="11" t="s">
        <v>194</v>
      </c>
      <c r="C98" s="11" t="s">
        <v>84</v>
      </c>
      <c r="D98" s="11" t="s">
        <v>9</v>
      </c>
      <c r="E98" s="12">
        <f>H98-G98</f>
        <v>0</v>
      </c>
      <c r="F98" s="13"/>
      <c r="G98" s="22">
        <f>101.37-9.92-24.01</f>
        <v>67.44</v>
      </c>
      <c r="H98" s="22">
        <f>101.37-9.92-24.01</f>
        <v>67.44</v>
      </c>
      <c r="I98" s="15" t="s">
        <v>47</v>
      </c>
      <c r="J98" s="16"/>
      <c r="K98" s="18">
        <v>1100.19155162675</v>
      </c>
      <c r="M98">
        <v>47.880000000000337</v>
      </c>
      <c r="N98">
        <v>15.370000000000573</v>
      </c>
    </row>
    <row r="99" spans="1:14" ht="18" x14ac:dyDescent="0.35">
      <c r="A99" s="10">
        <v>45004</v>
      </c>
      <c r="B99" s="11" t="s">
        <v>85</v>
      </c>
      <c r="C99" s="11" t="s">
        <v>84</v>
      </c>
      <c r="D99" s="11" t="s">
        <v>9</v>
      </c>
      <c r="E99" s="12">
        <f>H99-G99</f>
        <v>727.03700000000003</v>
      </c>
      <c r="F99" s="13"/>
      <c r="G99" s="22">
        <f>195-19.28-26.83-31.87-25.28</f>
        <v>91.739999999999981</v>
      </c>
      <c r="H99" s="22">
        <f>922.037-19.28-26.83-31.87-25.28</f>
        <v>818.77700000000004</v>
      </c>
      <c r="I99" s="15" t="s">
        <v>47</v>
      </c>
      <c r="J99" s="16"/>
      <c r="K99" s="18">
        <v>920.76043398005095</v>
      </c>
      <c r="M99">
        <v>818.77700000000004</v>
      </c>
      <c r="N99">
        <v>732.05700000000002</v>
      </c>
    </row>
    <row r="100" spans="1:14" ht="18" x14ac:dyDescent="0.35">
      <c r="A100" s="10">
        <v>45038</v>
      </c>
      <c r="B100" s="11" t="s">
        <v>86</v>
      </c>
      <c r="C100" s="11" t="s">
        <v>84</v>
      </c>
      <c r="D100" s="11" t="s">
        <v>9</v>
      </c>
      <c r="E100" s="12">
        <f>H100-G100</f>
        <v>708.95899999999995</v>
      </c>
      <c r="F100" s="13"/>
      <c r="G100" s="22">
        <v>0</v>
      </c>
      <c r="H100" s="22">
        <v>708.95899999999995</v>
      </c>
      <c r="I100" s="15" t="s">
        <v>47</v>
      </c>
      <c r="J100" s="16"/>
      <c r="K100" s="18"/>
      <c r="M100">
        <v>708.95899999999995</v>
      </c>
      <c r="N100">
        <v>708.95899999999995</v>
      </c>
    </row>
    <row r="101" spans="1:14" ht="18" x14ac:dyDescent="0.35">
      <c r="A101" s="19"/>
      <c r="B101" s="26" t="s">
        <v>27</v>
      </c>
      <c r="C101" s="11"/>
      <c r="D101" s="11"/>
      <c r="E101" s="20">
        <f>SUBTOTAL(9,E98:E100)</f>
        <v>1435.9960000000001</v>
      </c>
      <c r="F101" s="21">
        <f>E101</f>
        <v>1435.9960000000001</v>
      </c>
      <c r="G101" s="20">
        <f>SUBTOTAL(9,G98:G100)</f>
        <v>159.17999999999998</v>
      </c>
      <c r="H101" s="20">
        <f>SUBTOTAL(9,H98:H100)</f>
        <v>1595.1759999999999</v>
      </c>
      <c r="I101" s="15"/>
      <c r="J101" s="16"/>
      <c r="K101" s="18"/>
    </row>
    <row r="102" spans="1:14" ht="18" x14ac:dyDescent="0.35">
      <c r="A102" s="19"/>
      <c r="B102" s="26"/>
      <c r="C102" s="11"/>
      <c r="D102" s="11"/>
      <c r="E102" s="13"/>
      <c r="F102" s="13"/>
      <c r="G102" s="13"/>
      <c r="H102" s="27"/>
      <c r="I102" s="15"/>
      <c r="J102" s="16"/>
      <c r="K102" s="18"/>
    </row>
    <row r="103" spans="1:14" ht="18" x14ac:dyDescent="0.35">
      <c r="A103" s="10">
        <v>44764</v>
      </c>
      <c r="B103" s="11" t="s">
        <v>87</v>
      </c>
      <c r="C103" s="11" t="s">
        <v>88</v>
      </c>
      <c r="D103" s="11" t="s">
        <v>9</v>
      </c>
      <c r="E103" s="12">
        <f t="shared" ref="E103:E115" si="8">H103-G103</f>
        <v>0.93899999999999995</v>
      </c>
      <c r="F103" s="13"/>
      <c r="G103" s="22">
        <v>0</v>
      </c>
      <c r="H103" s="22">
        <v>0.93899999999999995</v>
      </c>
      <c r="I103" s="15" t="s">
        <v>47</v>
      </c>
      <c r="J103" s="16"/>
      <c r="K103" s="18">
        <v>1331.45</v>
      </c>
      <c r="M103">
        <v>0.93900000000030559</v>
      </c>
      <c r="N103">
        <v>-7.7609999999995125</v>
      </c>
    </row>
    <row r="104" spans="1:14" ht="18" x14ac:dyDescent="0.35">
      <c r="A104" s="10">
        <v>44892</v>
      </c>
      <c r="B104" s="11" t="s">
        <v>89</v>
      </c>
      <c r="C104" s="11" t="s">
        <v>88</v>
      </c>
      <c r="D104" s="11" t="s">
        <v>9</v>
      </c>
      <c r="E104" s="12">
        <f t="shared" si="8"/>
        <v>0</v>
      </c>
      <c r="F104" s="13"/>
      <c r="G104" s="22">
        <v>26.97</v>
      </c>
      <c r="H104" s="22">
        <v>26.97</v>
      </c>
      <c r="I104" s="15" t="s">
        <v>90</v>
      </c>
      <c r="J104" s="16"/>
      <c r="K104" s="18">
        <v>1118.5375775311952</v>
      </c>
      <c r="M104">
        <v>3.2229999999999563</v>
      </c>
      <c r="N104">
        <v>-24.867000000000189</v>
      </c>
    </row>
    <row r="105" spans="1:14" ht="18" x14ac:dyDescent="0.35">
      <c r="A105" s="10">
        <v>44566</v>
      </c>
      <c r="B105" s="11" t="s">
        <v>91</v>
      </c>
      <c r="C105" s="11" t="s">
        <v>88</v>
      </c>
      <c r="D105" s="11" t="s">
        <v>9</v>
      </c>
      <c r="E105" s="12">
        <f t="shared" si="8"/>
        <v>0</v>
      </c>
      <c r="F105" s="13"/>
      <c r="G105" s="22">
        <v>121.423</v>
      </c>
      <c r="H105" s="22">
        <v>121.423</v>
      </c>
      <c r="I105" s="15" t="s">
        <v>29</v>
      </c>
      <c r="J105" s="16"/>
      <c r="K105" s="18">
        <v>1037.0283001737214</v>
      </c>
      <c r="M105">
        <v>0</v>
      </c>
      <c r="N105">
        <v>-7.3299999999999272</v>
      </c>
    </row>
    <row r="106" spans="1:14" ht="18" x14ac:dyDescent="0.35">
      <c r="A106" s="10">
        <v>44592</v>
      </c>
      <c r="B106" s="11" t="s">
        <v>195</v>
      </c>
      <c r="C106" s="11" t="s">
        <v>88</v>
      </c>
      <c r="D106" s="11" t="s">
        <v>9</v>
      </c>
      <c r="E106" s="12">
        <f>H106-G106</f>
        <v>0</v>
      </c>
      <c r="F106" s="13"/>
      <c r="G106" s="22">
        <f>180.553-28.01-47.51-49.49</f>
        <v>55.543000000000013</v>
      </c>
      <c r="H106" s="22">
        <f>180.553-28.01-47.51-49.49</f>
        <v>55.543000000000013</v>
      </c>
      <c r="I106" s="15" t="s">
        <v>92</v>
      </c>
      <c r="J106" s="16"/>
      <c r="K106" s="18">
        <v>913.43126017726286</v>
      </c>
      <c r="M106">
        <v>0</v>
      </c>
      <c r="N106">
        <v>-1.0400000000000063</v>
      </c>
    </row>
    <row r="107" spans="1:14" ht="18" x14ac:dyDescent="0.35">
      <c r="A107" s="10">
        <v>44976</v>
      </c>
      <c r="B107" s="11" t="s">
        <v>93</v>
      </c>
      <c r="C107" s="11" t="s">
        <v>88</v>
      </c>
      <c r="D107" s="11" t="s">
        <v>9</v>
      </c>
      <c r="E107" s="12">
        <f t="shared" si="8"/>
        <v>1703.5439999999999</v>
      </c>
      <c r="F107" s="13"/>
      <c r="G107" s="22">
        <f>270-19.75+216+100-52.53+20-37.89</f>
        <v>495.83000000000004</v>
      </c>
      <c r="H107" s="22">
        <f>2309.544-19.75-52.53-37.89</f>
        <v>2199.3739999999998</v>
      </c>
      <c r="I107" s="15" t="s">
        <v>29</v>
      </c>
      <c r="J107" s="16"/>
      <c r="K107" s="18">
        <v>954.97628278089473</v>
      </c>
      <c r="M107">
        <v>1800.3140000000001</v>
      </c>
      <c r="N107">
        <v>598.35399999999981</v>
      </c>
    </row>
    <row r="108" spans="1:14" ht="18" x14ac:dyDescent="0.35">
      <c r="A108" s="10">
        <v>44997</v>
      </c>
      <c r="B108" s="11" t="s">
        <v>94</v>
      </c>
      <c r="C108" s="11" t="s">
        <v>88</v>
      </c>
      <c r="D108" s="11" t="s">
        <v>9</v>
      </c>
      <c r="E108" s="12">
        <f t="shared" si="8"/>
        <v>675.46800000000007</v>
      </c>
      <c r="F108" s="13"/>
      <c r="G108" s="22">
        <f>100-16.86+160-19.9-13.92</f>
        <v>209.32</v>
      </c>
      <c r="H108" s="22">
        <f>918.608-19.9-13.92</f>
        <v>884.78800000000001</v>
      </c>
      <c r="I108" s="15" t="s">
        <v>32</v>
      </c>
      <c r="J108" s="16"/>
      <c r="K108" s="18">
        <v>1005.1251051089312</v>
      </c>
      <c r="M108">
        <v>692.55799999999999</v>
      </c>
      <c r="N108">
        <v>283.77799999999996</v>
      </c>
    </row>
    <row r="109" spans="1:14" ht="18" x14ac:dyDescent="0.35">
      <c r="A109" s="10">
        <v>44997</v>
      </c>
      <c r="B109" s="11" t="s">
        <v>94</v>
      </c>
      <c r="C109" s="11" t="s">
        <v>88</v>
      </c>
      <c r="D109" s="11" t="s">
        <v>9</v>
      </c>
      <c r="E109" s="12">
        <f t="shared" si="8"/>
        <v>1612.19</v>
      </c>
      <c r="F109" s="13"/>
      <c r="G109" s="22">
        <v>0</v>
      </c>
      <c r="H109" s="22">
        <v>1612.19</v>
      </c>
      <c r="I109" s="15" t="s">
        <v>95</v>
      </c>
      <c r="J109" s="16"/>
      <c r="K109" s="18">
        <v>1005.12510510893</v>
      </c>
      <c r="M109">
        <v>692.55799999999999</v>
      </c>
      <c r="N109">
        <v>283.77799999999996</v>
      </c>
    </row>
    <row r="110" spans="1:14" ht="18" x14ac:dyDescent="0.35">
      <c r="A110" s="10">
        <v>44935</v>
      </c>
      <c r="B110" s="11" t="s">
        <v>196</v>
      </c>
      <c r="C110" s="11" t="s">
        <v>88</v>
      </c>
      <c r="D110" s="11" t="s">
        <v>13</v>
      </c>
      <c r="E110" s="12">
        <f t="shared" si="8"/>
        <v>0</v>
      </c>
      <c r="F110" s="13"/>
      <c r="G110" s="22">
        <f>236.648-24.9-24.96-15.93</f>
        <v>170.85799999999998</v>
      </c>
      <c r="H110" s="22">
        <f>236.648-24.9-24.96-15.93</f>
        <v>170.85799999999998</v>
      </c>
      <c r="I110" s="15" t="s">
        <v>21</v>
      </c>
      <c r="J110" s="16"/>
      <c r="K110" s="18">
        <v>870.27000343629402</v>
      </c>
      <c r="M110">
        <v>103.65899999999999</v>
      </c>
      <c r="N110">
        <v>74.49899999999991</v>
      </c>
    </row>
    <row r="111" spans="1:14" ht="18" x14ac:dyDescent="0.35">
      <c r="A111" s="10">
        <v>44935</v>
      </c>
      <c r="B111" s="11" t="s">
        <v>197</v>
      </c>
      <c r="C111" s="11" t="s">
        <v>88</v>
      </c>
      <c r="D111" s="11" t="s">
        <v>13</v>
      </c>
      <c r="E111" s="12">
        <f t="shared" si="8"/>
        <v>0</v>
      </c>
      <c r="F111" s="13"/>
      <c r="G111" s="22">
        <f>236.648-24.9-24.96-15.93</f>
        <v>170.85799999999998</v>
      </c>
      <c r="H111" s="22">
        <f>236.648-24.9-24.96-15.93</f>
        <v>170.85799999999998</v>
      </c>
      <c r="I111" s="15" t="s">
        <v>21</v>
      </c>
      <c r="J111" s="16"/>
      <c r="K111" s="18">
        <v>870.27000343629402</v>
      </c>
      <c r="M111">
        <v>38.735999999999422</v>
      </c>
      <c r="N111">
        <v>-74.184000000000424</v>
      </c>
    </row>
    <row r="112" spans="1:14" ht="18" x14ac:dyDescent="0.35">
      <c r="A112" s="10">
        <v>44927</v>
      </c>
      <c r="B112" s="11" t="s">
        <v>96</v>
      </c>
      <c r="C112" s="11" t="s">
        <v>88</v>
      </c>
      <c r="D112" s="11" t="s">
        <v>19</v>
      </c>
      <c r="E112" s="12">
        <f t="shared" si="8"/>
        <v>0</v>
      </c>
      <c r="F112" s="13"/>
      <c r="G112" s="22">
        <f>586.938-47.63-70.43-61.12</f>
        <v>407.75799999999998</v>
      </c>
      <c r="H112" s="22">
        <f>586.938-47.63-70.43-61.12</f>
        <v>407.75799999999998</v>
      </c>
      <c r="I112" s="15" t="s">
        <v>26</v>
      </c>
      <c r="J112" s="16"/>
      <c r="K112" s="18">
        <v>1037.0282893203669</v>
      </c>
      <c r="M112">
        <v>2.3620000000005348</v>
      </c>
      <c r="N112">
        <v>-397.2180000000003</v>
      </c>
    </row>
    <row r="113" spans="1:14" ht="18" x14ac:dyDescent="0.35">
      <c r="A113" s="10">
        <v>44964</v>
      </c>
      <c r="B113" s="11" t="s">
        <v>198</v>
      </c>
      <c r="C113" s="11" t="s">
        <v>88</v>
      </c>
      <c r="D113" s="11" t="s">
        <v>19</v>
      </c>
      <c r="E113" s="12">
        <f t="shared" si="8"/>
        <v>0</v>
      </c>
      <c r="F113" s="13"/>
      <c r="G113" s="22">
        <f>63+60+32+64.348</f>
        <v>219.34800000000001</v>
      </c>
      <c r="H113" s="22">
        <v>219.34800000000001</v>
      </c>
      <c r="I113" s="15" t="s">
        <v>26</v>
      </c>
      <c r="J113" s="16"/>
      <c r="K113" s="18">
        <v>960.99903545431528</v>
      </c>
      <c r="M113">
        <v>43.601999999999862</v>
      </c>
      <c r="N113">
        <v>-106.32799999999997</v>
      </c>
    </row>
    <row r="114" spans="1:14" ht="18" x14ac:dyDescent="0.35">
      <c r="A114" s="10">
        <v>45020</v>
      </c>
      <c r="B114" s="11" t="s">
        <v>97</v>
      </c>
      <c r="C114" s="11" t="s">
        <v>88</v>
      </c>
      <c r="D114" s="11" t="s">
        <v>19</v>
      </c>
      <c r="E114" s="12">
        <f t="shared" si="8"/>
        <v>1683.819</v>
      </c>
      <c r="F114" s="13"/>
      <c r="G114" s="22">
        <f>87+145</f>
        <v>232</v>
      </c>
      <c r="H114" s="22">
        <v>1915.819</v>
      </c>
      <c r="I114" s="15" t="s">
        <v>26</v>
      </c>
      <c r="J114" s="16"/>
      <c r="K114" s="18">
        <v>1030</v>
      </c>
      <c r="M114">
        <v>1879.819</v>
      </c>
      <c r="N114">
        <v>1595.1289999999999</v>
      </c>
    </row>
    <row r="115" spans="1:14" ht="18" x14ac:dyDescent="0.35">
      <c r="A115" s="10">
        <v>45054</v>
      </c>
      <c r="B115" s="11" t="s">
        <v>222</v>
      </c>
      <c r="C115" s="11" t="s">
        <v>88</v>
      </c>
      <c r="D115" s="11" t="s">
        <v>166</v>
      </c>
      <c r="E115" s="12">
        <f t="shared" si="8"/>
        <v>1683.819</v>
      </c>
      <c r="F115" s="13"/>
      <c r="G115" s="22">
        <f>87+145</f>
        <v>232</v>
      </c>
      <c r="H115" s="22">
        <v>1915.819</v>
      </c>
      <c r="I115" s="15" t="s">
        <v>166</v>
      </c>
      <c r="J115" s="16"/>
      <c r="K115" s="18">
        <v>1030</v>
      </c>
      <c r="M115">
        <v>2445.7159999999999</v>
      </c>
      <c r="N115">
        <v>1795.3209999999999</v>
      </c>
    </row>
    <row r="116" spans="1:14" ht="18" x14ac:dyDescent="0.35">
      <c r="A116" s="19"/>
      <c r="B116" s="26" t="s">
        <v>27</v>
      </c>
      <c r="C116" s="11"/>
      <c r="D116" s="11"/>
      <c r="E116" s="20">
        <f>SUBTOTAL(9,E103:E115)</f>
        <v>7359.7790000000005</v>
      </c>
      <c r="F116" s="21">
        <f>E116</f>
        <v>7359.7790000000005</v>
      </c>
      <c r="G116" s="20">
        <f>SUBTOTAL(9,G103:G115)</f>
        <v>2341.9079999999999</v>
      </c>
      <c r="H116" s="20">
        <f>SUBTOTAL(9,H103:H115)</f>
        <v>9701.6869999999999</v>
      </c>
      <c r="I116" s="15"/>
      <c r="J116" s="16"/>
      <c r="K116" s="18"/>
    </row>
    <row r="117" spans="1:14" ht="18" x14ac:dyDescent="0.35">
      <c r="A117" s="19"/>
      <c r="B117" s="11"/>
      <c r="C117" s="11"/>
      <c r="D117" s="11"/>
      <c r="E117" s="12"/>
      <c r="F117" s="13"/>
      <c r="G117" s="13"/>
      <c r="H117" s="20"/>
      <c r="I117" s="15"/>
      <c r="J117" s="16"/>
      <c r="K117" s="18"/>
    </row>
    <row r="118" spans="1:14" ht="19.5" customHeight="1" x14ac:dyDescent="0.35">
      <c r="A118" s="10">
        <v>44966</v>
      </c>
      <c r="B118" s="11" t="s">
        <v>98</v>
      </c>
      <c r="C118" s="11" t="s">
        <v>99</v>
      </c>
      <c r="D118" s="11" t="s">
        <v>13</v>
      </c>
      <c r="E118" s="28">
        <f t="shared" ref="E118:E120" si="9">H118-G118</f>
        <v>-24.771000000000065</v>
      </c>
      <c r="F118" s="21"/>
      <c r="G118" s="22">
        <v>50</v>
      </c>
      <c r="H118" s="22">
        <f>315.85+80-75.17+25-73.4-79.99+70-25.09-25.06-72.64-83.09-24.59+25+50-54.78+23.059-24.94-24.93</f>
        <v>25.228999999999935</v>
      </c>
      <c r="I118" s="15" t="s">
        <v>21</v>
      </c>
      <c r="J118" s="16"/>
      <c r="K118" s="18">
        <v>630.5353442094663</v>
      </c>
      <c r="M118">
        <v>25.228999999999814</v>
      </c>
      <c r="N118">
        <v>5.2190000000000509</v>
      </c>
    </row>
    <row r="119" spans="1:14" ht="19.5" customHeight="1" x14ac:dyDescent="0.35">
      <c r="A119" s="10">
        <v>45050</v>
      </c>
      <c r="B119" s="11" t="s">
        <v>217</v>
      </c>
      <c r="C119" s="11" t="s">
        <v>99</v>
      </c>
      <c r="D119" s="11" t="s">
        <v>13</v>
      </c>
      <c r="E119" s="28">
        <f t="shared" si="9"/>
        <v>-24.771000000000065</v>
      </c>
      <c r="F119" s="21"/>
      <c r="G119" s="22">
        <v>50</v>
      </c>
      <c r="H119" s="22">
        <f>315.85+80-75.17+25-73.4-79.99+70-25.09-25.06-72.64-83.09-24.59+25+50-54.78+23.059-24.94-24.93</f>
        <v>25.228999999999935</v>
      </c>
      <c r="I119" s="15" t="s">
        <v>21</v>
      </c>
      <c r="J119" s="16"/>
      <c r="K119" s="18">
        <v>630.5353442094663</v>
      </c>
      <c r="M119">
        <v>2.0800000000000978</v>
      </c>
      <c r="N119">
        <v>-129.0200000000001</v>
      </c>
    </row>
    <row r="120" spans="1:14" ht="19.5" customHeight="1" x14ac:dyDescent="0.35">
      <c r="A120" s="10">
        <v>45050</v>
      </c>
      <c r="B120" s="11" t="s">
        <v>218</v>
      </c>
      <c r="C120" s="11" t="s">
        <v>99</v>
      </c>
      <c r="D120" s="11" t="s">
        <v>13</v>
      </c>
      <c r="E120" s="28">
        <f t="shared" si="9"/>
        <v>-24.771000000000065</v>
      </c>
      <c r="F120" s="21"/>
      <c r="G120" s="22">
        <v>50</v>
      </c>
      <c r="H120" s="22">
        <f>315.85+80-75.17+25-73.4-79.99+70-25.09-25.06-72.64-83.09-24.59+25+50-54.78+23.059-24.94-24.93</f>
        <v>25.228999999999935</v>
      </c>
      <c r="I120" s="15" t="s">
        <v>21</v>
      </c>
      <c r="J120" s="16"/>
      <c r="K120" s="18">
        <v>630.5353442094663</v>
      </c>
      <c r="M120">
        <v>845.08300000000008</v>
      </c>
      <c r="N120">
        <v>526.77300000000002</v>
      </c>
    </row>
    <row r="121" spans="1:14" ht="19.5" customHeight="1" x14ac:dyDescent="0.35">
      <c r="A121" s="10"/>
      <c r="B121" s="26" t="s">
        <v>27</v>
      </c>
      <c r="C121" s="11"/>
      <c r="D121" s="11"/>
      <c r="E121" s="20">
        <f>SUBTOTAL(9,E120:E120)</f>
        <v>-24.771000000000065</v>
      </c>
      <c r="F121" s="21">
        <f>E121</f>
        <v>-24.771000000000065</v>
      </c>
      <c r="G121" s="20">
        <f>SUBTOTAL(9,G120:G120)</f>
        <v>50</v>
      </c>
      <c r="H121" s="20">
        <f>SUBTOTAL(9,H120:H120)</f>
        <v>25.228999999999935</v>
      </c>
      <c r="I121" s="15"/>
      <c r="J121" s="16"/>
      <c r="K121" s="18"/>
    </row>
    <row r="122" spans="1:14" ht="18" x14ac:dyDescent="0.35">
      <c r="A122" s="19"/>
      <c r="B122" s="26"/>
      <c r="C122" s="11"/>
      <c r="D122" s="11"/>
      <c r="E122" s="13"/>
      <c r="F122" s="13"/>
      <c r="G122" s="20"/>
      <c r="H122" s="20"/>
      <c r="I122" s="15"/>
      <c r="J122" s="16"/>
      <c r="K122" s="18"/>
    </row>
    <row r="123" spans="1:14" ht="18" x14ac:dyDescent="0.35">
      <c r="A123" s="10">
        <v>44997</v>
      </c>
      <c r="B123" s="11" t="s">
        <v>100</v>
      </c>
      <c r="C123" s="11" t="s">
        <v>101</v>
      </c>
      <c r="D123" s="11" t="s">
        <v>9</v>
      </c>
      <c r="E123" s="12">
        <f>H123-G123</f>
        <v>0</v>
      </c>
      <c r="F123" s="13"/>
      <c r="G123" s="22">
        <f>92.929-24.86-24.93</f>
        <v>43.139000000000003</v>
      </c>
      <c r="H123" s="22">
        <f>92.929-24.86-24.93</f>
        <v>43.139000000000003</v>
      </c>
      <c r="I123" s="15" t="s">
        <v>47</v>
      </c>
      <c r="J123" s="16"/>
      <c r="K123" s="18">
        <v>1120.1930576716391</v>
      </c>
      <c r="M123">
        <v>43.138999999999953</v>
      </c>
      <c r="N123">
        <v>-109.35099999999994</v>
      </c>
    </row>
    <row r="124" spans="1:14" s="52" customFormat="1" ht="18" x14ac:dyDescent="0.35">
      <c r="A124" s="45">
        <v>45018</v>
      </c>
      <c r="B124" s="31" t="s">
        <v>102</v>
      </c>
      <c r="C124" s="31" t="s">
        <v>101</v>
      </c>
      <c r="D124" s="31" t="s">
        <v>9</v>
      </c>
      <c r="E124" s="46">
        <f>H124-G124-50</f>
        <v>565.18500000000006</v>
      </c>
      <c r="F124" s="54"/>
      <c r="G124" s="48">
        <f>275+15-15-18.86-22.05+25-24.9-27.64</f>
        <v>206.54999999999995</v>
      </c>
      <c r="H124" s="48">
        <f>1026.455-31.27-9.83-24.68-30.85-14.64-18.86-22.05-24.9-27.64</f>
        <v>821.73500000000001</v>
      </c>
      <c r="I124" s="49" t="s">
        <v>47</v>
      </c>
      <c r="J124" s="30" t="s">
        <v>103</v>
      </c>
      <c r="K124" s="51"/>
      <c r="M124" s="52" t="e">
        <v>#N/A</v>
      </c>
      <c r="N124" s="52" t="e">
        <v>#N/A</v>
      </c>
    </row>
    <row r="125" spans="1:14" ht="18" x14ac:dyDescent="0.35">
      <c r="A125" s="19"/>
      <c r="B125" s="26" t="s">
        <v>27</v>
      </c>
      <c r="C125" s="11"/>
      <c r="D125" s="11"/>
      <c r="E125" s="20">
        <f>SUBTOTAL(9,E123:E124)</f>
        <v>565.18500000000006</v>
      </c>
      <c r="F125" s="21">
        <f>E125</f>
        <v>565.18500000000006</v>
      </c>
      <c r="G125" s="20">
        <f>SUBTOTAL(9,G123:G124)</f>
        <v>249.68899999999996</v>
      </c>
      <c r="H125" s="20">
        <f>SUBTOTAL(9,H123:H124)</f>
        <v>864.87400000000002</v>
      </c>
      <c r="I125" s="15"/>
      <c r="J125" s="16"/>
      <c r="K125" s="18"/>
    </row>
    <row r="126" spans="1:14" ht="18" x14ac:dyDescent="0.35">
      <c r="A126" s="19"/>
      <c r="B126" s="26"/>
      <c r="C126" s="11"/>
      <c r="D126" s="11"/>
      <c r="E126" s="13"/>
      <c r="F126" s="13"/>
      <c r="G126" s="13"/>
      <c r="H126" s="20"/>
      <c r="I126" s="15"/>
      <c r="J126" s="16"/>
      <c r="K126" s="18"/>
    </row>
    <row r="127" spans="1:14" ht="18" x14ac:dyDescent="0.35">
      <c r="A127" s="10">
        <v>44919</v>
      </c>
      <c r="B127" s="11" t="s">
        <v>104</v>
      </c>
      <c r="C127" s="11" t="s">
        <v>105</v>
      </c>
      <c r="D127" s="11" t="s">
        <v>9</v>
      </c>
      <c r="E127" s="12">
        <f>H127-G127</f>
        <v>0</v>
      </c>
      <c r="F127" s="21"/>
      <c r="G127" s="22">
        <v>127.99299999999999</v>
      </c>
      <c r="H127" s="22">
        <v>127.99299999999999</v>
      </c>
      <c r="I127" s="15" t="s">
        <v>47</v>
      </c>
      <c r="J127" s="16"/>
      <c r="K127" s="18">
        <v>1295.2259126271699</v>
      </c>
      <c r="M127">
        <v>20.188000000000102</v>
      </c>
      <c r="N127">
        <v>-33.652000000000044</v>
      </c>
    </row>
    <row r="128" spans="1:14" ht="18" x14ac:dyDescent="0.35">
      <c r="A128" s="10">
        <v>44943</v>
      </c>
      <c r="B128" s="11" t="s">
        <v>106</v>
      </c>
      <c r="C128" s="11" t="s">
        <v>105</v>
      </c>
      <c r="D128" s="11" t="s">
        <v>9</v>
      </c>
      <c r="E128" s="12">
        <f>H128-G128</f>
        <v>698.60799999999995</v>
      </c>
      <c r="F128" s="21"/>
      <c r="G128" s="22">
        <f>141+95-46.5-65.53-24.46</f>
        <v>99.509999999999991</v>
      </c>
      <c r="H128" s="22">
        <f>934.608-46.5-65.53-24.46</f>
        <v>798.11799999999994</v>
      </c>
      <c r="I128" s="15" t="s">
        <v>47</v>
      </c>
      <c r="J128" s="16"/>
      <c r="K128" s="18">
        <v>1210</v>
      </c>
      <c r="M128">
        <v>637.31799999999998</v>
      </c>
      <c r="N128">
        <v>428.04800000000012</v>
      </c>
    </row>
    <row r="129" spans="1:14" ht="18" x14ac:dyDescent="0.35">
      <c r="A129" s="10"/>
      <c r="B129" s="26" t="s">
        <v>27</v>
      </c>
      <c r="C129" s="11"/>
      <c r="D129" s="11"/>
      <c r="E129" s="20">
        <f>SUBTOTAL(9,E127:E128)</f>
        <v>698.60799999999995</v>
      </c>
      <c r="F129" s="21">
        <f>E129</f>
        <v>698.60799999999995</v>
      </c>
      <c r="G129" s="20">
        <f>SUBTOTAL(9,G127:G128)</f>
        <v>227.50299999999999</v>
      </c>
      <c r="H129" s="20">
        <f>SUBTOTAL(9,H127:H128)</f>
        <v>926.11099999999988</v>
      </c>
      <c r="I129" s="15"/>
      <c r="J129" s="16"/>
      <c r="K129" s="18"/>
    </row>
    <row r="130" spans="1:14" ht="18" x14ac:dyDescent="0.35">
      <c r="A130" s="19"/>
      <c r="B130" s="26"/>
      <c r="C130" s="11"/>
      <c r="D130" s="11"/>
      <c r="E130" s="13"/>
      <c r="F130" s="13"/>
      <c r="G130" s="13"/>
      <c r="H130" s="27"/>
      <c r="I130" s="15"/>
      <c r="J130" s="16"/>
      <c r="K130" s="18"/>
    </row>
    <row r="131" spans="1:14" ht="18" x14ac:dyDescent="0.35">
      <c r="A131" s="10">
        <v>44722</v>
      </c>
      <c r="B131" s="11" t="s">
        <v>107</v>
      </c>
      <c r="C131" s="11" t="s">
        <v>108</v>
      </c>
      <c r="D131" s="11" t="s">
        <v>9</v>
      </c>
      <c r="E131" s="12">
        <f>H131-G131</f>
        <v>1.159</v>
      </c>
      <c r="F131" s="13"/>
      <c r="G131" s="22">
        <v>0</v>
      </c>
      <c r="H131" s="22">
        <v>1.159</v>
      </c>
      <c r="I131" s="15" t="s">
        <v>109</v>
      </c>
      <c r="J131" s="16"/>
      <c r="K131" s="18">
        <v>1890</v>
      </c>
      <c r="M131">
        <v>1.1590000000001055</v>
      </c>
      <c r="N131">
        <v>2.3740000000001009</v>
      </c>
    </row>
    <row r="132" spans="1:14" ht="18" x14ac:dyDescent="0.35">
      <c r="A132" s="10">
        <v>44930</v>
      </c>
      <c r="B132" s="11" t="s">
        <v>110</v>
      </c>
      <c r="C132" s="11" t="s">
        <v>108</v>
      </c>
      <c r="D132" s="11" t="s">
        <v>13</v>
      </c>
      <c r="E132" s="12">
        <f>H132-G132</f>
        <v>109.333</v>
      </c>
      <c r="F132" s="13"/>
      <c r="G132" s="22">
        <f>202.96+84-24.9-23.42-21.06-22.59</f>
        <v>194.99000000000004</v>
      </c>
      <c r="H132" s="22">
        <f>396.293-24.9-23.42-21.06-22.59</f>
        <v>304.32300000000004</v>
      </c>
      <c r="I132" s="15" t="s">
        <v>21</v>
      </c>
      <c r="J132" s="16"/>
      <c r="K132" s="18">
        <v>1536.9055918352899</v>
      </c>
      <c r="M132">
        <v>244.01300000000026</v>
      </c>
      <c r="N132">
        <v>-14.797000000000025</v>
      </c>
    </row>
    <row r="133" spans="1:14" ht="18" x14ac:dyDescent="0.35">
      <c r="A133" s="10">
        <v>45005</v>
      </c>
      <c r="B133" s="11" t="s">
        <v>111</v>
      </c>
      <c r="C133" s="11" t="s">
        <v>108</v>
      </c>
      <c r="D133" s="11" t="s">
        <v>13</v>
      </c>
      <c r="E133" s="12">
        <f>H133-G133</f>
        <v>520.96699999999998</v>
      </c>
      <c r="F133" s="13"/>
      <c r="G133" s="22">
        <v>0</v>
      </c>
      <c r="H133" s="22">
        <v>520.96699999999998</v>
      </c>
      <c r="I133" s="15" t="s">
        <v>21</v>
      </c>
      <c r="J133" s="16"/>
      <c r="K133" s="18">
        <v>1403.23329522019</v>
      </c>
      <c r="M133">
        <v>498.50700000000001</v>
      </c>
      <c r="N133">
        <v>520.96699999999998</v>
      </c>
    </row>
    <row r="134" spans="1:14" ht="18" x14ac:dyDescent="0.35">
      <c r="A134" s="19"/>
      <c r="B134" s="26" t="s">
        <v>27</v>
      </c>
      <c r="C134" s="11"/>
      <c r="D134" s="11"/>
      <c r="E134" s="20">
        <f>SUBTOTAL(9,E131:E133)</f>
        <v>631.45899999999995</v>
      </c>
      <c r="F134" s="21">
        <f>E134</f>
        <v>631.45899999999995</v>
      </c>
      <c r="G134" s="20">
        <f>SUBTOTAL(9,G131:G133)</f>
        <v>194.99000000000004</v>
      </c>
      <c r="H134" s="20">
        <f>SUBTOTAL(9,H131:H133)</f>
        <v>826.44900000000007</v>
      </c>
      <c r="I134" s="15"/>
      <c r="J134" s="16"/>
      <c r="K134" s="18"/>
    </row>
    <row r="135" spans="1:14" ht="18" x14ac:dyDescent="0.35">
      <c r="A135" s="19"/>
      <c r="B135" s="26"/>
      <c r="C135" s="11"/>
      <c r="D135" s="11" t="s">
        <v>112</v>
      </c>
      <c r="E135" s="13"/>
      <c r="F135" s="13"/>
      <c r="G135" s="13"/>
      <c r="H135" s="27"/>
      <c r="I135" s="15"/>
      <c r="J135" s="16"/>
      <c r="K135" s="18"/>
    </row>
    <row r="136" spans="1:14" ht="18" x14ac:dyDescent="0.35">
      <c r="A136" s="10">
        <v>44969</v>
      </c>
      <c r="B136" s="11" t="s">
        <v>113</v>
      </c>
      <c r="C136" s="11" t="s">
        <v>114</v>
      </c>
      <c r="D136" s="11" t="s">
        <v>9</v>
      </c>
      <c r="E136" s="12">
        <f>H136-G136</f>
        <v>0</v>
      </c>
      <c r="F136" s="21"/>
      <c r="G136" s="22">
        <f>157+25-29.47+28-73.59+15.553-8.05-46.35</f>
        <v>68.092999999999989</v>
      </c>
      <c r="H136" s="22">
        <f>157+25-29.47+28-73.59+15.553-8.05-46.35</f>
        <v>68.092999999999989</v>
      </c>
      <c r="I136" s="15" t="s">
        <v>23</v>
      </c>
      <c r="J136" s="16"/>
      <c r="K136" s="18">
        <v>1192.5</v>
      </c>
      <c r="M136">
        <v>18.252999999999702</v>
      </c>
      <c r="N136">
        <v>-15.037000000000035</v>
      </c>
    </row>
    <row r="137" spans="1:14" s="52" customFormat="1" ht="18" x14ac:dyDescent="0.35">
      <c r="A137" s="45">
        <v>44988</v>
      </c>
      <c r="B137" s="31" t="s">
        <v>115</v>
      </c>
      <c r="C137" s="31" t="s">
        <v>114</v>
      </c>
      <c r="D137" s="31" t="s">
        <v>9</v>
      </c>
      <c r="E137" s="46">
        <f>H137-G137</f>
        <v>0</v>
      </c>
      <c r="F137" s="53"/>
      <c r="G137" s="48">
        <v>142.80500000000001</v>
      </c>
      <c r="H137" s="48">
        <v>142.80500000000001</v>
      </c>
      <c r="I137" s="49" t="s">
        <v>23</v>
      </c>
      <c r="J137" s="50"/>
      <c r="K137" s="51">
        <v>1113.50001746725</v>
      </c>
      <c r="M137" s="52" t="e">
        <v>#N/A</v>
      </c>
      <c r="N137" s="52">
        <v>42.50500000000001</v>
      </c>
    </row>
    <row r="138" spans="1:14" ht="18" x14ac:dyDescent="0.35">
      <c r="A138" s="10">
        <v>45041</v>
      </c>
      <c r="B138" s="11" t="s">
        <v>116</v>
      </c>
      <c r="C138" s="11" t="s">
        <v>114</v>
      </c>
      <c r="D138" s="11" t="s">
        <v>13</v>
      </c>
      <c r="E138" s="12">
        <f>H138-G138</f>
        <v>594.98399999999992</v>
      </c>
      <c r="F138" s="21"/>
      <c r="G138" s="22">
        <f>100+71+60-20.85+60+160-33.82</f>
        <v>396.33</v>
      </c>
      <c r="H138" s="22">
        <f>1045.984-20.85-33.82</f>
        <v>991.31399999999996</v>
      </c>
      <c r="I138" s="15" t="s">
        <v>21</v>
      </c>
      <c r="J138" s="16"/>
      <c r="K138" s="18"/>
      <c r="M138">
        <v>264.24400000000014</v>
      </c>
      <c r="N138">
        <v>-7.7559999999998581</v>
      </c>
    </row>
    <row r="139" spans="1:14" ht="18" x14ac:dyDescent="0.35">
      <c r="A139" s="10"/>
      <c r="B139" s="26" t="s">
        <v>27</v>
      </c>
      <c r="C139" s="11"/>
      <c r="D139" s="11"/>
      <c r="E139" s="20">
        <f>SUBTOTAL(9,E136:E138)</f>
        <v>594.98399999999992</v>
      </c>
      <c r="F139" s="21">
        <f>E139</f>
        <v>594.98399999999992</v>
      </c>
      <c r="G139" s="20">
        <f>SUBTOTAL(9,G136:G138)</f>
        <v>607.22799999999995</v>
      </c>
      <c r="H139" s="20">
        <f>SUBTOTAL(9,H136:H138)</f>
        <v>1202.212</v>
      </c>
      <c r="I139" s="15"/>
      <c r="J139" s="16"/>
      <c r="K139" s="18"/>
    </row>
    <row r="140" spans="1:14" ht="18" x14ac:dyDescent="0.35">
      <c r="A140" s="19"/>
      <c r="B140" s="26"/>
      <c r="C140" s="11"/>
      <c r="D140" s="11"/>
      <c r="E140" s="13"/>
      <c r="F140" s="13"/>
      <c r="G140" s="13"/>
      <c r="H140" s="27"/>
      <c r="I140" s="15"/>
      <c r="J140" s="16"/>
      <c r="K140" s="18"/>
    </row>
    <row r="141" spans="1:14" ht="18" x14ac:dyDescent="0.35">
      <c r="A141" s="10">
        <v>44904</v>
      </c>
      <c r="B141" s="11" t="s">
        <v>117</v>
      </c>
      <c r="C141" s="11" t="s">
        <v>118</v>
      </c>
      <c r="D141" s="11" t="s">
        <v>9</v>
      </c>
      <c r="E141" s="12">
        <f>H141-G141</f>
        <v>0</v>
      </c>
      <c r="F141" s="13"/>
      <c r="G141" s="22">
        <v>21.393999999999998</v>
      </c>
      <c r="H141" s="22">
        <v>21.393999999999998</v>
      </c>
      <c r="I141" s="15" t="s">
        <v>47</v>
      </c>
      <c r="J141" s="16"/>
      <c r="K141" s="18">
        <v>903.07</v>
      </c>
      <c r="M141">
        <v>21.503999999999678</v>
      </c>
      <c r="N141">
        <v>-5.6960000000000264</v>
      </c>
    </row>
    <row r="142" spans="1:14" s="52" customFormat="1" ht="18" x14ac:dyDescent="0.35">
      <c r="A142" s="45">
        <v>44989</v>
      </c>
      <c r="B142" s="31" t="s">
        <v>119</v>
      </c>
      <c r="C142" s="31" t="s">
        <v>118</v>
      </c>
      <c r="D142" s="31" t="s">
        <v>9</v>
      </c>
      <c r="E142" s="46">
        <f>H142-G142</f>
        <v>185.75800000000004</v>
      </c>
      <c r="F142" s="54"/>
      <c r="G142" s="48">
        <f>331.51-38.9-14.82-43.91+26+39-25.23</f>
        <v>273.64999999999998</v>
      </c>
      <c r="H142" s="48">
        <f>582.268-38.9-14.82-43.91-25.23</f>
        <v>459.40800000000002</v>
      </c>
      <c r="I142" s="49" t="s">
        <v>47</v>
      </c>
      <c r="J142" s="50"/>
      <c r="K142" s="51">
        <v>936.89</v>
      </c>
      <c r="M142" s="52">
        <v>181.09800000000007</v>
      </c>
      <c r="N142" s="52">
        <v>-223.16199999999981</v>
      </c>
    </row>
    <row r="143" spans="1:14" ht="18" x14ac:dyDescent="0.35">
      <c r="A143" s="10">
        <v>45036</v>
      </c>
      <c r="B143" s="11" t="s">
        <v>120</v>
      </c>
      <c r="C143" s="11" t="s">
        <v>118</v>
      </c>
      <c r="D143" s="11" t="s">
        <v>9</v>
      </c>
      <c r="E143" s="12">
        <f>H143-G143</f>
        <v>1061.152</v>
      </c>
      <c r="F143" s="13"/>
      <c r="G143" s="22">
        <v>0</v>
      </c>
      <c r="H143" s="22">
        <v>1061.152</v>
      </c>
      <c r="I143" s="15" t="s">
        <v>47</v>
      </c>
      <c r="J143" s="16"/>
      <c r="K143" s="18"/>
      <c r="M143">
        <v>1061.152</v>
      </c>
      <c r="N143">
        <v>1061.152</v>
      </c>
    </row>
    <row r="144" spans="1:14" ht="18" x14ac:dyDescent="0.35">
      <c r="A144" s="19"/>
      <c r="B144" s="26" t="s">
        <v>27</v>
      </c>
      <c r="C144" s="11"/>
      <c r="D144" s="11"/>
      <c r="E144" s="20">
        <f>SUBTOTAL(9,E141:E143)</f>
        <v>1246.9100000000001</v>
      </c>
      <c r="F144" s="21">
        <f>E144</f>
        <v>1246.9100000000001</v>
      </c>
      <c r="G144" s="20">
        <f>SUBTOTAL(9,G141:G143)</f>
        <v>295.04399999999998</v>
      </c>
      <c r="H144" s="20">
        <f>SUBTOTAL(9,H141:H143)</f>
        <v>1541.9540000000002</v>
      </c>
      <c r="I144" s="15"/>
      <c r="J144" s="16"/>
      <c r="K144" s="18"/>
    </row>
    <row r="145" spans="1:14" ht="18" x14ac:dyDescent="0.35">
      <c r="A145" s="19"/>
      <c r="B145" s="11"/>
      <c r="C145" s="11"/>
      <c r="D145" s="11"/>
      <c r="E145" s="13"/>
      <c r="F145" s="13"/>
      <c r="G145" s="13"/>
      <c r="H145" s="27"/>
      <c r="I145" s="15"/>
      <c r="J145" s="16"/>
      <c r="K145" s="18"/>
    </row>
    <row r="146" spans="1:14" ht="18" x14ac:dyDescent="0.35">
      <c r="A146" s="10">
        <v>44892</v>
      </c>
      <c r="B146" s="11" t="s">
        <v>121</v>
      </c>
      <c r="C146" s="11" t="s">
        <v>122</v>
      </c>
      <c r="D146" s="11" t="s">
        <v>9</v>
      </c>
      <c r="E146" s="12">
        <f t="shared" ref="E146:E151" si="10">H146-G146</f>
        <v>0</v>
      </c>
      <c r="F146" s="13"/>
      <c r="G146" s="22">
        <v>17.344000000000001</v>
      </c>
      <c r="H146" s="22">
        <v>17.344000000000001</v>
      </c>
      <c r="I146" s="15" t="s">
        <v>123</v>
      </c>
      <c r="J146" s="16"/>
      <c r="K146" s="18">
        <v>1130.0261544645684</v>
      </c>
      <c r="M146">
        <v>7.1659999999992579</v>
      </c>
      <c r="N146">
        <v>-113.59400000000051</v>
      </c>
    </row>
    <row r="147" spans="1:14" ht="18" x14ac:dyDescent="0.35">
      <c r="A147" s="10">
        <v>44566</v>
      </c>
      <c r="B147" s="11" t="s">
        <v>91</v>
      </c>
      <c r="C147" s="11" t="s">
        <v>122</v>
      </c>
      <c r="D147" s="11" t="s">
        <v>9</v>
      </c>
      <c r="E147" s="12">
        <f t="shared" si="10"/>
        <v>0</v>
      </c>
      <c r="F147" s="13"/>
      <c r="G147" s="22">
        <f>430.861-47.99-108.69-26.42-8.65</f>
        <v>239.11099999999996</v>
      </c>
      <c r="H147" s="22">
        <f>430.861-47.99-108.69-26.42-8.65</f>
        <v>239.11099999999996</v>
      </c>
      <c r="I147" s="15" t="s">
        <v>47</v>
      </c>
      <c r="J147" s="16"/>
      <c r="K147" s="18">
        <v>1037.0283001737214</v>
      </c>
      <c r="M147">
        <v>0</v>
      </c>
      <c r="N147">
        <v>-7.3299999999999272</v>
      </c>
    </row>
    <row r="148" spans="1:14" ht="18" x14ac:dyDescent="0.35">
      <c r="A148" s="10">
        <v>44976</v>
      </c>
      <c r="B148" s="11" t="s">
        <v>124</v>
      </c>
      <c r="C148" s="11" t="s">
        <v>122</v>
      </c>
      <c r="D148" s="11" t="s">
        <v>9</v>
      </c>
      <c r="E148" s="12">
        <f t="shared" si="10"/>
        <v>0</v>
      </c>
      <c r="F148" s="13"/>
      <c r="G148" s="22">
        <v>43.515000000000001</v>
      </c>
      <c r="H148" s="22">
        <v>43.515000000000001</v>
      </c>
      <c r="I148" s="15" t="s">
        <v>125</v>
      </c>
      <c r="J148" s="16"/>
      <c r="K148" s="18">
        <v>985.84867135170271</v>
      </c>
      <c r="M148">
        <v>14.536000000000058</v>
      </c>
      <c r="N148">
        <v>-107.52399999999989</v>
      </c>
    </row>
    <row r="149" spans="1:14" ht="18" x14ac:dyDescent="0.35">
      <c r="A149" s="10">
        <v>44997</v>
      </c>
      <c r="B149" s="11" t="s">
        <v>199</v>
      </c>
      <c r="C149" s="11" t="s">
        <v>122</v>
      </c>
      <c r="D149" s="11" t="s">
        <v>9</v>
      </c>
      <c r="E149" s="12">
        <f t="shared" si="10"/>
        <v>799.86000000000013</v>
      </c>
      <c r="F149" s="13"/>
      <c r="G149" s="22">
        <f>2102-54.7+20-35.94+75-38.14</f>
        <v>2068.2200000000003</v>
      </c>
      <c r="H149" s="22">
        <f>2996.86-54.7-35.94-38.14</f>
        <v>2868.0800000000004</v>
      </c>
      <c r="I149" s="15" t="s">
        <v>47</v>
      </c>
      <c r="J149" s="16"/>
      <c r="K149" s="18">
        <v>1023.11824649209</v>
      </c>
      <c r="M149">
        <v>574.23272425249172</v>
      </c>
      <c r="N149">
        <v>-324.31727574750812</v>
      </c>
    </row>
    <row r="150" spans="1:14" ht="18" x14ac:dyDescent="0.35">
      <c r="A150" s="10">
        <v>44997</v>
      </c>
      <c r="B150" s="11" t="s">
        <v>200</v>
      </c>
      <c r="C150" s="11" t="s">
        <v>122</v>
      </c>
      <c r="D150" s="11" t="s">
        <v>9</v>
      </c>
      <c r="E150" s="12">
        <f t="shared" si="10"/>
        <v>799.86000000000013</v>
      </c>
      <c r="F150" s="13"/>
      <c r="G150" s="22">
        <f>2102-54.7+20-35.94+75-38.14</f>
        <v>2068.2200000000003</v>
      </c>
      <c r="H150" s="22">
        <f>2996.86-54.7-35.94-38.14</f>
        <v>2868.0800000000004</v>
      </c>
      <c r="I150" s="15" t="s">
        <v>47</v>
      </c>
      <c r="J150" s="16"/>
      <c r="K150" s="18">
        <v>1023.11824649209</v>
      </c>
      <c r="M150">
        <v>1996.2472757475084</v>
      </c>
      <c r="N150">
        <v>1971.2472757475084</v>
      </c>
    </row>
    <row r="151" spans="1:14" ht="18" x14ac:dyDescent="0.35">
      <c r="A151" s="10">
        <v>45028</v>
      </c>
      <c r="B151" s="11" t="s">
        <v>126</v>
      </c>
      <c r="C151" s="11" t="s">
        <v>122</v>
      </c>
      <c r="D151" s="11" t="s">
        <v>9</v>
      </c>
      <c r="E151" s="12">
        <f t="shared" si="10"/>
        <v>523.26700000000005</v>
      </c>
      <c r="F151" s="13"/>
      <c r="G151" s="22">
        <v>0</v>
      </c>
      <c r="H151" s="22">
        <v>523.26700000000005</v>
      </c>
      <c r="I151" s="15" t="s">
        <v>32</v>
      </c>
      <c r="J151" s="16"/>
      <c r="K151" s="18">
        <v>1009.47</v>
      </c>
      <c r="M151">
        <v>523.26700000000005</v>
      </c>
      <c r="N151">
        <v>523.26700000000005</v>
      </c>
    </row>
    <row r="152" spans="1:14" ht="18" x14ac:dyDescent="0.35">
      <c r="A152" s="19"/>
      <c r="B152" s="26" t="s">
        <v>27</v>
      </c>
      <c r="C152" s="11"/>
      <c r="D152" s="11"/>
      <c r="E152" s="20">
        <f>SUBTOTAL(9,E146:E151)</f>
        <v>2122.9870000000001</v>
      </c>
      <c r="F152" s="21">
        <f>E152</f>
        <v>2122.9870000000001</v>
      </c>
      <c r="G152" s="20">
        <f>SUBTOTAL(9,G146:G151)</f>
        <v>4436.41</v>
      </c>
      <c r="H152" s="20">
        <f>SUBTOTAL(9,H146:H151)</f>
        <v>6559.3970000000008</v>
      </c>
      <c r="I152" s="15"/>
      <c r="J152" s="16"/>
      <c r="K152" s="18"/>
    </row>
    <row r="153" spans="1:14" ht="18" x14ac:dyDescent="0.35">
      <c r="A153" s="19"/>
      <c r="B153" s="26"/>
      <c r="C153" s="11"/>
      <c r="D153" s="11"/>
      <c r="E153" s="13"/>
      <c r="F153" s="13"/>
      <c r="G153" s="13"/>
      <c r="H153" s="27"/>
      <c r="I153" s="15"/>
      <c r="J153" s="16"/>
      <c r="K153" s="18"/>
    </row>
    <row r="154" spans="1:14" ht="18" x14ac:dyDescent="0.35">
      <c r="A154" s="10">
        <v>44993</v>
      </c>
      <c r="B154" s="11" t="s">
        <v>129</v>
      </c>
      <c r="C154" s="31" t="s">
        <v>127</v>
      </c>
      <c r="D154" s="11" t="s">
        <v>9</v>
      </c>
      <c r="E154" s="12">
        <f t="shared" ref="E154:E161" si="11">H154-G154</f>
        <v>0</v>
      </c>
      <c r="F154" s="13"/>
      <c r="G154" s="22">
        <f>100.894-23.42-25.1-49.38</f>
        <v>2.9939999999999998</v>
      </c>
      <c r="H154" s="22">
        <f>100.894-23.42-25.1-49.38</f>
        <v>2.9939999999999998</v>
      </c>
      <c r="I154" s="15" t="s">
        <v>130</v>
      </c>
      <c r="J154" s="16"/>
      <c r="K154" s="18">
        <v>1007.5023796576164</v>
      </c>
      <c r="M154">
        <v>0.31000000000005912</v>
      </c>
      <c r="N154">
        <v>-91.759999999999991</v>
      </c>
    </row>
    <row r="155" spans="1:14" ht="18" x14ac:dyDescent="0.35">
      <c r="A155" s="10">
        <v>44997</v>
      </c>
      <c r="B155" s="11" t="s">
        <v>201</v>
      </c>
      <c r="C155" s="31" t="s">
        <v>127</v>
      </c>
      <c r="D155" s="11" t="s">
        <v>9</v>
      </c>
      <c r="E155" s="12">
        <f t="shared" si="11"/>
        <v>1057.0990000000002</v>
      </c>
      <c r="F155" s="13"/>
      <c r="G155" s="22">
        <f>1020-190.4-17.98-29.79+95-23.12-22.36+24-59.13</f>
        <v>796.22</v>
      </c>
      <c r="H155" s="22">
        <f>2196.099-190.4-17.98-29.79-23.12-22.36-59.13</f>
        <v>1853.3190000000002</v>
      </c>
      <c r="I155" s="15" t="s">
        <v>131</v>
      </c>
      <c r="J155" s="16"/>
      <c r="K155" s="18">
        <v>1067.6300000000001</v>
      </c>
      <c r="M155">
        <v>972.65697182713143</v>
      </c>
      <c r="N155">
        <v>791.95397182713145</v>
      </c>
    </row>
    <row r="156" spans="1:14" ht="18" x14ac:dyDescent="0.35">
      <c r="A156" s="10">
        <v>44997</v>
      </c>
      <c r="B156" s="11" t="s">
        <v>202</v>
      </c>
      <c r="C156" s="31" t="s">
        <v>127</v>
      </c>
      <c r="D156" s="11" t="s">
        <v>9</v>
      </c>
      <c r="E156" s="12">
        <f t="shared" si="11"/>
        <v>1057.0990000000002</v>
      </c>
      <c r="F156" s="13"/>
      <c r="G156" s="22">
        <f>1020-190.4-17.98-29.79+95-23.12-22.36+24-59.13</f>
        <v>796.22</v>
      </c>
      <c r="H156" s="22">
        <f>2196.099-190.4-17.98-29.79-23.12-22.36-59.13</f>
        <v>1853.3190000000002</v>
      </c>
      <c r="I156" s="15" t="s">
        <v>131</v>
      </c>
      <c r="J156" s="16"/>
      <c r="K156" s="18">
        <v>1067.6300000000001</v>
      </c>
      <c r="M156">
        <v>0</v>
      </c>
      <c r="N156">
        <v>-371.25699999999949</v>
      </c>
    </row>
    <row r="157" spans="1:14" ht="18" x14ac:dyDescent="0.35">
      <c r="A157" s="10">
        <v>45028</v>
      </c>
      <c r="B157" s="11" t="s">
        <v>132</v>
      </c>
      <c r="C157" s="31" t="s">
        <v>127</v>
      </c>
      <c r="D157" s="11" t="s">
        <v>9</v>
      </c>
      <c r="E157" s="12">
        <f t="shared" si="11"/>
        <v>1929.873</v>
      </c>
      <c r="F157" s="13"/>
      <c r="G157" s="22">
        <v>0</v>
      </c>
      <c r="H157" s="22">
        <v>1929.873</v>
      </c>
      <c r="I157" s="15" t="s">
        <v>133</v>
      </c>
      <c r="J157" s="16"/>
      <c r="K157" s="18">
        <v>1078.829999</v>
      </c>
      <c r="M157">
        <v>1922.2450000000001</v>
      </c>
      <c r="N157">
        <v>1922.2450000000001</v>
      </c>
    </row>
    <row r="158" spans="1:14" ht="18" x14ac:dyDescent="0.35">
      <c r="A158" s="10">
        <v>44927</v>
      </c>
      <c r="B158" s="11" t="s">
        <v>134</v>
      </c>
      <c r="C158" s="11" t="s">
        <v>128</v>
      </c>
      <c r="D158" s="11" t="s">
        <v>19</v>
      </c>
      <c r="E158" s="12">
        <f t="shared" si="11"/>
        <v>0</v>
      </c>
      <c r="F158" s="13"/>
      <c r="G158" s="22">
        <f>119.548-19.81</f>
        <v>99.738</v>
      </c>
      <c r="H158" s="22">
        <f>119.548-19.81</f>
        <v>99.738</v>
      </c>
      <c r="I158" s="15" t="s">
        <v>26</v>
      </c>
      <c r="J158" s="16"/>
      <c r="K158" s="18">
        <v>1044.5195774148788</v>
      </c>
      <c r="M158">
        <v>80.158999999999878</v>
      </c>
      <c r="N158">
        <v>-0.32100000000014006</v>
      </c>
    </row>
    <row r="159" spans="1:14" ht="18" x14ac:dyDescent="0.35">
      <c r="A159" s="10">
        <v>45007</v>
      </c>
      <c r="B159" s="11" t="s">
        <v>203</v>
      </c>
      <c r="C159" s="11" t="s">
        <v>128</v>
      </c>
      <c r="D159" s="11" t="s">
        <v>19</v>
      </c>
      <c r="E159" s="12">
        <f t="shared" si="11"/>
        <v>60</v>
      </c>
      <c r="F159" s="13"/>
      <c r="G159" s="22">
        <f>758.638-60-91.54-9.61</f>
        <v>597.48800000000006</v>
      </c>
      <c r="H159" s="22">
        <f>758.638-91.54-9.61</f>
        <v>657.48800000000006</v>
      </c>
      <c r="I159" s="15" t="s">
        <v>26</v>
      </c>
      <c r="J159" s="16"/>
      <c r="K159" s="18">
        <v>1045</v>
      </c>
      <c r="M159">
        <v>477.12800000000004</v>
      </c>
      <c r="N159">
        <v>225.99800000000005</v>
      </c>
    </row>
    <row r="160" spans="1:14" ht="18" x14ac:dyDescent="0.35">
      <c r="A160" s="10">
        <v>44959</v>
      </c>
      <c r="B160" s="11" t="s">
        <v>135</v>
      </c>
      <c r="C160" s="31" t="s">
        <v>127</v>
      </c>
      <c r="D160" s="11" t="s">
        <v>136</v>
      </c>
      <c r="E160" s="28">
        <f t="shared" si="11"/>
        <v>-304.96100000000007</v>
      </c>
      <c r="F160" s="13"/>
      <c r="G160" s="22">
        <f>200+60+56-47.74+93-20.21+25+16-23.45</f>
        <v>358.6</v>
      </c>
      <c r="H160" s="22">
        <f>145.039-47.74-20.21-23.45</f>
        <v>53.638999999999967</v>
      </c>
      <c r="I160" s="15"/>
      <c r="J160" s="16"/>
      <c r="K160" s="18"/>
    </row>
    <row r="161" spans="1:14" ht="18" x14ac:dyDescent="0.35">
      <c r="A161" s="10">
        <v>45050</v>
      </c>
      <c r="B161" s="11" t="s">
        <v>221</v>
      </c>
      <c r="C161" s="11" t="s">
        <v>128</v>
      </c>
      <c r="D161" s="11" t="s">
        <v>136</v>
      </c>
      <c r="E161" s="28">
        <f t="shared" si="11"/>
        <v>-304.96100000000007</v>
      </c>
      <c r="F161" s="13"/>
      <c r="G161" s="22">
        <f>200+60+56-47.74+93-20.21+25+16-23.45</f>
        <v>358.6</v>
      </c>
      <c r="H161" s="22">
        <f>145.039-47.74-20.21-23.45</f>
        <v>53.638999999999967</v>
      </c>
      <c r="I161" s="15" t="s">
        <v>136</v>
      </c>
      <c r="J161" s="16"/>
      <c r="K161" s="18"/>
    </row>
    <row r="162" spans="1:14" ht="18" x14ac:dyDescent="0.35">
      <c r="A162" s="19"/>
      <c r="B162" s="26" t="s">
        <v>27</v>
      </c>
      <c r="C162" s="11"/>
      <c r="D162" s="11"/>
      <c r="E162" s="20">
        <f>SUBTOTAL(9,E154:E161)</f>
        <v>3494.1489999999994</v>
      </c>
      <c r="F162" s="21">
        <f>E162</f>
        <v>3494.1489999999994</v>
      </c>
      <c r="G162" s="20">
        <f>SUBTOTAL(9,G154:G161)</f>
        <v>3009.86</v>
      </c>
      <c r="H162" s="20">
        <f>SUBTOTAL(9,H154:H161)</f>
        <v>6504.0090000000018</v>
      </c>
      <c r="I162" s="15"/>
      <c r="J162" s="16"/>
      <c r="K162" s="18"/>
    </row>
    <row r="163" spans="1:14" ht="18" x14ac:dyDescent="0.35">
      <c r="A163" s="19"/>
      <c r="B163" s="26"/>
      <c r="C163" s="11"/>
      <c r="D163" s="11"/>
      <c r="E163" s="13"/>
      <c r="F163" s="21"/>
      <c r="G163" s="20"/>
      <c r="H163" s="20"/>
      <c r="I163" s="15"/>
      <c r="J163" s="16"/>
      <c r="K163" s="18"/>
    </row>
    <row r="164" spans="1:14" ht="18" x14ac:dyDescent="0.35">
      <c r="A164" s="10">
        <v>44903</v>
      </c>
      <c r="B164" s="11" t="s">
        <v>137</v>
      </c>
      <c r="C164" s="11" t="s">
        <v>138</v>
      </c>
      <c r="D164" s="11" t="s">
        <v>13</v>
      </c>
      <c r="E164" s="12">
        <f t="shared" ref="E164:E166" si="12">H164-G164</f>
        <v>317.96299999999991</v>
      </c>
      <c r="F164" s="21"/>
      <c r="G164" s="22">
        <f>242-16.87+17-20.85+21+118-16.83+40-40.85</f>
        <v>342.59999999999997</v>
      </c>
      <c r="H164" s="22">
        <f>755.963-16.87-20.85-16.83-40.85</f>
        <v>660.56299999999987</v>
      </c>
      <c r="I164" s="15" t="s">
        <v>21</v>
      </c>
      <c r="J164" s="16"/>
      <c r="K164" s="18">
        <v>1270</v>
      </c>
      <c r="M164">
        <v>426.04600000000005</v>
      </c>
      <c r="N164">
        <v>257.9129999999999</v>
      </c>
    </row>
    <row r="165" spans="1:14" s="52" customFormat="1" ht="18" x14ac:dyDescent="0.35">
      <c r="A165" s="45">
        <v>44958</v>
      </c>
      <c r="B165" s="31" t="s">
        <v>139</v>
      </c>
      <c r="C165" s="31" t="s">
        <v>138</v>
      </c>
      <c r="D165" s="31" t="s">
        <v>13</v>
      </c>
      <c r="E165" s="46">
        <f t="shared" si="12"/>
        <v>914.00199999999995</v>
      </c>
      <c r="F165" s="53"/>
      <c r="G165" s="48">
        <v>0</v>
      </c>
      <c r="H165" s="48">
        <v>914.00199999999995</v>
      </c>
      <c r="I165" s="49" t="s">
        <v>21</v>
      </c>
      <c r="J165" s="50"/>
      <c r="K165" s="51">
        <v>1135.2007723642</v>
      </c>
      <c r="M165" s="52">
        <v>914.00200000000007</v>
      </c>
      <c r="N165" s="52">
        <v>914.00199999999995</v>
      </c>
    </row>
    <row r="166" spans="1:14" ht="18" x14ac:dyDescent="0.35">
      <c r="A166" s="10">
        <v>44878</v>
      </c>
      <c r="B166" s="11" t="s">
        <v>140</v>
      </c>
      <c r="C166" s="11" t="s">
        <v>138</v>
      </c>
      <c r="D166" s="11" t="s">
        <v>19</v>
      </c>
      <c r="E166" s="12">
        <f t="shared" si="12"/>
        <v>0</v>
      </c>
      <c r="F166" s="21"/>
      <c r="G166" s="22">
        <f>54.361-15.55-20.1-16.33</f>
        <v>2.3809999999999931</v>
      </c>
      <c r="H166" s="22">
        <f>54.361-15.55-20.1-16.33</f>
        <v>2.3809999999999931</v>
      </c>
      <c r="I166" s="15" t="s">
        <v>26</v>
      </c>
      <c r="J166" s="16"/>
      <c r="K166" s="18">
        <v>1312.2284725536992</v>
      </c>
      <c r="M166">
        <v>1.0370000000004893</v>
      </c>
      <c r="N166">
        <v>1.0369999999998072</v>
      </c>
    </row>
    <row r="167" spans="1:14" ht="18" x14ac:dyDescent="0.35">
      <c r="A167" s="10"/>
      <c r="B167" s="26" t="s">
        <v>27</v>
      </c>
      <c r="C167" s="11"/>
      <c r="D167" s="11"/>
      <c r="E167" s="20">
        <f>SUBTOTAL(9,E164:E166)</f>
        <v>1231.9649999999999</v>
      </c>
      <c r="F167" s="21">
        <f>E167</f>
        <v>1231.9649999999999</v>
      </c>
      <c r="G167" s="20">
        <f>SUBTOTAL(9,G164:G166)</f>
        <v>344.98099999999994</v>
      </c>
      <c r="H167" s="20">
        <f>SUBTOTAL(9,H164:H166)</f>
        <v>1576.9459999999999</v>
      </c>
      <c r="I167" s="15"/>
      <c r="J167" s="16"/>
      <c r="K167" s="18"/>
    </row>
    <row r="168" spans="1:14" ht="18" x14ac:dyDescent="0.35">
      <c r="A168" s="19"/>
      <c r="B168" s="26"/>
      <c r="C168" s="11"/>
      <c r="D168" s="11"/>
      <c r="E168" s="13"/>
      <c r="F168" s="21"/>
      <c r="G168" s="20"/>
      <c r="H168" s="20"/>
      <c r="I168" s="15"/>
      <c r="J168" s="16"/>
      <c r="K168" s="18"/>
    </row>
    <row r="169" spans="1:14" ht="18" x14ac:dyDescent="0.35">
      <c r="A169" s="10">
        <v>44915</v>
      </c>
      <c r="B169" s="11" t="s">
        <v>204</v>
      </c>
      <c r="C169" s="11" t="s">
        <v>141</v>
      </c>
      <c r="D169" s="11" t="s">
        <v>9</v>
      </c>
      <c r="E169" s="12">
        <f t="shared" ref="E169:E175" si="13">H169-G169</f>
        <v>67.872</v>
      </c>
      <c r="F169" s="21"/>
      <c r="G169" s="22">
        <v>18.63</v>
      </c>
      <c r="H169" s="22">
        <v>86.501999999999995</v>
      </c>
      <c r="I169" s="15" t="s">
        <v>142</v>
      </c>
      <c r="J169" s="16"/>
      <c r="K169" s="18">
        <v>1245</v>
      </c>
      <c r="M169">
        <v>68.72400000000016</v>
      </c>
      <c r="N169">
        <v>67.052999999999884</v>
      </c>
    </row>
    <row r="170" spans="1:14" ht="18" x14ac:dyDescent="0.35">
      <c r="A170" s="10">
        <v>44915</v>
      </c>
      <c r="B170" s="11" t="s">
        <v>205</v>
      </c>
      <c r="C170" s="11" t="s">
        <v>141</v>
      </c>
      <c r="D170" s="11" t="s">
        <v>9</v>
      </c>
      <c r="E170" s="12">
        <f t="shared" si="13"/>
        <v>67.872</v>
      </c>
      <c r="F170" s="21"/>
      <c r="G170" s="22">
        <v>18.63</v>
      </c>
      <c r="H170" s="22">
        <v>86.501999999999995</v>
      </c>
      <c r="I170" s="15" t="s">
        <v>142</v>
      </c>
      <c r="J170" s="16"/>
      <c r="K170" s="18">
        <v>1245</v>
      </c>
      <c r="M170">
        <v>0</v>
      </c>
      <c r="N170">
        <v>-0.47900000000002585</v>
      </c>
    </row>
    <row r="171" spans="1:14" ht="18" x14ac:dyDescent="0.35">
      <c r="A171" s="10">
        <v>44915</v>
      </c>
      <c r="B171" s="11" t="s">
        <v>206</v>
      </c>
      <c r="C171" s="11" t="s">
        <v>141</v>
      </c>
      <c r="D171" s="11" t="s">
        <v>9</v>
      </c>
      <c r="E171" s="12">
        <f t="shared" si="13"/>
        <v>67.872</v>
      </c>
      <c r="F171" s="21"/>
      <c r="G171" s="22">
        <v>18.63</v>
      </c>
      <c r="H171" s="22">
        <v>86.501999999999995</v>
      </c>
      <c r="I171" s="15" t="s">
        <v>142</v>
      </c>
      <c r="J171" s="16"/>
      <c r="K171" s="18">
        <v>1245</v>
      </c>
      <c r="M171">
        <v>18.629999999999768</v>
      </c>
      <c r="N171">
        <v>0</v>
      </c>
    </row>
    <row r="172" spans="1:14" s="52" customFormat="1" ht="18" x14ac:dyDescent="0.35">
      <c r="A172" s="45">
        <v>44942</v>
      </c>
      <c r="B172" s="31" t="s">
        <v>143</v>
      </c>
      <c r="C172" s="31" t="s">
        <v>141</v>
      </c>
      <c r="D172" s="31" t="s">
        <v>9</v>
      </c>
      <c r="E172" s="46">
        <f t="shared" si="13"/>
        <v>4.202000000000055</v>
      </c>
      <c r="F172" s="53"/>
      <c r="G172" s="48">
        <v>52.787999999999982</v>
      </c>
      <c r="H172" s="48">
        <v>56.990000000000038</v>
      </c>
      <c r="I172" s="49" t="s">
        <v>142</v>
      </c>
      <c r="J172" s="32" t="s">
        <v>144</v>
      </c>
      <c r="K172" s="51"/>
      <c r="M172" s="52" t="e">
        <v>#N/A</v>
      </c>
      <c r="N172" s="52" t="e">
        <v>#N/A</v>
      </c>
    </row>
    <row r="173" spans="1:14" ht="18" x14ac:dyDescent="0.35">
      <c r="A173" s="10">
        <v>44999</v>
      </c>
      <c r="B173" s="11" t="s">
        <v>207</v>
      </c>
      <c r="C173" s="11" t="s">
        <v>141</v>
      </c>
      <c r="D173" s="11" t="s">
        <v>9</v>
      </c>
      <c r="E173" s="12">
        <f t="shared" si="13"/>
        <v>219.6690000000001</v>
      </c>
      <c r="F173" s="21"/>
      <c r="G173" s="22">
        <f>940-99.72-27.22-23.15-40.42</f>
        <v>749.49</v>
      </c>
      <c r="H173" s="22">
        <f>1159.669-99.72-27.22-23.15-40.42</f>
        <v>969.15900000000011</v>
      </c>
      <c r="I173" s="15" t="s">
        <v>142</v>
      </c>
      <c r="J173" s="16"/>
      <c r="K173" s="18">
        <v>1245</v>
      </c>
      <c r="M173">
        <v>467.59799999999996</v>
      </c>
      <c r="N173">
        <v>92.080999999999847</v>
      </c>
    </row>
    <row r="174" spans="1:14" ht="18" x14ac:dyDescent="0.35">
      <c r="A174" s="10">
        <v>44999</v>
      </c>
      <c r="B174" s="11" t="s">
        <v>208</v>
      </c>
      <c r="C174" s="11" t="s">
        <v>141</v>
      </c>
      <c r="D174" s="11" t="s">
        <v>9</v>
      </c>
      <c r="E174" s="12">
        <f t="shared" si="13"/>
        <v>219.6690000000001</v>
      </c>
      <c r="F174" s="21"/>
      <c r="G174" s="22">
        <f>940-99.72-27.22-23.15-40.42</f>
        <v>749.49</v>
      </c>
      <c r="H174" s="22">
        <f>1159.669-99.72-27.22-23.15-40.42</f>
        <v>969.15900000000011</v>
      </c>
      <c r="I174" s="15" t="s">
        <v>142</v>
      </c>
      <c r="J174" s="16"/>
      <c r="K174" s="18">
        <v>1245</v>
      </c>
      <c r="M174">
        <v>-5.1999999999907232E-2</v>
      </c>
      <c r="N174">
        <v>28.408000000000015</v>
      </c>
    </row>
    <row r="175" spans="1:14" ht="18" x14ac:dyDescent="0.35">
      <c r="A175" s="10">
        <v>44999</v>
      </c>
      <c r="B175" s="11" t="s">
        <v>209</v>
      </c>
      <c r="C175" s="11" t="s">
        <v>141</v>
      </c>
      <c r="D175" s="11" t="s">
        <v>9</v>
      </c>
      <c r="E175" s="12">
        <f t="shared" si="13"/>
        <v>219.6690000000001</v>
      </c>
      <c r="F175" s="21"/>
      <c r="G175" s="22">
        <f>940-99.72-27.22-23.15-40.42</f>
        <v>749.49</v>
      </c>
      <c r="H175" s="22">
        <f>1159.669-99.72-27.22-23.15-40.42</f>
        <v>969.15900000000011</v>
      </c>
      <c r="I175" s="15" t="s">
        <v>142</v>
      </c>
      <c r="J175" s="16"/>
      <c r="K175" s="18">
        <v>1245</v>
      </c>
      <c r="M175">
        <v>151.065</v>
      </c>
      <c r="N175">
        <v>114.565</v>
      </c>
    </row>
    <row r="176" spans="1:14" ht="18" x14ac:dyDescent="0.35">
      <c r="A176" s="10"/>
      <c r="B176" s="26" t="s">
        <v>27</v>
      </c>
      <c r="C176" s="11"/>
      <c r="D176" s="11"/>
      <c r="E176" s="20">
        <f>SUBTOTAL(9,E169:E175)</f>
        <v>866.82500000000027</v>
      </c>
      <c r="F176" s="21">
        <f>E176</f>
        <v>866.82500000000027</v>
      </c>
      <c r="G176" s="20">
        <f>SUBTOTAL(9,G169:G175)</f>
        <v>2357.1480000000001</v>
      </c>
      <c r="H176" s="20">
        <f>SUBTOTAL(9,H169:H175)</f>
        <v>3223.9730000000004</v>
      </c>
      <c r="I176" s="15"/>
      <c r="J176" s="16"/>
      <c r="K176" s="18"/>
    </row>
    <row r="177" spans="1:14" ht="18" x14ac:dyDescent="0.35">
      <c r="A177" s="10"/>
      <c r="B177" s="11"/>
      <c r="C177" s="11"/>
      <c r="D177" s="11"/>
      <c r="E177" s="12"/>
      <c r="F177" s="21"/>
      <c r="G177" s="20"/>
      <c r="H177" s="20"/>
      <c r="I177" s="15"/>
      <c r="J177" s="16"/>
      <c r="K177" s="18"/>
    </row>
    <row r="178" spans="1:14" ht="18" x14ac:dyDescent="0.35">
      <c r="A178" s="10">
        <v>44964</v>
      </c>
      <c r="B178" s="11" t="s">
        <v>145</v>
      </c>
      <c r="C178" s="11" t="s">
        <v>146</v>
      </c>
      <c r="D178" s="11" t="s">
        <v>9</v>
      </c>
      <c r="E178" s="12">
        <f>H178-G178</f>
        <v>0</v>
      </c>
      <c r="F178" s="21"/>
      <c r="G178" s="22">
        <f>70.707-15.16</f>
        <v>55.546999999999997</v>
      </c>
      <c r="H178" s="22">
        <f>70.707-15.16</f>
        <v>55.546999999999997</v>
      </c>
      <c r="I178" s="15" t="s">
        <v>47</v>
      </c>
      <c r="J178" s="16"/>
      <c r="K178" s="18">
        <v>1045</v>
      </c>
      <c r="M178">
        <v>26.400000000000006</v>
      </c>
      <c r="N178">
        <v>0.45300000000000296</v>
      </c>
    </row>
    <row r="179" spans="1:14" ht="18" x14ac:dyDescent="0.35">
      <c r="A179" s="10">
        <v>44978</v>
      </c>
      <c r="B179" s="11" t="s">
        <v>210</v>
      </c>
      <c r="C179" s="11" t="s">
        <v>146</v>
      </c>
      <c r="D179" s="11" t="s">
        <v>9</v>
      </c>
      <c r="E179" s="12">
        <f>H179-G179</f>
        <v>803.851</v>
      </c>
      <c r="F179" s="21"/>
      <c r="G179" s="22">
        <f>105-10.51+60-30.61</f>
        <v>123.88000000000001</v>
      </c>
      <c r="H179" s="22">
        <f>998.821-29.97-10.51-30.61</f>
        <v>927.73099999999999</v>
      </c>
      <c r="I179" s="15" t="s">
        <v>47</v>
      </c>
      <c r="J179" s="16"/>
      <c r="K179" s="18">
        <v>1120</v>
      </c>
      <c r="M179">
        <v>811.04100000000005</v>
      </c>
      <c r="N179">
        <v>779.49800000000005</v>
      </c>
    </row>
    <row r="180" spans="1:14" ht="18" x14ac:dyDescent="0.35">
      <c r="A180" s="10">
        <v>45018</v>
      </c>
      <c r="B180" s="11" t="s">
        <v>147</v>
      </c>
      <c r="C180" s="11" t="s">
        <v>146</v>
      </c>
      <c r="D180" s="11" t="s">
        <v>9</v>
      </c>
      <c r="E180" s="12">
        <f>H180-G180</f>
        <v>521.01599999999996</v>
      </c>
      <c r="F180" s="21"/>
      <c r="G180" s="22">
        <v>0</v>
      </c>
      <c r="H180" s="22">
        <v>521.01599999999996</v>
      </c>
      <c r="I180" s="15" t="s">
        <v>47</v>
      </c>
      <c r="J180" s="16"/>
      <c r="K180" s="18">
        <v>1050</v>
      </c>
      <c r="M180">
        <v>521.01599999999996</v>
      </c>
      <c r="N180">
        <v>400.93599999999998</v>
      </c>
    </row>
    <row r="181" spans="1:14" ht="18" x14ac:dyDescent="0.35">
      <c r="A181" s="10">
        <v>44905</v>
      </c>
      <c r="B181" s="11" t="s">
        <v>148</v>
      </c>
      <c r="C181" s="11" t="s">
        <v>146</v>
      </c>
      <c r="D181" s="11" t="s">
        <v>13</v>
      </c>
      <c r="E181" s="12">
        <f>H181-G181</f>
        <v>92.98599999999999</v>
      </c>
      <c r="F181" s="21"/>
      <c r="G181" s="22">
        <v>46</v>
      </c>
      <c r="H181" s="22">
        <v>138.98599999999999</v>
      </c>
      <c r="I181" s="15" t="s">
        <v>21</v>
      </c>
      <c r="J181" s="16"/>
      <c r="K181" s="18">
        <v>1100</v>
      </c>
      <c r="M181">
        <v>68.516000000000076</v>
      </c>
      <c r="N181">
        <v>24.933999999999969</v>
      </c>
    </row>
    <row r="182" spans="1:14" ht="18" x14ac:dyDescent="0.35">
      <c r="A182" s="10"/>
      <c r="B182" s="26" t="s">
        <v>27</v>
      </c>
      <c r="C182" s="11"/>
      <c r="D182" s="11"/>
      <c r="E182" s="20">
        <f>SUBTOTAL(9,E178:E181)</f>
        <v>1417.8530000000001</v>
      </c>
      <c r="F182" s="21">
        <f>E182</f>
        <v>1417.8530000000001</v>
      </c>
      <c r="G182" s="20">
        <f>SUBTOTAL(9,G178:G181)</f>
        <v>225.42700000000002</v>
      </c>
      <c r="H182" s="20">
        <f>SUBTOTAL(9,H178:H181)</f>
        <v>1643.2799999999997</v>
      </c>
      <c r="I182" s="15"/>
      <c r="J182" s="16"/>
      <c r="K182" s="18"/>
    </row>
    <row r="183" spans="1:14" ht="18" x14ac:dyDescent="0.35">
      <c r="A183" s="19"/>
      <c r="B183" s="11"/>
      <c r="C183" s="11"/>
      <c r="D183" s="11"/>
      <c r="E183" s="13"/>
      <c r="F183" s="13"/>
      <c r="G183" s="20"/>
      <c r="H183" s="20"/>
      <c r="I183" s="15"/>
      <c r="J183" s="16"/>
      <c r="K183" s="18"/>
    </row>
    <row r="184" spans="1:14" ht="18" x14ac:dyDescent="0.35">
      <c r="A184" s="10">
        <v>44876</v>
      </c>
      <c r="B184" s="11" t="s">
        <v>211</v>
      </c>
      <c r="C184" s="11" t="s">
        <v>149</v>
      </c>
      <c r="D184" s="11" t="s">
        <v>13</v>
      </c>
      <c r="E184" s="12">
        <f>H184-G184</f>
        <v>0</v>
      </c>
      <c r="F184" s="20"/>
      <c r="G184" s="22">
        <f>180.331-25.13-20.14-25.14-30.09-24.68</f>
        <v>55.150999999999975</v>
      </c>
      <c r="H184" s="22">
        <v>55.151000000000003</v>
      </c>
      <c r="I184" s="15" t="s">
        <v>21</v>
      </c>
      <c r="J184" s="16"/>
      <c r="K184" s="18">
        <v>350</v>
      </c>
      <c r="M184">
        <v>30.807999999999083</v>
      </c>
      <c r="N184">
        <v>20.647999999999456</v>
      </c>
    </row>
    <row r="185" spans="1:14" ht="18" x14ac:dyDescent="0.35">
      <c r="A185" s="10">
        <v>44995</v>
      </c>
      <c r="B185" s="11" t="s">
        <v>212</v>
      </c>
      <c r="C185" s="11" t="s">
        <v>149</v>
      </c>
      <c r="D185" s="11" t="s">
        <v>13</v>
      </c>
      <c r="E185" s="12">
        <f>H185-G185</f>
        <v>112.69600000000003</v>
      </c>
      <c r="F185" s="20"/>
      <c r="G185" s="22">
        <f>626.889+25-30.02+25-24.94-100-30.01+25</f>
        <v>516.91899999999998</v>
      </c>
      <c r="H185" s="22">
        <f>714.585-30.02-24.94-30.01</f>
        <v>629.61500000000001</v>
      </c>
      <c r="I185" s="15" t="s">
        <v>21</v>
      </c>
      <c r="J185" s="16"/>
      <c r="K185" s="18">
        <v>365</v>
      </c>
      <c r="M185">
        <v>573.64499999999998</v>
      </c>
      <c r="N185">
        <v>67.544999999999959</v>
      </c>
    </row>
    <row r="186" spans="1:14" ht="18" x14ac:dyDescent="0.35">
      <c r="A186" s="19"/>
      <c r="B186" s="26" t="s">
        <v>27</v>
      </c>
      <c r="C186" s="11"/>
      <c r="D186" s="11"/>
      <c r="E186" s="20">
        <f>SUBTOTAL(9,E184:E185)</f>
        <v>112.69600000000003</v>
      </c>
      <c r="F186" s="21">
        <f>E186</f>
        <v>112.69600000000003</v>
      </c>
      <c r="G186" s="20">
        <f>SUBTOTAL(9,G184:G185)</f>
        <v>572.06999999999994</v>
      </c>
      <c r="H186" s="20">
        <f>SUBTOTAL(9,H184:H185)</f>
        <v>684.76599999999996</v>
      </c>
      <c r="I186" s="15"/>
      <c r="J186" s="16"/>
      <c r="K186" s="18"/>
    </row>
    <row r="187" spans="1:14" ht="18" x14ac:dyDescent="0.35">
      <c r="A187" s="19"/>
      <c r="B187" s="26"/>
      <c r="C187" s="11"/>
      <c r="D187" s="11"/>
      <c r="E187" s="13"/>
      <c r="F187" s="21"/>
      <c r="G187" s="20"/>
      <c r="H187" s="20"/>
      <c r="I187" s="15"/>
      <c r="J187" s="16"/>
      <c r="K187" s="18"/>
    </row>
    <row r="188" spans="1:14" ht="18" x14ac:dyDescent="0.35">
      <c r="A188" s="10">
        <v>44968</v>
      </c>
      <c r="B188" s="11" t="s">
        <v>150</v>
      </c>
      <c r="C188" s="11" t="s">
        <v>151</v>
      </c>
      <c r="D188" s="11" t="s">
        <v>9</v>
      </c>
      <c r="E188" s="12">
        <f>H188-G188</f>
        <v>0</v>
      </c>
      <c r="F188" s="21"/>
      <c r="G188" s="22">
        <v>49.225000000000001</v>
      </c>
      <c r="H188" s="22">
        <v>49.225000000000001</v>
      </c>
      <c r="I188" s="15" t="s">
        <v>152</v>
      </c>
      <c r="J188" s="16"/>
      <c r="K188" s="18">
        <v>1050.893645464718</v>
      </c>
      <c r="M188">
        <v>1.376999999999839</v>
      </c>
      <c r="N188">
        <v>1.376999999999839</v>
      </c>
    </row>
    <row r="189" spans="1:14" ht="18" x14ac:dyDescent="0.35">
      <c r="A189" s="10">
        <v>44995</v>
      </c>
      <c r="B189" s="11" t="s">
        <v>153</v>
      </c>
      <c r="C189" s="11" t="s">
        <v>154</v>
      </c>
      <c r="D189" s="11" t="s">
        <v>9</v>
      </c>
      <c r="E189" s="12">
        <f>H189-G189</f>
        <v>275.28200000000004</v>
      </c>
      <c r="F189" s="21"/>
      <c r="G189" s="22">
        <f>94+25-25.3-49.52+50</f>
        <v>94.18</v>
      </c>
      <c r="H189" s="22">
        <f>469.872-25.59-25.3-49.52</f>
        <v>369.46200000000005</v>
      </c>
      <c r="I189" s="15" t="s">
        <v>152</v>
      </c>
      <c r="J189" s="16"/>
      <c r="K189" s="18">
        <v>1301.1066666436805</v>
      </c>
      <c r="M189">
        <v>341.02100000000002</v>
      </c>
      <c r="N189">
        <v>43.290999999999997</v>
      </c>
    </row>
    <row r="190" spans="1:14" ht="18" x14ac:dyDescent="0.35">
      <c r="A190" s="10">
        <v>44995</v>
      </c>
      <c r="B190" s="11" t="s">
        <v>155</v>
      </c>
      <c r="C190" s="11" t="s">
        <v>156</v>
      </c>
      <c r="D190" s="11" t="s">
        <v>9</v>
      </c>
      <c r="E190" s="12">
        <f>H190-G190</f>
        <v>403.75799999999998</v>
      </c>
      <c r="F190" s="21"/>
      <c r="G190" s="22">
        <f>47-23.54+25</f>
        <v>48.46</v>
      </c>
      <c r="H190" s="22">
        <f>475.758-23.54</f>
        <v>452.21799999999996</v>
      </c>
      <c r="I190" s="15" t="s">
        <v>152</v>
      </c>
      <c r="J190" s="16"/>
      <c r="K190" s="18">
        <v>1281.0868769669034</v>
      </c>
      <c r="M190">
        <v>352.00400000000002</v>
      </c>
      <c r="N190">
        <v>277.22399999999999</v>
      </c>
    </row>
    <row r="191" spans="1:14" ht="18" x14ac:dyDescent="0.35">
      <c r="A191" s="19"/>
      <c r="B191" s="26" t="s">
        <v>27</v>
      </c>
      <c r="C191" s="11"/>
      <c r="D191" s="11"/>
      <c r="E191" s="20">
        <f>SUBTOTAL(9,E188:E190)</f>
        <v>679.04</v>
      </c>
      <c r="F191" s="21">
        <f>E191</f>
        <v>679.04</v>
      </c>
      <c r="G191" s="20">
        <f>SUBTOTAL(9,G188:G190)</f>
        <v>191.86500000000001</v>
      </c>
      <c r="H191" s="20">
        <f>SUBTOTAL(9,H188:H190)</f>
        <v>870.90499999999997</v>
      </c>
      <c r="I191" s="15"/>
      <c r="J191" s="16"/>
      <c r="K191" s="18"/>
    </row>
    <row r="192" spans="1:14" ht="18" x14ac:dyDescent="0.35">
      <c r="A192" s="19"/>
      <c r="B192" s="26"/>
      <c r="C192" s="11"/>
      <c r="D192" s="11"/>
      <c r="E192" s="20"/>
      <c r="F192" s="21"/>
      <c r="G192" s="20"/>
      <c r="H192" s="20"/>
      <c r="I192" s="15"/>
      <c r="J192" s="16"/>
      <c r="K192" s="18"/>
    </row>
    <row r="193" spans="1:16375" ht="18" x14ac:dyDescent="0.35">
      <c r="A193" s="10">
        <v>45044</v>
      </c>
      <c r="B193" s="11" t="s">
        <v>157</v>
      </c>
      <c r="C193" s="11" t="s">
        <v>158</v>
      </c>
      <c r="D193" s="11" t="s">
        <v>9</v>
      </c>
      <c r="E193" s="12">
        <f>H193-G193</f>
        <v>959.30799999999999</v>
      </c>
      <c r="F193" s="21"/>
      <c r="G193" s="22">
        <v>60</v>
      </c>
      <c r="H193" s="22">
        <v>1019.308</v>
      </c>
      <c r="I193" s="15" t="s">
        <v>29</v>
      </c>
      <c r="J193" s="16"/>
      <c r="K193" s="18"/>
      <c r="M193">
        <v>1019.308</v>
      </c>
      <c r="N193">
        <v>839.30799999999999</v>
      </c>
    </row>
    <row r="194" spans="1:16375" ht="18" x14ac:dyDescent="0.35">
      <c r="A194" s="10"/>
      <c r="B194" s="13" t="s">
        <v>27</v>
      </c>
      <c r="C194" s="12"/>
      <c r="D194" s="12"/>
      <c r="E194" s="20">
        <f>SUBTOTAL(9,E193:E193)</f>
        <v>959.30799999999999</v>
      </c>
      <c r="F194" s="21">
        <f>E194</f>
        <v>959.30799999999999</v>
      </c>
      <c r="G194" s="20">
        <f>SUBTOTAL(9,G193:G193)</f>
        <v>60</v>
      </c>
      <c r="H194" s="20">
        <f>SUBTOTAL(9,H193:H193)</f>
        <v>1019.308</v>
      </c>
      <c r="I194" s="15"/>
      <c r="J194" s="16"/>
      <c r="K194" s="18"/>
    </row>
    <row r="195" spans="1:16375" ht="18" x14ac:dyDescent="0.35">
      <c r="A195" s="19"/>
      <c r="B195" s="26"/>
      <c r="C195" s="11"/>
      <c r="D195" s="11"/>
      <c r="E195" s="13"/>
      <c r="F195" s="13"/>
      <c r="G195" s="20"/>
      <c r="H195" s="20"/>
      <c r="I195" s="33"/>
      <c r="J195" s="34"/>
      <c r="K195" s="18"/>
    </row>
    <row r="196" spans="1:16375" s="52" customFormat="1" ht="18" x14ac:dyDescent="0.35">
      <c r="A196" s="45">
        <v>44936</v>
      </c>
      <c r="B196" s="31" t="s">
        <v>160</v>
      </c>
      <c r="C196" s="31" t="s">
        <v>159</v>
      </c>
      <c r="D196" s="31" t="s">
        <v>9</v>
      </c>
      <c r="E196" s="46">
        <f t="shared" ref="E196:E203" si="14">H196-G196</f>
        <v>0</v>
      </c>
      <c r="F196" s="54"/>
      <c r="G196" s="48">
        <f>30.29-29.76</f>
        <v>0.52999999999999758</v>
      </c>
      <c r="H196" s="48">
        <f>30.29-29.76</f>
        <v>0.52999999999999758</v>
      </c>
      <c r="I196" s="49" t="s">
        <v>47</v>
      </c>
      <c r="J196" s="25" t="s">
        <v>41</v>
      </c>
      <c r="K196" s="51"/>
      <c r="M196" s="52" t="e">
        <v>#N/A</v>
      </c>
      <c r="N196" s="52" t="e">
        <v>#N/A</v>
      </c>
    </row>
    <row r="197" spans="1:16375" s="52" customFormat="1" ht="18" x14ac:dyDescent="0.35">
      <c r="A197" s="45">
        <v>44976</v>
      </c>
      <c r="B197" s="31" t="s">
        <v>161</v>
      </c>
      <c r="C197" s="31" t="s">
        <v>159</v>
      </c>
      <c r="D197" s="31" t="s">
        <v>9</v>
      </c>
      <c r="E197" s="46">
        <f t="shared" si="14"/>
        <v>5</v>
      </c>
      <c r="F197" s="54"/>
      <c r="G197" s="48">
        <v>41.087000000003172</v>
      </c>
      <c r="H197" s="48">
        <v>46.087000000003172</v>
      </c>
      <c r="I197" s="49" t="s">
        <v>109</v>
      </c>
      <c r="J197" s="25" t="s">
        <v>41</v>
      </c>
      <c r="K197" s="51"/>
      <c r="M197" s="52" t="e">
        <v>#N/A</v>
      </c>
      <c r="N197" s="52" t="e">
        <v>#N/A</v>
      </c>
    </row>
    <row r="198" spans="1:16375" ht="18" x14ac:dyDescent="0.35">
      <c r="A198" s="10">
        <v>44976</v>
      </c>
      <c r="B198" s="11" t="s">
        <v>162</v>
      </c>
      <c r="C198" s="11" t="s">
        <v>159</v>
      </c>
      <c r="D198" s="11" t="s">
        <v>9</v>
      </c>
      <c r="E198" s="12">
        <f t="shared" si="14"/>
        <v>0</v>
      </c>
      <c r="F198" s="13"/>
      <c r="G198" s="22">
        <f>1200+110-348.94-104.83-24.3-51.67-137.87-160+200-51.04-15.04+210-208.42+85-37.24-89.4-50.72+121.417-69.78-44.36-82.86-52.14-40.94-18.24-18.74-15.68-18.8-19.08-37.96</f>
        <v>228.3670000000001</v>
      </c>
      <c r="H198" s="22">
        <f>1200+110-348.94-104.83-24.3-51.67-137.87-160+200-51.04-15.04+210-208.42+85-37.24-89.4-50.72+121.417-69.78-44.36-82.86-52.14-40.94-18.24-18.74-15.68-18.8-19.08-37.96</f>
        <v>228.3670000000001</v>
      </c>
      <c r="I198" s="15" t="s">
        <v>54</v>
      </c>
      <c r="J198" s="16"/>
      <c r="K198" s="18">
        <v>333.51277565329275</v>
      </c>
      <c r="M198">
        <v>97.381999999996879</v>
      </c>
      <c r="N198">
        <v>10.821999999999207</v>
      </c>
    </row>
    <row r="199" spans="1:16375" ht="18" x14ac:dyDescent="0.35">
      <c r="A199" s="10">
        <v>44918</v>
      </c>
      <c r="B199" s="11" t="s">
        <v>163</v>
      </c>
      <c r="C199" s="11" t="s">
        <v>159</v>
      </c>
      <c r="D199" s="11" t="s">
        <v>13</v>
      </c>
      <c r="E199" s="12">
        <f t="shared" si="14"/>
        <v>0</v>
      </c>
      <c r="F199" s="13"/>
      <c r="G199" s="22">
        <f>214.516-26.2-34.65-18.68-32.88-18.72-22.67</f>
        <v>60.715999999999994</v>
      </c>
      <c r="H199" s="22">
        <f>214.516-26.2-34.65-18.68-32.88-18.72-22.67</f>
        <v>60.715999999999994</v>
      </c>
      <c r="I199" s="15" t="s">
        <v>21</v>
      </c>
      <c r="J199" s="16"/>
      <c r="K199" s="18">
        <v>295</v>
      </c>
      <c r="M199">
        <v>22.642000000000735</v>
      </c>
      <c r="N199">
        <v>1.6320000000005166</v>
      </c>
    </row>
    <row r="200" spans="1:16375" ht="18" x14ac:dyDescent="0.35">
      <c r="A200" s="10">
        <v>44979</v>
      </c>
      <c r="B200" s="11" t="s">
        <v>164</v>
      </c>
      <c r="C200" s="11" t="s">
        <v>159</v>
      </c>
      <c r="D200" s="11" t="s">
        <v>13</v>
      </c>
      <c r="E200" s="12">
        <f t="shared" si="14"/>
        <v>0</v>
      </c>
      <c r="F200" s="13"/>
      <c r="G200" s="22">
        <f>411.634-18.56-14.96</f>
        <v>378.11400000000003</v>
      </c>
      <c r="H200" s="22">
        <f>411.634-18.56-14.96</f>
        <v>378.11400000000003</v>
      </c>
      <c r="I200" s="15" t="s">
        <v>21</v>
      </c>
      <c r="J200" s="16"/>
      <c r="K200" s="18">
        <v>293.92349430406506</v>
      </c>
      <c r="M200">
        <v>136.7610000000077</v>
      </c>
      <c r="N200">
        <v>11.831000000000131</v>
      </c>
    </row>
    <row r="201" spans="1:16375" ht="18" x14ac:dyDescent="0.35">
      <c r="A201" s="10">
        <v>45037</v>
      </c>
      <c r="B201" s="11" t="s">
        <v>165</v>
      </c>
      <c r="C201" s="11" t="s">
        <v>159</v>
      </c>
      <c r="D201" s="11" t="s">
        <v>166</v>
      </c>
      <c r="E201" s="12">
        <f t="shared" si="14"/>
        <v>2077.5010000000007</v>
      </c>
      <c r="F201" s="13"/>
      <c r="G201" s="22">
        <f>650+710+245+100-202.155+100-190.545+400-89.33+200-94.87+195-183.15</f>
        <v>1839.9499999999998</v>
      </c>
      <c r="H201" s="22">
        <f>4677.501-202.155-190.545-89.33-94.87-183.15</f>
        <v>3917.4510000000005</v>
      </c>
      <c r="I201" s="15" t="s">
        <v>167</v>
      </c>
      <c r="J201" s="16"/>
      <c r="K201" s="18"/>
      <c r="M201">
        <v>2760.6290000000004</v>
      </c>
      <c r="N201">
        <v>1081.4140000000002</v>
      </c>
    </row>
    <row r="202" spans="1:16375" ht="18" x14ac:dyDescent="0.35">
      <c r="A202" s="10">
        <v>44860</v>
      </c>
      <c r="B202" s="11" t="s">
        <v>168</v>
      </c>
      <c r="C202" s="11" t="s">
        <v>159</v>
      </c>
      <c r="D202" s="11" t="s">
        <v>16</v>
      </c>
      <c r="E202" s="12">
        <f t="shared" si="14"/>
        <v>0</v>
      </c>
      <c r="F202" s="13"/>
      <c r="G202" s="22">
        <f>20.335-19.16</f>
        <v>1.1750000000000007</v>
      </c>
      <c r="H202" s="22">
        <f>20.335-19.16</f>
        <v>1.1750000000000007</v>
      </c>
      <c r="I202" s="15" t="s">
        <v>23</v>
      </c>
      <c r="J202" s="16"/>
      <c r="K202" s="18">
        <v>333.51277565329275</v>
      </c>
      <c r="M202">
        <v>2.0649999999995998</v>
      </c>
      <c r="N202">
        <v>1.7349999999996726</v>
      </c>
    </row>
    <row r="203" spans="1:16375" ht="18" x14ac:dyDescent="0.35">
      <c r="A203" s="10">
        <v>44892</v>
      </c>
      <c r="B203" s="11" t="s">
        <v>169</v>
      </c>
      <c r="C203" s="11" t="s">
        <v>159</v>
      </c>
      <c r="D203" s="11" t="s">
        <v>16</v>
      </c>
      <c r="E203" s="12">
        <f t="shared" si="14"/>
        <v>0</v>
      </c>
      <c r="F203" s="13"/>
      <c r="G203" s="22">
        <f>432.911-20.56-74.57-27.66-18.15-71.08-53.42-60.32-20.06-81.02</f>
        <v>6.0710000000000122</v>
      </c>
      <c r="H203" s="22">
        <f>432.911-20.56-74.57-27.66-18.15-71.08-53.42-60.32-20.06-81.02</f>
        <v>6.0710000000000122</v>
      </c>
      <c r="I203" s="15" t="s">
        <v>23</v>
      </c>
      <c r="J203" s="16"/>
      <c r="K203" s="18">
        <v>317.2534669805915</v>
      </c>
      <c r="M203">
        <v>7.0559999999977663</v>
      </c>
      <c r="N203">
        <v>6.365999999999076</v>
      </c>
    </row>
    <row r="204" spans="1:16375" ht="18" x14ac:dyDescent="0.35">
      <c r="A204" s="10">
        <v>44944</v>
      </c>
      <c r="B204" s="11" t="s">
        <v>170</v>
      </c>
      <c r="C204" s="11" t="s">
        <v>159</v>
      </c>
      <c r="D204" s="11" t="s">
        <v>16</v>
      </c>
      <c r="E204" s="28">
        <f>H204-G204</f>
        <v>-298.92699999999979</v>
      </c>
      <c r="F204" s="13"/>
      <c r="G204" s="22">
        <f>2350.47-192.04-38.17-180.06-140.48-178.74-67.7-87.34+25-18.65+50-114.79-70.12-47.11+15-106.31-19.72+17-63.92-94.32-68.92-52.62-63.86-46.38+25-40.24-39.8-48.24-44.3-37.46+25-41.06-94.55-21.81</f>
        <v>488.75999999999988</v>
      </c>
      <c r="H204" s="22">
        <f>2208.543-192.04-38.17-180.06-140.48-178.74-67.7-87.34-18.65-114.79-70.12-47.11-106.31-19.72-63.92-94.32-68.92-52.62-63.86-46.38-40.24-39.8-48.24-44.3-37.46-41.06-94.55-21.81</f>
        <v>189.83300000000008</v>
      </c>
      <c r="I204" s="15" t="s">
        <v>23</v>
      </c>
      <c r="J204" s="16"/>
      <c r="K204" s="18">
        <v>286.80857439643006</v>
      </c>
      <c r="M204">
        <v>117.62300000000505</v>
      </c>
      <c r="N204">
        <v>-154.41699999999946</v>
      </c>
    </row>
    <row r="205" spans="1:16375" ht="18.600000000000001" thickBot="1" x14ac:dyDescent="0.4">
      <c r="A205" s="19"/>
      <c r="B205" s="26" t="s">
        <v>27</v>
      </c>
      <c r="C205" s="11"/>
      <c r="D205" s="11"/>
      <c r="E205" s="20">
        <f>SUBTOTAL(9,E196:E204)</f>
        <v>1783.574000000001</v>
      </c>
      <c r="F205" s="21">
        <f>E205</f>
        <v>1783.574000000001</v>
      </c>
      <c r="G205" s="20">
        <f>SUBTOTAL(9,G196:G204)</f>
        <v>3044.7700000000027</v>
      </c>
      <c r="H205" s="20">
        <f>SUBTOTAL(9,H196:H204)</f>
        <v>4828.3440000000046</v>
      </c>
      <c r="I205" s="33"/>
      <c r="J205" s="34"/>
      <c r="K205" s="35">
        <v>340.29989425974929</v>
      </c>
    </row>
    <row r="206" spans="1:16375" ht="18.600000000000001" thickBot="1" x14ac:dyDescent="0.4">
      <c r="A206" s="36"/>
      <c r="B206" s="37" t="s">
        <v>171</v>
      </c>
      <c r="C206" s="38"/>
      <c r="D206" s="38"/>
      <c r="E206" s="39"/>
      <c r="F206" s="40">
        <f>SUM(F7:F205)</f>
        <v>40572.377</v>
      </c>
      <c r="G206" s="40">
        <f>G205+G186+G182+G176+G162+G152+G144+G139+G134+G129+G125+G121+G116+G101+G96+G90+G86+G83+G72+G69+G65+G57+G49+G37+G25+G20+G16+G167+G191+G194</f>
        <v>25202.556</v>
      </c>
      <c r="H206" s="40">
        <f>H205+H186+H182+H176+H162+H152+H144+H139+H134+H129+H125+H121+H116+H101+H96+H90+H86+H83+H72+H69+H65+H57+H49+H37+H25+H20+H16+H167+H191+H194</f>
        <v>65824.933000000019</v>
      </c>
      <c r="I206" s="41"/>
      <c r="J206" s="42"/>
      <c r="K206" s="43"/>
    </row>
    <row r="207" spans="1:16375" s="1" customFormat="1" x14ac:dyDescent="0.35">
      <c r="B207"/>
      <c r="C207"/>
      <c r="D207"/>
      <c r="F207" s="2"/>
      <c r="G207"/>
      <c r="H207" s="44"/>
      <c r="K207" s="3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1" customFormat="1" x14ac:dyDescent="0.35">
      <c r="B208"/>
      <c r="C208"/>
      <c r="D208"/>
      <c r="F208" s="2"/>
      <c r="G208" s="44"/>
      <c r="H208" s="44"/>
      <c r="K208" s="3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5">
      <c r="B209"/>
      <c r="C209"/>
      <c r="D209"/>
      <c r="F209" s="2"/>
      <c r="G209"/>
      <c r="H209"/>
      <c r="K209" s="3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5">
      <c r="B210"/>
      <c r="C210"/>
      <c r="D210"/>
      <c r="F210" s="2"/>
      <c r="G210"/>
      <c r="H210"/>
      <c r="K210" s="3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 xr:uid="{00000000-0009-0000-0000-000002000000}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17-05-23</vt:lpstr>
      <vt:lpstr>27-05-2026</vt:lpstr>
      <vt:lpstr>27-05-2026 (2)</vt:lpstr>
      <vt:lpstr>17-05-23 (3)</vt:lpstr>
      <vt:lpstr>'27-05-2026'!Print_Area</vt:lpstr>
      <vt:lpstr>'27-05-2026 (2)'!Print_Area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Amit Gupta</cp:lastModifiedBy>
  <cp:lastPrinted>2026-05-13T07:39:22Z</cp:lastPrinted>
  <dcterms:created xsi:type="dcterms:W3CDTF">2023-05-08T12:49:43Z</dcterms:created>
  <dcterms:modified xsi:type="dcterms:W3CDTF">2026-05-29T10:31:04Z</dcterms:modified>
</cp:coreProperties>
</file>