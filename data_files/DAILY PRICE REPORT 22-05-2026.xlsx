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shboard-inventory\data_files\"/>
    </mc:Choice>
  </mc:AlternateContent>
  <xr:revisionPtr revIDLastSave="0" documentId="8_{FBAA69F4-0477-494C-BAD8-556BC51E9E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E58" i="1"/>
  <c r="D60" i="1"/>
  <c r="D44" i="1"/>
  <c r="D48" i="1"/>
  <c r="E55" i="1"/>
  <c r="D17" i="1"/>
  <c r="D27" i="1"/>
  <c r="D52" i="1"/>
  <c r="D7" i="1"/>
  <c r="D53" i="1"/>
  <c r="E45" i="1"/>
  <c r="D29" i="1"/>
  <c r="D38" i="1"/>
  <c r="D28" i="1"/>
  <c r="E57" i="1"/>
  <c r="D51" i="1"/>
  <c r="D20" i="1"/>
  <c r="D30" i="1"/>
  <c r="D56" i="1"/>
  <c r="J28" i="1"/>
  <c r="J27" i="1"/>
  <c r="M54" i="1" l="1"/>
  <c r="E40" i="1"/>
  <c r="E34" i="1"/>
  <c r="D16" i="1"/>
  <c r="D32" i="1"/>
  <c r="D19" i="1"/>
  <c r="F26" i="1"/>
  <c r="N11" i="1" l="1"/>
  <c r="N12" i="1" s="1"/>
  <c r="N13" i="1" s="1"/>
  <c r="M44" i="1"/>
  <c r="M12" i="1"/>
  <c r="M13" i="1" s="1"/>
  <c r="M14" i="1" s="1"/>
  <c r="D47" i="1"/>
  <c r="D57" i="1"/>
  <c r="D9" i="1"/>
  <c r="D59" i="1"/>
  <c r="E8" i="1"/>
  <c r="D46" i="1"/>
  <c r="D63" i="1" l="1"/>
  <c r="L7" i="1"/>
  <c r="J7" i="1" s="1"/>
  <c r="D33" i="1" l="1"/>
  <c r="L59" i="1" l="1"/>
  <c r="L40" i="1"/>
  <c r="L25" i="1"/>
  <c r="L19" i="1"/>
  <c r="L18" i="1"/>
  <c r="L15" i="1"/>
  <c r="J15" i="1" s="1"/>
  <c r="L14" i="1"/>
  <c r="L13" i="1"/>
  <c r="L12" i="1"/>
  <c r="L11" i="1"/>
  <c r="J11" i="1" s="1"/>
  <c r="L10" i="1"/>
  <c r="J10" i="1" s="1"/>
  <c r="L9" i="1"/>
  <c r="J9" i="1" s="1"/>
  <c r="L8" i="1"/>
  <c r="J8" i="1" s="1"/>
  <c r="L6" i="1"/>
  <c r="J6" i="1" s="1"/>
  <c r="L5" i="1"/>
  <c r="J5" i="1" s="1"/>
  <c r="L4" i="1"/>
  <c r="J4" i="1" s="1"/>
  <c r="L3" i="1"/>
  <c r="L2" i="1"/>
  <c r="H11" i="1"/>
  <c r="H13" i="1"/>
  <c r="H59" i="1"/>
  <c r="H16" i="1"/>
  <c r="K63" i="1"/>
  <c r="G63" i="1"/>
  <c r="I61" i="1"/>
  <c r="F61" i="1"/>
  <c r="K60" i="1"/>
  <c r="G60" i="1"/>
  <c r="H60" i="1" s="1"/>
  <c r="K58" i="1"/>
  <c r="D58" i="1"/>
  <c r="H58" i="1" s="1"/>
  <c r="C58" i="1"/>
  <c r="K57" i="1"/>
  <c r="H57" i="1"/>
  <c r="K56" i="1"/>
  <c r="H56" i="1"/>
  <c r="K55" i="1"/>
  <c r="D55" i="1"/>
  <c r="H55" i="1" s="1"/>
  <c r="K54" i="1"/>
  <c r="H54" i="1"/>
  <c r="K53" i="1"/>
  <c r="H53" i="1"/>
  <c r="K52" i="1"/>
  <c r="H52" i="1"/>
  <c r="K51" i="1"/>
  <c r="H51" i="1"/>
  <c r="K50" i="1"/>
  <c r="H50" i="1"/>
  <c r="M49" i="1"/>
  <c r="M50" i="1" s="1"/>
  <c r="M51" i="1" s="1"/>
  <c r="M52" i="1" s="1"/>
  <c r="K49" i="1"/>
  <c r="H49" i="1"/>
  <c r="K48" i="1"/>
  <c r="G48" i="1"/>
  <c r="K47" i="1"/>
  <c r="H47" i="1"/>
  <c r="K46" i="1"/>
  <c r="H46" i="1"/>
  <c r="C46" i="1"/>
  <c r="K45" i="1"/>
  <c r="D45" i="1"/>
  <c r="H45" i="1" s="1"/>
  <c r="M46" i="1"/>
  <c r="M47" i="1" s="1"/>
  <c r="K44" i="1"/>
  <c r="H44" i="1"/>
  <c r="K43" i="1"/>
  <c r="H43" i="1"/>
  <c r="K42" i="1"/>
  <c r="H42" i="1"/>
  <c r="K41" i="1"/>
  <c r="D41" i="1"/>
  <c r="H41" i="1" s="1"/>
  <c r="H40" i="1"/>
  <c r="K39" i="1"/>
  <c r="H39" i="1"/>
  <c r="K38" i="1"/>
  <c r="H38" i="1"/>
  <c r="K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G29" i="1"/>
  <c r="K28" i="1"/>
  <c r="H28" i="1"/>
  <c r="K27" i="1"/>
  <c r="H27" i="1"/>
  <c r="K26" i="1"/>
  <c r="H26" i="1"/>
  <c r="K25" i="1"/>
  <c r="K24" i="1"/>
  <c r="H24" i="1"/>
  <c r="K23" i="1"/>
  <c r="H23" i="1"/>
  <c r="K22" i="1"/>
  <c r="H22" i="1"/>
  <c r="K21" i="1"/>
  <c r="H21" i="1"/>
  <c r="M21" i="1"/>
  <c r="M22" i="1" s="1"/>
  <c r="M23" i="1" s="1"/>
  <c r="K20" i="1"/>
  <c r="H20" i="1"/>
  <c r="G19" i="1"/>
  <c r="E19" i="1"/>
  <c r="H18" i="1"/>
  <c r="K17" i="1"/>
  <c r="H17" i="1"/>
  <c r="K16" i="1"/>
  <c r="H15" i="1"/>
  <c r="H14" i="1"/>
  <c r="H12" i="1"/>
  <c r="H10" i="1"/>
  <c r="H9" i="1"/>
  <c r="H8" i="1"/>
  <c r="H7" i="1"/>
  <c r="H6" i="1"/>
  <c r="D5" i="1"/>
  <c r="H5" i="1" s="1"/>
  <c r="H4" i="1"/>
  <c r="H3" i="1"/>
  <c r="G2" i="1"/>
  <c r="J13" i="1" l="1"/>
  <c r="K13" i="1" s="1"/>
  <c r="J12" i="1"/>
  <c r="K12" i="1" s="1"/>
  <c r="J14" i="1"/>
  <c r="K14" i="1" s="1"/>
  <c r="J2" i="1"/>
  <c r="K2" i="1" s="1"/>
  <c r="J3" i="1"/>
  <c r="K3" i="1" s="1"/>
  <c r="J59" i="1"/>
  <c r="K59" i="1" s="1"/>
  <c r="J18" i="1"/>
  <c r="K18" i="1" s="1"/>
  <c r="J40" i="1"/>
  <c r="K40" i="1" s="1"/>
  <c r="J19" i="1"/>
  <c r="K19" i="1" s="1"/>
  <c r="H2" i="1"/>
  <c r="C61" i="1"/>
  <c r="H63" i="1"/>
  <c r="E61" i="1"/>
  <c r="H29" i="1"/>
  <c r="H48" i="1"/>
  <c r="K9" i="1"/>
  <c r="K8" i="1"/>
  <c r="H19" i="1"/>
  <c r="D61" i="1"/>
  <c r="K15" i="1"/>
  <c r="G61" i="1"/>
  <c r="H61" i="1" l="1"/>
  <c r="K10" i="1"/>
  <c r="K11" i="1"/>
  <c r="K4" i="1"/>
  <c r="K5" i="1" l="1"/>
  <c r="K7" i="1" l="1"/>
  <c r="K6" i="1"/>
</calcChain>
</file>

<file path=xl/sharedStrings.xml><?xml version="1.0" encoding="utf-8"?>
<sst xmlns="http://schemas.openxmlformats.org/spreadsheetml/2006/main" count="274" uniqueCount="118">
  <si>
    <t>PRODUCT</t>
  </si>
  <si>
    <t xml:space="preserve">COMPANY </t>
  </si>
  <si>
    <t>MONTHLY VOLUMES</t>
  </si>
  <si>
    <t>READY</t>
  </si>
  <si>
    <t>2ND HALF MAY</t>
  </si>
  <si>
    <t>JUNE 1ST HALF</t>
  </si>
  <si>
    <t>PHYSCIAL STOCK</t>
  </si>
  <si>
    <t>PENDING LIFTING</t>
  </si>
  <si>
    <t>PORT STOCK</t>
  </si>
  <si>
    <t>REPLAC. ($)</t>
  </si>
  <si>
    <t>REPLACE.</t>
  </si>
  <si>
    <t>INDEX</t>
  </si>
  <si>
    <t>MARKET PRICE</t>
  </si>
  <si>
    <t>SELLING P.</t>
  </si>
  <si>
    <t>MAY</t>
  </si>
  <si>
    <t>JUNE</t>
  </si>
  <si>
    <t>ARRIVAL DATE</t>
  </si>
  <si>
    <t>TOLUENE - KANDLA</t>
  </si>
  <si>
    <t>KRL</t>
  </si>
  <si>
    <t>-</t>
  </si>
  <si>
    <t>MAY END</t>
  </si>
  <si>
    <t>SIDHE</t>
  </si>
  <si>
    <t>TOLUENE - MUMBAI</t>
  </si>
  <si>
    <t>TOLUENE - KAKINADA</t>
  </si>
  <si>
    <t>TOLUENE - HAZIRA</t>
  </si>
  <si>
    <t xml:space="preserve">MIX XYLENE  -KANDLA </t>
  </si>
  <si>
    <t>ST</t>
  </si>
  <si>
    <t>MIX XYLENE - MUMBAI</t>
  </si>
  <si>
    <t>MIX XYLENE - HAZIRA</t>
  </si>
  <si>
    <t>MIX-ISOMER - KANDLA</t>
  </si>
  <si>
    <t>ISOMER -MIX XYLENE  -PIPAVAV</t>
  </si>
  <si>
    <t>ORTHO - HAZIRA</t>
  </si>
  <si>
    <t>ORTHO -MUMBAI</t>
  </si>
  <si>
    <t>C9 - KANDLA</t>
  </si>
  <si>
    <t xml:space="preserve">BG-KANDLA </t>
  </si>
  <si>
    <t>SIDHE-PLANT</t>
  </si>
  <si>
    <t xml:space="preserve">BG-MUMBAI </t>
  </si>
  <si>
    <t>BDG-KANDLA</t>
  </si>
  <si>
    <t>BAM - KANDLA</t>
  </si>
  <si>
    <t>JUNE 1ST WEEK</t>
  </si>
  <si>
    <t>MEG-HAZIRA</t>
  </si>
  <si>
    <t>DEG-HAZIRA</t>
  </si>
  <si>
    <t xml:space="preserve">1ST HALF JUNE IN KRL </t>
  </si>
  <si>
    <t>ACID -KANDLA</t>
  </si>
  <si>
    <t>ACID- MUMBAI</t>
  </si>
  <si>
    <t>MMA-HAZIRA</t>
  </si>
  <si>
    <t>IBAC</t>
  </si>
  <si>
    <t>MEK- KANDLA</t>
  </si>
  <si>
    <t xml:space="preserve">MAY 2ND HALF </t>
  </si>
  <si>
    <t>PHENOL - KANDLA</t>
  </si>
  <si>
    <t xml:space="preserve">N-PROPANOL- KANDLA </t>
  </si>
  <si>
    <t xml:space="preserve"> KRL</t>
  </si>
  <si>
    <t>IPA-MUMBAI</t>
  </si>
  <si>
    <t xml:space="preserve">IPA-KANDLA </t>
  </si>
  <si>
    <t xml:space="preserve">ACETONE - MUMBAI </t>
  </si>
  <si>
    <t xml:space="preserve">HEXANE - KANDLA </t>
  </si>
  <si>
    <t>MID MAY</t>
  </si>
  <si>
    <t>EDC - HAZIRA</t>
  </si>
  <si>
    <t xml:space="preserve">PG- KANDLA </t>
  </si>
  <si>
    <t>NBA-HAZIRA</t>
  </si>
  <si>
    <t xml:space="preserve">KRL </t>
  </si>
  <si>
    <t>NBA-KANDLA</t>
  </si>
  <si>
    <t xml:space="preserve">INCOMIG 2ND HALF </t>
  </si>
  <si>
    <t xml:space="preserve">NBA-MUMBAI </t>
  </si>
  <si>
    <t>BA-KANDLA</t>
  </si>
  <si>
    <t xml:space="preserve">SIDHE </t>
  </si>
  <si>
    <t>SH BA (TPU GRADE)</t>
  </si>
  <si>
    <t>SIDHE -PLANT</t>
  </si>
  <si>
    <t>BA - MUMBAI</t>
  </si>
  <si>
    <t>IBA - HAZIRA</t>
  </si>
  <si>
    <t xml:space="preserve">IBA - KANDLA </t>
  </si>
  <si>
    <t>METHANOL - MUMBAI</t>
  </si>
  <si>
    <t xml:space="preserve">METHANOL - HAZIRA </t>
  </si>
  <si>
    <t>METHANOL - KANDLA</t>
  </si>
  <si>
    <t xml:space="preserve">METHANOL - KAKINADA </t>
  </si>
  <si>
    <t>MIX HEPTANE-KANDLA</t>
  </si>
  <si>
    <t>2 ETHYL HEXANOL -KANDLA</t>
  </si>
  <si>
    <t>SOPL</t>
  </si>
  <si>
    <t>TOLUENE</t>
  </si>
  <si>
    <t xml:space="preserve">MIX ISOMER </t>
  </si>
  <si>
    <t>SOLVENT MIX</t>
  </si>
  <si>
    <t>BENZENE</t>
  </si>
  <si>
    <t>STYRENE</t>
  </si>
  <si>
    <t>MOPJ</t>
  </si>
  <si>
    <t>STYRENE- HAZIRA</t>
  </si>
  <si>
    <t>NEXT WEEK ARRIVAL</t>
  </si>
  <si>
    <t>2-ETHYLHEXANOL</t>
  </si>
  <si>
    <t>ACETIC ACID</t>
  </si>
  <si>
    <t>BUTYL ACETATE</t>
  </si>
  <si>
    <t>BUTYL DI  GLYCOL</t>
  </si>
  <si>
    <t>BUTYL GLYCOL</t>
  </si>
  <si>
    <t>C-9</t>
  </si>
  <si>
    <t>CYCLOHEXANE</t>
  </si>
  <si>
    <t>CYCLOHEXANONE</t>
  </si>
  <si>
    <t>DEG</t>
  </si>
  <si>
    <t>EDC</t>
  </si>
  <si>
    <t>HEXANE</t>
  </si>
  <si>
    <t>IBA</t>
  </si>
  <si>
    <t>IPA</t>
  </si>
  <si>
    <t>MEG</t>
  </si>
  <si>
    <t>METHANOL</t>
  </si>
  <si>
    <t>MIX XYLENE</t>
  </si>
  <si>
    <t>MIX XYLENE ISOMER GR</t>
  </si>
  <si>
    <t>MIXED HEPTANE</t>
  </si>
  <si>
    <t>MMA</t>
  </si>
  <si>
    <t>N-PROPANOL</t>
  </si>
  <si>
    <t>NORMAL BUTANOL</t>
  </si>
  <si>
    <t>ORTHO XYLENE</t>
  </si>
  <si>
    <t>PHENOL-M</t>
  </si>
  <si>
    <t>POLYLOL 0434</t>
  </si>
  <si>
    <t>POLYLOL 0656</t>
  </si>
  <si>
    <t>POLYOL 1127</t>
  </si>
  <si>
    <t>PROPIONIC ACID</t>
  </si>
  <si>
    <t>PROPYLENE GLYCOL</t>
  </si>
  <si>
    <t>STYRENE MONOMER</t>
  </si>
  <si>
    <t>NAMES IN PRICING SHEET</t>
  </si>
  <si>
    <t>Mapped Names from Inventory Sheet</t>
  </si>
  <si>
    <t>Unmapped Names from Inventory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</si>
</sst>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Arial Black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0" fontId="3" fillId="4" borderId="13" xfId="0" applyFont="1" applyFill="1" applyBorder="1"/>
    <xf numFmtId="0" fontId="3" fillId="5" borderId="9" xfId="0" applyFont="1" applyFill="1" applyBorder="1"/>
    <xf numFmtId="0" fontId="3" fillId="6" borderId="14" xfId="0" applyFont="1" applyFill="1" applyBorder="1"/>
    <xf numFmtId="0" fontId="0" fillId="0" borderId="0" xfId="0" applyFont="1"/>
    <xf numFmtId="0" fontId="4" fillId="4" borderId="12" xfId="0" applyFont="1" applyFill="1" applyBorder="1" applyAlignment="1">
      <alignment horizontal="center" vertical="center"/>
    </xf>
    <xf numFmtId="0" fontId="0" fillId="5" borderId="4" xfId="0" applyFont="1" applyFill="1" applyBorder="1"/>
    <xf numFmtId="0" fontId="0" fillId="6" borderId="4" xfId="0" applyFont="1" applyFill="1" applyBorder="1"/>
    <xf numFmtId="0" fontId="4" fillId="4" borderId="6" xfId="0" applyFont="1" applyFill="1" applyBorder="1" applyAlignment="1">
      <alignment horizontal="center" vertical="center"/>
    </xf>
    <xf numFmtId="0" fontId="0" fillId="5" borderId="1" xfId="0" applyFont="1" applyFill="1" applyBorder="1"/>
    <xf numFmtId="0" fontId="0" fillId="6" borderId="1" xfId="0" applyFont="1" applyFill="1" applyBorder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zoomScale="43" workbookViewId="0">
      <selection activeCell="A60" sqref="A2:A60"/>
    </sheetView>
  </sheetViews>
  <sheetFormatPr defaultColWidth="21" defaultRowHeight="14.4" x14ac:dyDescent="0.3"/>
  <cols>
    <col min="1" max="1" width="41.5546875" customWidth="1"/>
    <col min="2" max="2" width="18.44140625" bestFit="1" customWidth="1"/>
    <col min="3" max="3" width="27.33203125" bestFit="1" customWidth="1"/>
    <col min="4" max="4" width="9.6640625" bestFit="1" customWidth="1"/>
    <col min="5" max="5" width="20" bestFit="1" customWidth="1"/>
    <col min="6" max="6" width="19.77734375" bestFit="1" customWidth="1"/>
    <col min="7" max="7" width="22.109375" bestFit="1" customWidth="1"/>
    <col min="8" max="8" width="23.33203125" bestFit="1" customWidth="1"/>
    <col min="9" max="9" width="16.77734375" bestFit="1" customWidth="1"/>
    <col min="10" max="10" width="15.109375" bestFit="1" customWidth="1"/>
    <col min="11" max="11" width="12.77734375" bestFit="1" customWidth="1"/>
    <col min="12" max="12" width="11.109375" bestFit="1" customWidth="1"/>
    <col min="13" max="13" width="19.77734375" bestFit="1" customWidth="1"/>
    <col min="14" max="14" width="14.44140625" bestFit="1" customWidth="1"/>
    <col min="15" max="15" width="7.109375" bestFit="1" customWidth="1"/>
    <col min="16" max="16" width="7.77734375" bestFit="1" customWidth="1"/>
    <col min="17" max="17" width="29.44140625" customWidth="1"/>
    <col min="19" max="19" width="15.21875" bestFit="1" customWidth="1"/>
    <col min="20" max="20" width="6.44140625" bestFit="1" customWidth="1"/>
  </cols>
  <sheetData>
    <row r="1" spans="1:2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0" ht="21" x14ac:dyDescent="0.3">
      <c r="A2" s="5" t="s">
        <v>17</v>
      </c>
      <c r="B2" s="5" t="s">
        <v>18</v>
      </c>
      <c r="C2" s="5">
        <v>3000</v>
      </c>
      <c r="D2" s="6">
        <v>3099</v>
      </c>
      <c r="E2" s="6">
        <v>2000</v>
      </c>
      <c r="F2" s="6"/>
      <c r="G2" s="7">
        <f>3816.637+1984.716</f>
        <v>5801.3530000000001</v>
      </c>
      <c r="H2" s="6">
        <f t="shared" ref="H2:H24" si="0">G2-D2</f>
        <v>2702.3530000000001</v>
      </c>
      <c r="I2" s="33">
        <v>35284</v>
      </c>
      <c r="J2" s="8">
        <f t="shared" ref="J2:J15" si="1">L2+100</f>
        <v>1119</v>
      </c>
      <c r="K2" s="9">
        <f t="shared" ref="K2:K23" si="2">(J2*M$61+2500)/1000</f>
        <v>111.32275</v>
      </c>
      <c r="L2" s="9">
        <f>T3</f>
        <v>1019</v>
      </c>
      <c r="M2" s="5">
        <v>107</v>
      </c>
      <c r="N2" s="5">
        <v>110</v>
      </c>
      <c r="O2" s="5">
        <v>110</v>
      </c>
      <c r="P2" s="5"/>
      <c r="Q2" s="10" t="s">
        <v>20</v>
      </c>
    </row>
    <row r="3" spans="1:20" ht="21" x14ac:dyDescent="0.3">
      <c r="A3" s="5" t="s">
        <v>17</v>
      </c>
      <c r="B3" s="5" t="s">
        <v>21</v>
      </c>
      <c r="C3" s="5"/>
      <c r="D3" s="6">
        <v>3786</v>
      </c>
      <c r="E3" s="6"/>
      <c r="F3" s="6"/>
      <c r="G3" s="7">
        <v>4389.2270000000008</v>
      </c>
      <c r="H3" s="6">
        <f t="shared" si="0"/>
        <v>603.22700000000077</v>
      </c>
      <c r="I3" s="34"/>
      <c r="J3" s="8">
        <f t="shared" si="1"/>
        <v>1119</v>
      </c>
      <c r="K3" s="9">
        <f t="shared" si="2"/>
        <v>111.32275</v>
      </c>
      <c r="L3" s="9">
        <f>T3</f>
        <v>1019</v>
      </c>
      <c r="M3" s="5">
        <v>107</v>
      </c>
      <c r="N3" s="5">
        <v>110</v>
      </c>
      <c r="O3" s="5"/>
      <c r="P3" s="5"/>
      <c r="Q3" s="10"/>
      <c r="S3" t="s">
        <v>78</v>
      </c>
      <c r="T3">
        <v>1019</v>
      </c>
    </row>
    <row r="4" spans="1:20" ht="21" x14ac:dyDescent="0.3">
      <c r="A4" s="5" t="s">
        <v>22</v>
      </c>
      <c r="B4" s="5" t="s">
        <v>18</v>
      </c>
      <c r="C4" s="5">
        <v>2000</v>
      </c>
      <c r="D4" s="7">
        <v>-244</v>
      </c>
      <c r="E4" s="7"/>
      <c r="F4" s="7"/>
      <c r="G4" s="7">
        <v>1048</v>
      </c>
      <c r="H4" s="7">
        <f t="shared" si="0"/>
        <v>1292</v>
      </c>
      <c r="I4" s="11"/>
      <c r="J4" s="8">
        <f t="shared" si="1"/>
        <v>1119</v>
      </c>
      <c r="K4" s="9">
        <f t="shared" si="2"/>
        <v>111.32275</v>
      </c>
      <c r="L4" s="9">
        <f>T3</f>
        <v>1019</v>
      </c>
      <c r="M4" s="5">
        <v>108</v>
      </c>
      <c r="N4" s="5"/>
      <c r="O4" s="5"/>
      <c r="P4" s="5"/>
      <c r="Q4" s="10"/>
      <c r="S4" t="s">
        <v>79</v>
      </c>
      <c r="T4">
        <v>1049</v>
      </c>
    </row>
    <row r="5" spans="1:20" ht="21" x14ac:dyDescent="0.3">
      <c r="A5" s="5" t="s">
        <v>23</v>
      </c>
      <c r="B5" s="5" t="s">
        <v>18</v>
      </c>
      <c r="C5" s="5">
        <v>1500</v>
      </c>
      <c r="D5" s="7">
        <f>81.8350000000003-100-20</f>
        <v>-38.164999999999694</v>
      </c>
      <c r="E5" s="7"/>
      <c r="F5" s="7"/>
      <c r="G5" s="7">
        <v>1089.8000000000002</v>
      </c>
      <c r="H5" s="7">
        <f t="shared" si="0"/>
        <v>1127.9649999999999</v>
      </c>
      <c r="I5" s="11"/>
      <c r="J5" s="8">
        <f t="shared" si="1"/>
        <v>1119</v>
      </c>
      <c r="K5" s="9">
        <f t="shared" si="2"/>
        <v>111.32275</v>
      </c>
      <c r="L5" s="9">
        <f>T3</f>
        <v>1019</v>
      </c>
      <c r="M5" s="5">
        <v>111</v>
      </c>
      <c r="N5" s="5"/>
      <c r="O5" s="12"/>
      <c r="P5" s="12"/>
      <c r="Q5" s="10"/>
      <c r="S5" t="s">
        <v>80</v>
      </c>
      <c r="T5">
        <v>1031</v>
      </c>
    </row>
    <row r="6" spans="1:20" ht="21" x14ac:dyDescent="0.3">
      <c r="A6" s="5" t="s">
        <v>24</v>
      </c>
      <c r="B6" s="5" t="s">
        <v>21</v>
      </c>
      <c r="C6" s="5">
        <v>2000</v>
      </c>
      <c r="D6" s="7">
        <v>-15</v>
      </c>
      <c r="E6" s="5"/>
      <c r="F6" s="5"/>
      <c r="G6" s="7">
        <v>617.40800000000445</v>
      </c>
      <c r="H6" s="7">
        <f t="shared" si="0"/>
        <v>632.40800000000445</v>
      </c>
      <c r="I6" s="11"/>
      <c r="J6" s="8">
        <f t="shared" si="1"/>
        <v>1119</v>
      </c>
      <c r="K6" s="9">
        <f t="shared" si="2"/>
        <v>111.32275</v>
      </c>
      <c r="L6" s="9">
        <f>T3</f>
        <v>1019</v>
      </c>
      <c r="M6" s="5">
        <v>108</v>
      </c>
      <c r="N6" s="5"/>
      <c r="O6" s="5"/>
      <c r="P6" s="5"/>
      <c r="Q6" s="10"/>
      <c r="S6" t="s">
        <v>81</v>
      </c>
      <c r="T6">
        <v>1059</v>
      </c>
    </row>
    <row r="7" spans="1:20" ht="21" x14ac:dyDescent="0.3">
      <c r="A7" s="5" t="s">
        <v>24</v>
      </c>
      <c r="B7" s="5" t="s">
        <v>18</v>
      </c>
      <c r="C7" s="5"/>
      <c r="D7" s="7">
        <f>831-30-20-21-21-58-20-25</f>
        <v>636</v>
      </c>
      <c r="E7" s="5"/>
      <c r="F7" s="5"/>
      <c r="G7" s="7">
        <v>3172.8109999999997</v>
      </c>
      <c r="H7" s="7">
        <f t="shared" si="0"/>
        <v>2536.8109999999997</v>
      </c>
      <c r="I7" s="11"/>
      <c r="J7" s="8">
        <f t="shared" si="1"/>
        <v>1119</v>
      </c>
      <c r="K7" s="9">
        <f t="shared" si="2"/>
        <v>111.32275</v>
      </c>
      <c r="L7" s="9">
        <f>T3</f>
        <v>1019</v>
      </c>
      <c r="M7" s="5">
        <v>108</v>
      </c>
      <c r="N7" s="5">
        <v>110</v>
      </c>
      <c r="O7" s="5"/>
      <c r="P7" s="5"/>
      <c r="Q7" s="10"/>
      <c r="S7" t="s">
        <v>82</v>
      </c>
      <c r="T7">
        <v>1264</v>
      </c>
    </row>
    <row r="8" spans="1:20" ht="21" x14ac:dyDescent="0.3">
      <c r="A8" s="5" t="s">
        <v>25</v>
      </c>
      <c r="B8" s="5" t="s">
        <v>18</v>
      </c>
      <c r="C8" s="5">
        <v>2000</v>
      </c>
      <c r="D8" s="7">
        <v>686</v>
      </c>
      <c r="E8" s="5">
        <f>2000-150-100</f>
        <v>1750</v>
      </c>
      <c r="F8" s="5"/>
      <c r="G8" s="7">
        <v>40.814000000000135</v>
      </c>
      <c r="H8" s="7">
        <f t="shared" si="0"/>
        <v>-645.18599999999992</v>
      </c>
      <c r="I8" s="30">
        <v>30030</v>
      </c>
      <c r="J8" s="8">
        <f t="shared" si="1"/>
        <v>1131</v>
      </c>
      <c r="K8" s="9">
        <f t="shared" si="2"/>
        <v>112.48975</v>
      </c>
      <c r="L8" s="9">
        <f>T5</f>
        <v>1031</v>
      </c>
      <c r="M8" s="5">
        <v>109</v>
      </c>
      <c r="N8" s="5"/>
      <c r="O8" s="5">
        <v>110</v>
      </c>
      <c r="P8" s="5"/>
      <c r="Q8" s="9" t="s">
        <v>20</v>
      </c>
      <c r="S8" t="s">
        <v>83</v>
      </c>
      <c r="T8">
        <v>915</v>
      </c>
    </row>
    <row r="9" spans="1:20" ht="21" x14ac:dyDescent="0.3">
      <c r="A9" s="5" t="s">
        <v>25</v>
      </c>
      <c r="B9" s="5" t="s">
        <v>21</v>
      </c>
      <c r="C9" s="5"/>
      <c r="D9" s="7">
        <f>542.937999999999-500-35-40</f>
        <v>-32.062000000001035</v>
      </c>
      <c r="E9" s="7"/>
      <c r="F9" s="7"/>
      <c r="G9" s="7">
        <v>812.59799999999996</v>
      </c>
      <c r="H9" s="7">
        <f t="shared" si="0"/>
        <v>844.66000000000099</v>
      </c>
      <c r="I9" s="31"/>
      <c r="J9" s="8">
        <f t="shared" si="1"/>
        <v>1131</v>
      </c>
      <c r="K9" s="9">
        <f t="shared" si="2"/>
        <v>112.48975</v>
      </c>
      <c r="L9" s="9">
        <f>T5</f>
        <v>1031</v>
      </c>
      <c r="M9" s="5">
        <v>109</v>
      </c>
      <c r="N9" s="5"/>
      <c r="O9" s="5"/>
      <c r="P9" s="5"/>
      <c r="Q9" s="9"/>
    </row>
    <row r="10" spans="1:20" ht="21" x14ac:dyDescent="0.3">
      <c r="A10" s="5" t="s">
        <v>27</v>
      </c>
      <c r="B10" s="5" t="s">
        <v>18</v>
      </c>
      <c r="C10" s="5">
        <v>2000</v>
      </c>
      <c r="D10" s="7">
        <v>1559</v>
      </c>
      <c r="E10" s="7"/>
      <c r="F10" s="7"/>
      <c r="G10" s="7">
        <v>2026.8090000000007</v>
      </c>
      <c r="H10" s="7">
        <f t="shared" si="0"/>
        <v>467.80900000000065</v>
      </c>
      <c r="I10" s="11"/>
      <c r="J10" s="8">
        <f t="shared" si="1"/>
        <v>1131</v>
      </c>
      <c r="K10" s="9">
        <f t="shared" si="2"/>
        <v>112.48975</v>
      </c>
      <c r="L10" s="9">
        <f>T5</f>
        <v>1031</v>
      </c>
      <c r="M10" s="5">
        <v>110</v>
      </c>
      <c r="N10" s="5">
        <v>109</v>
      </c>
      <c r="O10" s="5"/>
      <c r="P10" s="5"/>
      <c r="Q10" s="9"/>
    </row>
    <row r="11" spans="1:20" ht="21" x14ac:dyDescent="0.3">
      <c r="A11" s="5" t="s">
        <v>28</v>
      </c>
      <c r="B11" s="5" t="s">
        <v>18</v>
      </c>
      <c r="C11" s="5">
        <v>2000</v>
      </c>
      <c r="D11" s="7">
        <v>407</v>
      </c>
      <c r="E11" s="13"/>
      <c r="F11" s="13"/>
      <c r="G11" s="7">
        <v>797.47499999999991</v>
      </c>
      <c r="H11" s="7">
        <f t="shared" si="0"/>
        <v>390.47499999999991</v>
      </c>
      <c r="I11" s="11"/>
      <c r="J11" s="8">
        <f t="shared" si="1"/>
        <v>1131</v>
      </c>
      <c r="K11" s="9">
        <f t="shared" si="2"/>
        <v>112.48975</v>
      </c>
      <c r="L11" s="9">
        <f>T5</f>
        <v>1031</v>
      </c>
      <c r="M11" s="5">
        <v>109</v>
      </c>
      <c r="N11" s="5">
        <f>N10</f>
        <v>109</v>
      </c>
      <c r="O11" s="5"/>
      <c r="P11" s="5"/>
      <c r="Q11" s="9"/>
    </row>
    <row r="12" spans="1:20" ht="21" x14ac:dyDescent="0.3">
      <c r="A12" s="5" t="s">
        <v>29</v>
      </c>
      <c r="B12" s="5" t="s">
        <v>21</v>
      </c>
      <c r="C12" s="5">
        <v>2000</v>
      </c>
      <c r="D12" s="7">
        <v>160</v>
      </c>
      <c r="E12" s="13"/>
      <c r="F12" s="13"/>
      <c r="G12" s="7">
        <v>466.45400000000001</v>
      </c>
      <c r="H12" s="7">
        <f t="shared" si="0"/>
        <v>306.45400000000001</v>
      </c>
      <c r="I12" s="30"/>
      <c r="J12" s="8">
        <f t="shared" si="1"/>
        <v>1149</v>
      </c>
      <c r="K12" s="9">
        <f t="shared" si="2"/>
        <v>114.24025</v>
      </c>
      <c r="L12" s="9">
        <f>T4</f>
        <v>1049</v>
      </c>
      <c r="M12" s="5">
        <f>M11</f>
        <v>109</v>
      </c>
      <c r="N12" s="5">
        <f>N11</f>
        <v>109</v>
      </c>
      <c r="O12" s="5"/>
      <c r="P12" s="5"/>
      <c r="Q12" s="9"/>
    </row>
    <row r="13" spans="1:20" ht="21" x14ac:dyDescent="0.3">
      <c r="A13" s="5" t="s">
        <v>29</v>
      </c>
      <c r="B13" s="5" t="s">
        <v>26</v>
      </c>
      <c r="C13" s="5"/>
      <c r="D13" s="7"/>
      <c r="E13" s="13"/>
      <c r="F13" s="13"/>
      <c r="G13" s="7">
        <v>1973.616</v>
      </c>
      <c r="H13" s="7">
        <f t="shared" si="0"/>
        <v>1973.616</v>
      </c>
      <c r="I13" s="32"/>
      <c r="J13" s="8">
        <f t="shared" si="1"/>
        <v>1149</v>
      </c>
      <c r="K13" s="9">
        <f t="shared" si="2"/>
        <v>114.24025</v>
      </c>
      <c r="L13" s="9">
        <f>T4</f>
        <v>1049</v>
      </c>
      <c r="M13" s="5">
        <f>M12</f>
        <v>109</v>
      </c>
      <c r="N13" s="5">
        <f>N12</f>
        <v>109</v>
      </c>
      <c r="O13" s="5"/>
      <c r="P13" s="5"/>
      <c r="Q13" s="9"/>
    </row>
    <row r="14" spans="1:20" ht="21" x14ac:dyDescent="0.3">
      <c r="A14" s="5" t="s">
        <v>29</v>
      </c>
      <c r="B14" s="5" t="s">
        <v>18</v>
      </c>
      <c r="C14" s="5"/>
      <c r="D14" s="7"/>
      <c r="E14" s="13"/>
      <c r="F14" s="13"/>
      <c r="G14" s="7">
        <v>1517.2829999999999</v>
      </c>
      <c r="H14" s="7">
        <f t="shared" si="0"/>
        <v>1517.2829999999999</v>
      </c>
      <c r="I14" s="31"/>
      <c r="J14" s="8">
        <f t="shared" si="1"/>
        <v>1149</v>
      </c>
      <c r="K14" s="9">
        <f t="shared" si="2"/>
        <v>114.24025</v>
      </c>
      <c r="L14" s="9">
        <f>T4</f>
        <v>1049</v>
      </c>
      <c r="M14" s="5">
        <f>M13</f>
        <v>109</v>
      </c>
      <c r="N14" s="5"/>
      <c r="O14" s="5"/>
      <c r="P14" s="5"/>
      <c r="Q14" s="9"/>
    </row>
    <row r="15" spans="1:20" ht="21" x14ac:dyDescent="0.3">
      <c r="A15" s="5" t="s">
        <v>30</v>
      </c>
      <c r="B15" s="5" t="s">
        <v>18</v>
      </c>
      <c r="C15" s="5">
        <v>1500</v>
      </c>
      <c r="D15" s="7">
        <v>1403.8330000000001</v>
      </c>
      <c r="E15" s="7"/>
      <c r="F15" s="7"/>
      <c r="G15" s="7">
        <v>1553.8330000000001</v>
      </c>
      <c r="H15" s="7">
        <f t="shared" si="0"/>
        <v>150</v>
      </c>
      <c r="I15" s="11"/>
      <c r="J15" s="8">
        <f t="shared" si="1"/>
        <v>1149</v>
      </c>
      <c r="K15" s="9">
        <f t="shared" si="2"/>
        <v>114.24025</v>
      </c>
      <c r="L15" s="9">
        <f>T4</f>
        <v>1049</v>
      </c>
      <c r="M15" s="5">
        <v>108</v>
      </c>
      <c r="N15" s="5">
        <v>109</v>
      </c>
      <c r="O15" s="5"/>
      <c r="P15" s="5"/>
      <c r="Q15" s="9"/>
    </row>
    <row r="16" spans="1:20" ht="21" x14ac:dyDescent="0.3">
      <c r="A16" s="5" t="s">
        <v>31</v>
      </c>
      <c r="B16" s="5" t="s">
        <v>18</v>
      </c>
      <c r="C16" s="5">
        <v>500</v>
      </c>
      <c r="D16" s="7">
        <f>118-100</f>
        <v>18</v>
      </c>
      <c r="E16" s="7"/>
      <c r="F16" s="7"/>
      <c r="G16" s="7">
        <v>662.43799999999999</v>
      </c>
      <c r="H16" s="7">
        <f t="shared" si="0"/>
        <v>644.43799999999999</v>
      </c>
      <c r="I16" s="11"/>
      <c r="J16" s="8">
        <v>1375</v>
      </c>
      <c r="K16" s="9">
        <f t="shared" si="2"/>
        <v>136.21875</v>
      </c>
      <c r="L16" s="9">
        <v>1331</v>
      </c>
      <c r="M16" s="5">
        <v>128</v>
      </c>
      <c r="N16" s="5"/>
      <c r="O16" s="5" t="s">
        <v>19</v>
      </c>
      <c r="P16" s="5"/>
      <c r="Q16" s="9"/>
    </row>
    <row r="17" spans="1:17" ht="21" x14ac:dyDescent="0.3">
      <c r="A17" s="5" t="s">
        <v>32</v>
      </c>
      <c r="B17" s="5" t="s">
        <v>18</v>
      </c>
      <c r="C17" s="5">
        <v>500</v>
      </c>
      <c r="D17" s="7">
        <f>355-30-30-20</f>
        <v>275</v>
      </c>
      <c r="E17" s="7"/>
      <c r="F17" s="7"/>
      <c r="G17" s="7">
        <v>750</v>
      </c>
      <c r="H17" s="7">
        <f t="shared" si="0"/>
        <v>475</v>
      </c>
      <c r="I17" s="11"/>
      <c r="J17" s="8">
        <v>1375</v>
      </c>
      <c r="K17" s="9">
        <f t="shared" si="2"/>
        <v>136.21875</v>
      </c>
      <c r="L17" s="9">
        <v>1331</v>
      </c>
      <c r="M17" s="5">
        <v>128</v>
      </c>
      <c r="N17" s="5"/>
      <c r="O17" s="5"/>
      <c r="P17" s="5"/>
      <c r="Q17" s="9"/>
    </row>
    <row r="18" spans="1:17" ht="21" x14ac:dyDescent="0.3">
      <c r="A18" s="5" t="s">
        <v>33</v>
      </c>
      <c r="B18" s="5" t="s">
        <v>21</v>
      </c>
      <c r="C18" s="5">
        <v>2500</v>
      </c>
      <c r="D18" s="7"/>
      <c r="E18" s="7"/>
      <c r="F18" s="7"/>
      <c r="G18" s="7">
        <v>2621.4169999999999</v>
      </c>
      <c r="H18" s="7">
        <f t="shared" si="0"/>
        <v>2621.4169999999999</v>
      </c>
      <c r="I18" s="30">
        <v>26471</v>
      </c>
      <c r="J18" s="8">
        <f>L18+295</f>
        <v>1210</v>
      </c>
      <c r="K18" s="9">
        <f t="shared" si="2"/>
        <v>120.1725</v>
      </c>
      <c r="L18" s="9">
        <f>T8</f>
        <v>915</v>
      </c>
      <c r="M18" s="5">
        <v>120</v>
      </c>
      <c r="N18" s="5">
        <v>120</v>
      </c>
      <c r="O18" s="5"/>
      <c r="P18" s="5"/>
      <c r="Q18" s="9"/>
    </row>
    <row r="19" spans="1:17" ht="21" x14ac:dyDescent="0.3">
      <c r="A19" s="5" t="s">
        <v>33</v>
      </c>
      <c r="B19" s="5" t="s">
        <v>18</v>
      </c>
      <c r="C19" s="5"/>
      <c r="D19" s="7">
        <f>5517-90</f>
        <v>5427</v>
      </c>
      <c r="E19" s="7">
        <f>3856+2000</f>
        <v>5856</v>
      </c>
      <c r="F19" s="7"/>
      <c r="G19" s="7">
        <f>2800.444+315</f>
        <v>3115.444</v>
      </c>
      <c r="H19" s="7">
        <f t="shared" si="0"/>
        <v>-2311.556</v>
      </c>
      <c r="I19" s="31"/>
      <c r="J19" s="8">
        <f>L19+295</f>
        <v>1210</v>
      </c>
      <c r="K19" s="9">
        <f t="shared" si="2"/>
        <v>120.1725</v>
      </c>
      <c r="L19" s="9">
        <f>T8</f>
        <v>915</v>
      </c>
      <c r="M19" s="5">
        <v>120</v>
      </c>
      <c r="N19" s="5">
        <v>120</v>
      </c>
      <c r="O19" s="5">
        <v>120</v>
      </c>
      <c r="P19" s="5" t="s">
        <v>19</v>
      </c>
      <c r="Q19" s="9" t="s">
        <v>20</v>
      </c>
    </row>
    <row r="20" spans="1:17" ht="21" x14ac:dyDescent="0.3">
      <c r="A20" s="5" t="s">
        <v>34</v>
      </c>
      <c r="B20" s="5" t="s">
        <v>21</v>
      </c>
      <c r="C20" s="5">
        <v>1000</v>
      </c>
      <c r="D20" s="7">
        <f>700-75-50-30-30</f>
        <v>515</v>
      </c>
      <c r="E20" s="7"/>
      <c r="F20" s="7"/>
      <c r="G20" s="7">
        <v>1266.8449999999998</v>
      </c>
      <c r="H20" s="7">
        <f t="shared" si="0"/>
        <v>751.8449999999998</v>
      </c>
      <c r="I20" s="32"/>
      <c r="J20" s="8">
        <v>1800</v>
      </c>
      <c r="K20" s="9">
        <f t="shared" si="2"/>
        <v>177.55</v>
      </c>
      <c r="L20" s="9">
        <v>1510</v>
      </c>
      <c r="M20" s="5">
        <v>180</v>
      </c>
      <c r="N20" s="5">
        <v>180</v>
      </c>
      <c r="O20" s="5"/>
      <c r="P20" s="5"/>
      <c r="Q20" s="9"/>
    </row>
    <row r="21" spans="1:17" ht="21" x14ac:dyDescent="0.3">
      <c r="A21" s="5" t="s">
        <v>34</v>
      </c>
      <c r="B21" s="5" t="s">
        <v>18</v>
      </c>
      <c r="C21" s="5"/>
      <c r="D21" s="7">
        <f>784-35-100-80</f>
        <v>569</v>
      </c>
      <c r="E21" s="7">
        <v>1899</v>
      </c>
      <c r="F21" s="7"/>
      <c r="G21" s="7">
        <v>1083.0360000000001</v>
      </c>
      <c r="H21" s="7">
        <f t="shared" si="0"/>
        <v>514.03600000000006</v>
      </c>
      <c r="I21" s="31"/>
      <c r="J21" s="8">
        <v>1800</v>
      </c>
      <c r="K21" s="9">
        <f t="shared" si="2"/>
        <v>177.55</v>
      </c>
      <c r="L21" s="9">
        <v>1510</v>
      </c>
      <c r="M21" s="5">
        <f>M20</f>
        <v>180</v>
      </c>
      <c r="N21" s="5">
        <v>180</v>
      </c>
      <c r="O21" s="5">
        <v>180</v>
      </c>
      <c r="P21" s="5"/>
      <c r="Q21" s="9" t="s">
        <v>4</v>
      </c>
    </row>
    <row r="22" spans="1:17" ht="21" x14ac:dyDescent="0.3">
      <c r="A22" s="5" t="s">
        <v>36</v>
      </c>
      <c r="B22" s="5" t="s">
        <v>18</v>
      </c>
      <c r="C22" s="5">
        <v>750</v>
      </c>
      <c r="D22" s="7"/>
      <c r="E22" s="15"/>
      <c r="F22" s="15"/>
      <c r="G22" s="7">
        <v>258.63600000000002</v>
      </c>
      <c r="H22" s="7">
        <f t="shared" si="0"/>
        <v>258.63600000000002</v>
      </c>
      <c r="I22" s="11"/>
      <c r="J22" s="8">
        <v>1800</v>
      </c>
      <c r="K22" s="9">
        <f t="shared" si="2"/>
        <v>177.55</v>
      </c>
      <c r="L22" s="9">
        <v>1510</v>
      </c>
      <c r="M22" s="5">
        <f>M21</f>
        <v>180</v>
      </c>
      <c r="N22" s="5"/>
      <c r="O22" s="5" t="s">
        <v>19</v>
      </c>
      <c r="P22" s="5"/>
      <c r="Q22" s="9"/>
    </row>
    <row r="23" spans="1:17" ht="21" x14ac:dyDescent="0.3">
      <c r="A23" s="5" t="s">
        <v>36</v>
      </c>
      <c r="B23" s="5" t="s">
        <v>21</v>
      </c>
      <c r="C23" s="5"/>
      <c r="D23" s="7"/>
      <c r="E23" s="7"/>
      <c r="F23" s="7"/>
      <c r="G23" s="7">
        <v>198.41999999999996</v>
      </c>
      <c r="H23" s="7">
        <f t="shared" si="0"/>
        <v>198.41999999999996</v>
      </c>
      <c r="I23" s="11"/>
      <c r="J23" s="8">
        <v>1800</v>
      </c>
      <c r="K23" s="9">
        <f t="shared" si="2"/>
        <v>177.55</v>
      </c>
      <c r="L23" s="9">
        <v>1510</v>
      </c>
      <c r="M23" s="5">
        <f>M22</f>
        <v>180</v>
      </c>
      <c r="N23" s="5"/>
      <c r="O23" s="5"/>
      <c r="P23" s="5"/>
      <c r="Q23" s="9"/>
    </row>
    <row r="24" spans="1:17" ht="21" x14ac:dyDescent="0.3">
      <c r="A24" s="5" t="s">
        <v>37</v>
      </c>
      <c r="B24" s="5" t="s">
        <v>35</v>
      </c>
      <c r="C24" s="5"/>
      <c r="D24" s="7">
        <v>1074</v>
      </c>
      <c r="E24" s="7"/>
      <c r="F24" s="7"/>
      <c r="G24" s="7">
        <v>1402.222</v>
      </c>
      <c r="H24" s="7">
        <f t="shared" si="0"/>
        <v>328.22199999999998</v>
      </c>
      <c r="I24" s="31"/>
      <c r="J24" s="8">
        <v>2000</v>
      </c>
      <c r="K24" s="9">
        <f>(J24*M$61*1.0825+2500)/1000</f>
        <v>213.04624999999999</v>
      </c>
      <c r="L24" s="9" t="s">
        <v>19</v>
      </c>
      <c r="M24" s="5">
        <v>235</v>
      </c>
      <c r="O24" s="5"/>
      <c r="P24" s="5">
        <v>235</v>
      </c>
      <c r="Q24" s="9" t="s">
        <v>39</v>
      </c>
    </row>
    <row r="25" spans="1:17" ht="21" x14ac:dyDescent="0.3">
      <c r="A25" s="5" t="s">
        <v>84</v>
      </c>
      <c r="B25" s="5" t="s">
        <v>26</v>
      </c>
      <c r="C25" s="5">
        <v>1000</v>
      </c>
      <c r="D25" s="7"/>
      <c r="E25" s="7"/>
      <c r="F25" s="7"/>
      <c r="G25" s="7">
        <v>0.19700000000000273</v>
      </c>
      <c r="H25" s="7">
        <v>0</v>
      </c>
      <c r="I25" s="30">
        <v>13425</v>
      </c>
      <c r="J25" s="8">
        <v>1420</v>
      </c>
      <c r="K25" s="9">
        <f>(J25*M$61*1.0275+2500)/1000</f>
        <v>144.39261250000001</v>
      </c>
      <c r="L25" s="9">
        <f>T7</f>
        <v>1264</v>
      </c>
      <c r="M25" s="5">
        <v>150</v>
      </c>
      <c r="N25" s="5"/>
      <c r="O25" s="5"/>
      <c r="P25" s="5"/>
      <c r="Q25" s="9"/>
    </row>
    <row r="26" spans="1:17" ht="21" x14ac:dyDescent="0.3">
      <c r="A26" s="5" t="s">
        <v>38</v>
      </c>
      <c r="B26" s="5" t="s">
        <v>18</v>
      </c>
      <c r="C26" s="5">
        <v>300</v>
      </c>
      <c r="D26" s="7"/>
      <c r="E26" s="7"/>
      <c r="F26" s="7">
        <f>300-25</f>
        <v>275</v>
      </c>
      <c r="G26" s="7">
        <v>1850</v>
      </c>
      <c r="H26" s="7">
        <f t="shared" ref="H26:H36" si="3">G26-D26</f>
        <v>1850</v>
      </c>
      <c r="I26" s="11"/>
      <c r="J26" s="8">
        <v>1670</v>
      </c>
      <c r="K26" s="9">
        <f>(J26*M$61*1.0825+2500)/1000</f>
        <v>178.30611875</v>
      </c>
      <c r="L26" s="9" t="s">
        <v>19</v>
      </c>
      <c r="M26" s="5">
        <v>160</v>
      </c>
      <c r="N26" s="5" t="s">
        <v>19</v>
      </c>
      <c r="O26" s="5"/>
      <c r="P26" s="5">
        <v>160</v>
      </c>
      <c r="Q26" s="9" t="s">
        <v>39</v>
      </c>
    </row>
    <row r="27" spans="1:17" ht="21" x14ac:dyDescent="0.3">
      <c r="A27" s="5" t="s">
        <v>40</v>
      </c>
      <c r="B27" s="5" t="s">
        <v>18</v>
      </c>
      <c r="C27" s="5">
        <v>2000</v>
      </c>
      <c r="D27" s="7">
        <f>1112-21-25-16-25-10-30-10-50-25-18</f>
        <v>882</v>
      </c>
      <c r="E27" s="7"/>
      <c r="F27" s="7"/>
      <c r="G27" s="7">
        <v>215.15999999999929</v>
      </c>
      <c r="H27" s="7">
        <f t="shared" si="3"/>
        <v>-666.84000000000071</v>
      </c>
      <c r="I27" s="11"/>
      <c r="J27" s="9">
        <f>L27+80</f>
        <v>707.5</v>
      </c>
      <c r="K27" s="9">
        <f>(J27*M$61+2500)/1000</f>
        <v>71.304374999999993</v>
      </c>
      <c r="L27" s="9">
        <v>627.5</v>
      </c>
      <c r="M27" s="5">
        <v>70</v>
      </c>
      <c r="N27" s="5">
        <v>70</v>
      </c>
      <c r="O27" s="5"/>
      <c r="P27" s="5"/>
      <c r="Q27" s="9"/>
    </row>
    <row r="28" spans="1:17" ht="21" x14ac:dyDescent="0.3">
      <c r="A28" s="5" t="s">
        <v>41</v>
      </c>
      <c r="B28" s="5" t="s">
        <v>26</v>
      </c>
      <c r="C28" s="5">
        <v>2000</v>
      </c>
      <c r="D28" s="7">
        <f>10-25</f>
        <v>-15</v>
      </c>
      <c r="E28" s="7"/>
      <c r="F28" s="7">
        <v>2000</v>
      </c>
      <c r="G28" s="7">
        <v>501.31199999999973</v>
      </c>
      <c r="H28" s="7">
        <f t="shared" si="3"/>
        <v>516.31199999999967</v>
      </c>
      <c r="I28" s="11"/>
      <c r="J28" s="9">
        <f>L28</f>
        <v>815</v>
      </c>
      <c r="K28" s="9">
        <f>(J28*M$61*1.0825+2500)/1000</f>
        <v>88.297596874999996</v>
      </c>
      <c r="L28" s="9">
        <v>815</v>
      </c>
      <c r="M28" s="5">
        <v>86</v>
      </c>
      <c r="N28" s="5"/>
      <c r="O28" s="5"/>
      <c r="P28" s="5">
        <v>84</v>
      </c>
      <c r="Q28" s="9" t="s">
        <v>42</v>
      </c>
    </row>
    <row r="29" spans="1:17" ht="21" x14ac:dyDescent="0.3">
      <c r="A29" s="5" t="s">
        <v>43</v>
      </c>
      <c r="B29" s="5" t="s">
        <v>26</v>
      </c>
      <c r="C29" s="5">
        <v>2000</v>
      </c>
      <c r="D29" s="7">
        <f>28.828+1900-500-200-30-500+1900-30-484-70-12-120-70-25</f>
        <v>1787.828</v>
      </c>
      <c r="E29" s="7"/>
      <c r="F29" s="7"/>
      <c r="G29" s="7">
        <f>254.301+1900</f>
        <v>2154.3009999999999</v>
      </c>
      <c r="H29" s="7">
        <f t="shared" si="3"/>
        <v>366.47299999999996</v>
      </c>
      <c r="I29" s="11">
        <v>46082</v>
      </c>
      <c r="J29" s="8">
        <v>450</v>
      </c>
      <c r="K29" s="9">
        <f>(J29*M$61+1500)/1000</f>
        <v>45.262500000000003</v>
      </c>
      <c r="L29" s="8">
        <v>485</v>
      </c>
      <c r="M29" s="5">
        <v>47</v>
      </c>
      <c r="N29" s="5">
        <v>47</v>
      </c>
      <c r="O29" s="5"/>
      <c r="P29" s="5"/>
      <c r="Q29" s="9"/>
    </row>
    <row r="30" spans="1:17" ht="21" x14ac:dyDescent="0.3">
      <c r="A30" s="5" t="s">
        <v>44</v>
      </c>
      <c r="B30" s="5" t="s">
        <v>18</v>
      </c>
      <c r="C30" s="5">
        <v>2000</v>
      </c>
      <c r="D30" s="7">
        <f>2378-100-25-25-20</f>
        <v>2208</v>
      </c>
      <c r="E30" s="7"/>
      <c r="F30" s="7"/>
      <c r="G30" s="7">
        <v>3943.1860000000006</v>
      </c>
      <c r="H30" s="7">
        <f t="shared" si="3"/>
        <v>1735.1860000000006</v>
      </c>
      <c r="I30" s="11"/>
      <c r="J30" s="8">
        <v>450</v>
      </c>
      <c r="K30" s="9">
        <f>(J30*M$61+1500)/1000</f>
        <v>45.262500000000003</v>
      </c>
      <c r="L30" s="8">
        <v>485</v>
      </c>
      <c r="M30" s="5">
        <v>47</v>
      </c>
      <c r="N30" s="5">
        <v>47</v>
      </c>
      <c r="O30" s="5"/>
      <c r="P30" s="5"/>
      <c r="Q30" s="9"/>
    </row>
    <row r="31" spans="1:17" ht="21" x14ac:dyDescent="0.3">
      <c r="A31" s="5" t="s">
        <v>45</v>
      </c>
      <c r="B31" s="5" t="s">
        <v>18</v>
      </c>
      <c r="C31" s="5">
        <v>750</v>
      </c>
      <c r="D31" s="7">
        <v>-6.757000000000005</v>
      </c>
      <c r="E31" s="7"/>
      <c r="F31" s="7"/>
      <c r="G31" s="7">
        <v>170.24200000000002</v>
      </c>
      <c r="H31" s="7">
        <f t="shared" si="3"/>
        <v>176.99900000000002</v>
      </c>
      <c r="I31" s="11"/>
      <c r="J31" s="8">
        <v>1885</v>
      </c>
      <c r="K31" s="9">
        <f>(J31*M$61*1.0825+2500)/1000</f>
        <v>200.93984062500002</v>
      </c>
      <c r="L31" s="8">
        <v>1975</v>
      </c>
      <c r="M31" s="5">
        <v>260</v>
      </c>
      <c r="N31" s="5"/>
      <c r="O31" s="5"/>
      <c r="P31" s="5"/>
      <c r="Q31" s="9"/>
    </row>
    <row r="32" spans="1:17" ht="21" x14ac:dyDescent="0.3">
      <c r="A32" s="5" t="s">
        <v>46</v>
      </c>
      <c r="B32" s="5" t="s">
        <v>18</v>
      </c>
      <c r="C32" s="5">
        <v>300</v>
      </c>
      <c r="D32" s="7">
        <f>734-50-25</f>
        <v>659</v>
      </c>
      <c r="E32" s="7"/>
      <c r="F32" s="7"/>
      <c r="G32" s="7">
        <v>12.173999999999978</v>
      </c>
      <c r="H32" s="7">
        <f t="shared" si="3"/>
        <v>-646.82600000000002</v>
      </c>
      <c r="I32" s="11"/>
      <c r="J32" s="8">
        <v>1000</v>
      </c>
      <c r="K32" s="9">
        <f>(J32*M$61*1.0825+2500)/1000</f>
        <v>107.77312499999999</v>
      </c>
      <c r="L32" s="9" t="s">
        <v>19</v>
      </c>
      <c r="M32" s="5">
        <v>110</v>
      </c>
      <c r="N32" s="5">
        <v>105</v>
      </c>
      <c r="O32" s="5"/>
      <c r="P32" s="5"/>
      <c r="Q32" s="9"/>
    </row>
    <row r="33" spans="1:17" ht="21" x14ac:dyDescent="0.3">
      <c r="A33" s="5" t="s">
        <v>46</v>
      </c>
      <c r="B33" s="5" t="s">
        <v>21</v>
      </c>
      <c r="C33" s="5"/>
      <c r="D33" s="7">
        <f>778.36557-54-63-42-25-20</f>
        <v>574.36557000000005</v>
      </c>
      <c r="E33" s="7"/>
      <c r="F33" s="7"/>
      <c r="G33" s="7">
        <v>841.36556999999993</v>
      </c>
      <c r="H33" s="7">
        <f t="shared" si="3"/>
        <v>266.99999999999989</v>
      </c>
      <c r="I33" s="11"/>
      <c r="J33" s="8">
        <v>1000</v>
      </c>
      <c r="K33" s="9">
        <f>(J33*M$61*1.0825+2500)/1000</f>
        <v>107.77312499999999</v>
      </c>
      <c r="L33" s="9" t="s">
        <v>19</v>
      </c>
      <c r="M33" s="5">
        <v>110</v>
      </c>
      <c r="N33" s="5">
        <v>105</v>
      </c>
      <c r="O33" s="5"/>
      <c r="P33" s="5" t="s">
        <v>19</v>
      </c>
      <c r="Q33" s="9"/>
    </row>
    <row r="34" spans="1:17" ht="21" x14ac:dyDescent="0.3">
      <c r="A34" s="5" t="s">
        <v>47</v>
      </c>
      <c r="B34" s="5" t="s">
        <v>18</v>
      </c>
      <c r="C34" s="5">
        <v>750</v>
      </c>
      <c r="D34" s="7">
        <v>1.1210000000000946</v>
      </c>
      <c r="E34" s="16">
        <f>375-60-30-25-75-50-25-21-50</f>
        <v>39</v>
      </c>
      <c r="F34" s="16"/>
      <c r="G34" s="7">
        <v>4.1309999999998581</v>
      </c>
      <c r="H34" s="7">
        <f t="shared" si="3"/>
        <v>3.0099999999997635</v>
      </c>
      <c r="I34" s="11">
        <v>587</v>
      </c>
      <c r="J34" s="8">
        <v>1450</v>
      </c>
      <c r="K34" s="9">
        <f>(J34*M$61*1.0825+2500)/1000</f>
        <v>155.14603124999999</v>
      </c>
      <c r="L34" s="9" t="s">
        <v>19</v>
      </c>
      <c r="M34" s="5">
        <v>200</v>
      </c>
      <c r="N34" s="5"/>
      <c r="O34" s="5">
        <v>195</v>
      </c>
      <c r="P34" s="5"/>
      <c r="Q34" s="9" t="s">
        <v>48</v>
      </c>
    </row>
    <row r="35" spans="1:17" ht="21" x14ac:dyDescent="0.3">
      <c r="A35" s="5" t="s">
        <v>49</v>
      </c>
      <c r="B35" s="5" t="s">
        <v>18</v>
      </c>
      <c r="C35" s="5">
        <v>1000</v>
      </c>
      <c r="D35" s="7">
        <v>5.9999999999718057E-3</v>
      </c>
      <c r="E35" s="17"/>
      <c r="F35" s="17"/>
      <c r="G35" s="7">
        <v>90.065999999999974</v>
      </c>
      <c r="H35" s="7">
        <f t="shared" si="3"/>
        <v>90.06</v>
      </c>
      <c r="I35" s="11">
        <v>9477</v>
      </c>
      <c r="J35" s="8">
        <v>1500</v>
      </c>
      <c r="K35" s="9">
        <f>(J35*M$61*1.055+2500)/1000</f>
        <v>156.39812499999999</v>
      </c>
      <c r="L35" s="9"/>
      <c r="M35" s="5">
        <v>140</v>
      </c>
      <c r="N35" s="5"/>
      <c r="O35" s="5"/>
      <c r="P35" s="5"/>
      <c r="Q35" s="9"/>
    </row>
    <row r="36" spans="1:17" ht="21" x14ac:dyDescent="0.3">
      <c r="A36" s="5" t="s">
        <v>50</v>
      </c>
      <c r="B36" s="5" t="s">
        <v>51</v>
      </c>
      <c r="C36" s="5">
        <v>1000</v>
      </c>
      <c r="D36" s="7"/>
      <c r="E36" s="7"/>
      <c r="F36" s="7"/>
      <c r="G36" s="7">
        <v>763.46799999999985</v>
      </c>
      <c r="H36" s="7">
        <f t="shared" si="3"/>
        <v>763.46799999999985</v>
      </c>
      <c r="I36" s="30">
        <v>5309</v>
      </c>
      <c r="J36" s="8">
        <v>1100</v>
      </c>
      <c r="K36" s="9">
        <f>(J36*M$61*1.0825+2500)/1000</f>
        <v>118.3004375</v>
      </c>
      <c r="L36" s="9" t="s">
        <v>19</v>
      </c>
      <c r="M36" s="5">
        <v>100</v>
      </c>
      <c r="N36" s="5">
        <v>100</v>
      </c>
      <c r="O36" s="5"/>
      <c r="P36" s="5" t="s">
        <v>19</v>
      </c>
      <c r="Q36" s="9" t="s">
        <v>19</v>
      </c>
    </row>
    <row r="37" spans="1:17" ht="21" x14ac:dyDescent="0.3">
      <c r="A37" s="5" t="s">
        <v>52</v>
      </c>
      <c r="B37" s="5" t="s">
        <v>26</v>
      </c>
      <c r="C37" s="5">
        <v>1000</v>
      </c>
      <c r="D37" s="7">
        <v>20</v>
      </c>
      <c r="E37" s="7"/>
      <c r="F37" s="7"/>
      <c r="G37" s="7">
        <v>0</v>
      </c>
      <c r="H37" s="7">
        <v>750</v>
      </c>
      <c r="I37" s="11"/>
      <c r="J37" s="8">
        <v>1350</v>
      </c>
      <c r="K37" s="9">
        <f>(J37*M$61*1.0825+2500)/1000</f>
        <v>144.61871875</v>
      </c>
      <c r="L37" s="9" t="s">
        <v>19</v>
      </c>
      <c r="M37" s="5">
        <v>125</v>
      </c>
      <c r="N37" s="5"/>
      <c r="O37" s="14"/>
      <c r="P37" s="5"/>
      <c r="Q37" s="9"/>
    </row>
    <row r="38" spans="1:17" ht="21" x14ac:dyDescent="0.3">
      <c r="A38" s="5" t="s">
        <v>53</v>
      </c>
      <c r="B38" s="5" t="s">
        <v>26</v>
      </c>
      <c r="C38" s="5">
        <v>1000</v>
      </c>
      <c r="D38" s="7">
        <f>494-50</f>
        <v>444</v>
      </c>
      <c r="E38" s="14"/>
      <c r="F38" s="7"/>
      <c r="G38" s="7">
        <v>0</v>
      </c>
      <c r="H38" s="7">
        <f t="shared" ref="H38:H60" si="4">G38-D38</f>
        <v>-444</v>
      </c>
      <c r="I38" s="11">
        <v>6167</v>
      </c>
      <c r="J38" s="8">
        <v>1350</v>
      </c>
      <c r="K38" s="9">
        <f>(J38*M$61*1.0825+2500)/1000</f>
        <v>144.61871875</v>
      </c>
      <c r="L38" s="9" t="s">
        <v>19</v>
      </c>
      <c r="M38" s="5">
        <v>125</v>
      </c>
      <c r="N38" s="5">
        <v>125</v>
      </c>
      <c r="O38" s="5"/>
      <c r="P38" s="5"/>
      <c r="Q38" s="9"/>
    </row>
    <row r="39" spans="1:17" ht="21" x14ac:dyDescent="0.3">
      <c r="A39" s="5" t="s">
        <v>54</v>
      </c>
      <c r="B39" s="5" t="s">
        <v>18</v>
      </c>
      <c r="C39" s="5">
        <v>500</v>
      </c>
      <c r="D39" s="7">
        <v>0</v>
      </c>
      <c r="E39" s="7"/>
      <c r="F39" s="7"/>
      <c r="G39" s="7">
        <v>0</v>
      </c>
      <c r="H39" s="7">
        <f t="shared" si="4"/>
        <v>0</v>
      </c>
      <c r="I39" s="11"/>
      <c r="J39" s="8">
        <v>1200</v>
      </c>
      <c r="K39" s="9">
        <f>(J39*M$61*1.0825+2500)/1000</f>
        <v>128.82775000000001</v>
      </c>
      <c r="L39" s="9" t="s">
        <v>19</v>
      </c>
      <c r="M39" s="5">
        <v>134</v>
      </c>
      <c r="N39" s="5"/>
      <c r="O39" s="5"/>
      <c r="P39" s="5"/>
      <c r="Q39" s="9"/>
    </row>
    <row r="40" spans="1:17" ht="21" x14ac:dyDescent="0.3">
      <c r="A40" s="5" t="s">
        <v>55</v>
      </c>
      <c r="B40" s="5" t="s">
        <v>18</v>
      </c>
      <c r="C40" s="5">
        <v>1000</v>
      </c>
      <c r="D40" s="7">
        <v>0</v>
      </c>
      <c r="E40" s="7">
        <f>1919.865-26-64-17-17</f>
        <v>1795.865</v>
      </c>
      <c r="F40" s="7"/>
      <c r="G40" s="7">
        <v>0</v>
      </c>
      <c r="H40" s="7">
        <f t="shared" si="4"/>
        <v>0</v>
      </c>
      <c r="I40" s="11">
        <v>2845</v>
      </c>
      <c r="J40" s="8">
        <f>L40+415</f>
        <v>1330</v>
      </c>
      <c r="K40" s="9">
        <f>(J40*M$61+2500)/1000</f>
        <v>131.8425</v>
      </c>
      <c r="L40" s="9">
        <f>T8</f>
        <v>915</v>
      </c>
      <c r="M40" s="5">
        <v>148</v>
      </c>
      <c r="N40" s="5"/>
      <c r="O40" s="5">
        <v>145</v>
      </c>
      <c r="P40" s="5"/>
      <c r="Q40" s="9" t="s">
        <v>56</v>
      </c>
    </row>
    <row r="41" spans="1:17" ht="21" x14ac:dyDescent="0.3">
      <c r="A41" s="5" t="s">
        <v>57</v>
      </c>
      <c r="B41" s="5" t="s">
        <v>18</v>
      </c>
      <c r="C41" s="5">
        <v>500</v>
      </c>
      <c r="D41" s="7">
        <f>110.925-10-16-20-20-32-20</f>
        <v>-7.0750000000000028</v>
      </c>
      <c r="E41" s="7"/>
      <c r="F41" s="7"/>
      <c r="G41" s="7">
        <v>145.94500000000005</v>
      </c>
      <c r="H41" s="7">
        <f t="shared" si="4"/>
        <v>153.02000000000004</v>
      </c>
      <c r="I41" s="11"/>
      <c r="J41" s="8">
        <v>350</v>
      </c>
      <c r="K41" s="9">
        <f>(J41*M$61+2500)/1000</f>
        <v>36.537500000000001</v>
      </c>
      <c r="L41" s="9"/>
      <c r="M41" s="5">
        <v>28</v>
      </c>
      <c r="N41" s="5" t="s">
        <v>19</v>
      </c>
      <c r="O41" s="5"/>
      <c r="P41" s="5"/>
      <c r="Q41" s="9"/>
    </row>
    <row r="42" spans="1:17" ht="21" x14ac:dyDescent="0.3">
      <c r="A42" s="5" t="s">
        <v>58</v>
      </c>
      <c r="B42" s="5" t="s">
        <v>18</v>
      </c>
      <c r="C42" s="5">
        <v>750</v>
      </c>
      <c r="D42" s="7">
        <v>-42.650000000000034</v>
      </c>
      <c r="E42" s="7"/>
      <c r="F42" s="7"/>
      <c r="G42" s="7">
        <v>399.21199999999999</v>
      </c>
      <c r="H42" s="7">
        <f t="shared" si="4"/>
        <v>441.86200000000002</v>
      </c>
      <c r="I42" s="11">
        <v>1334</v>
      </c>
      <c r="J42" s="8">
        <v>1300</v>
      </c>
      <c r="K42" s="9">
        <f>(J42*M$61*1.0825+2500)/1000</f>
        <v>139.3550625</v>
      </c>
      <c r="L42" s="5"/>
      <c r="M42" s="5">
        <v>180</v>
      </c>
      <c r="N42" s="5"/>
      <c r="O42" s="5"/>
      <c r="P42" s="5"/>
      <c r="Q42" s="9"/>
    </row>
    <row r="43" spans="1:17" ht="21" x14ac:dyDescent="0.3">
      <c r="A43" s="5" t="s">
        <v>59</v>
      </c>
      <c r="B43" s="5" t="s">
        <v>60</v>
      </c>
      <c r="C43" s="5">
        <v>1500</v>
      </c>
      <c r="D43" s="7">
        <v>-95.21100000000024</v>
      </c>
      <c r="E43" s="7"/>
      <c r="F43" s="7"/>
      <c r="G43" s="7">
        <v>0.32699999999999818</v>
      </c>
      <c r="H43" s="7">
        <f t="shared" si="4"/>
        <v>95.538000000000238</v>
      </c>
      <c r="I43" s="11"/>
      <c r="J43" s="9">
        <v>1250</v>
      </c>
      <c r="K43" s="9">
        <f t="shared" ref="K43:K52" si="5">(J43*M$61+2500)/1000</f>
        <v>124.0625</v>
      </c>
      <c r="L43" s="9">
        <v>1280</v>
      </c>
      <c r="M43" s="5">
        <v>160</v>
      </c>
      <c r="N43" s="5"/>
      <c r="O43" s="5"/>
      <c r="P43" s="5"/>
      <c r="Q43" s="9"/>
    </row>
    <row r="44" spans="1:17" ht="21" x14ac:dyDescent="0.3">
      <c r="A44" s="5" t="s">
        <v>61</v>
      </c>
      <c r="B44" s="5" t="s">
        <v>18</v>
      </c>
      <c r="C44" s="5">
        <v>1500</v>
      </c>
      <c r="D44" s="7">
        <f>884.392-150-42.5-21-35-50-40-21-10-50-50-60-50-40-35-42-16-25-21-10-50-30-100-20-20-10</f>
        <v>-114.10799999999995</v>
      </c>
      <c r="E44" s="7"/>
      <c r="F44" s="7"/>
      <c r="G44" s="7">
        <v>1201.5520000000001</v>
      </c>
      <c r="H44" s="7">
        <f t="shared" si="4"/>
        <v>1315.66</v>
      </c>
      <c r="I44" s="30">
        <v>543</v>
      </c>
      <c r="J44" s="9">
        <v>1250</v>
      </c>
      <c r="K44" s="9">
        <f t="shared" si="5"/>
        <v>124.0625</v>
      </c>
      <c r="L44" s="9">
        <v>1280</v>
      </c>
      <c r="M44" s="5">
        <f>M43</f>
        <v>160</v>
      </c>
      <c r="N44" s="5"/>
      <c r="O44" s="5"/>
      <c r="P44" s="5"/>
      <c r="Q44" s="9"/>
    </row>
    <row r="45" spans="1:17" ht="21" x14ac:dyDescent="0.3">
      <c r="A45" s="5" t="s">
        <v>61</v>
      </c>
      <c r="B45" s="5" t="s">
        <v>26</v>
      </c>
      <c r="C45" s="5"/>
      <c r="D45" s="7">
        <f>9.09000000000015-13</f>
        <v>-3.9099999999998492</v>
      </c>
      <c r="E45" s="7">
        <f>250+450-50-25-32-35-21</f>
        <v>537</v>
      </c>
      <c r="F45" s="7"/>
      <c r="G45" s="7">
        <v>13.690000000000055</v>
      </c>
      <c r="H45" s="7">
        <f t="shared" si="4"/>
        <v>17.599999999999902</v>
      </c>
      <c r="I45" s="31"/>
      <c r="J45" s="9">
        <v>1250</v>
      </c>
      <c r="K45" s="9">
        <f t="shared" si="5"/>
        <v>124.0625</v>
      </c>
      <c r="L45" s="9">
        <v>1280</v>
      </c>
      <c r="M45" s="5">
        <v>160</v>
      </c>
      <c r="N45" s="5"/>
      <c r="O45" s="5">
        <v>160</v>
      </c>
      <c r="P45" s="5"/>
      <c r="Q45" s="9" t="s">
        <v>62</v>
      </c>
    </row>
    <row r="46" spans="1:17" ht="21" x14ac:dyDescent="0.3">
      <c r="A46" s="5" t="s">
        <v>63</v>
      </c>
      <c r="B46" s="5" t="s">
        <v>18</v>
      </c>
      <c r="C46" s="5">
        <f>1250-10</f>
        <v>1240</v>
      </c>
      <c r="D46" s="7">
        <f>1847.077-150-25-23-700-10-10-20-100-60-50-100-35-10-40-100-10-100-10-25-20-24-20-60-16-10-100-50-20-10</f>
        <v>-60.923000000000002</v>
      </c>
      <c r="E46" s="7"/>
      <c r="F46" s="7"/>
      <c r="G46" s="7">
        <v>1897.0769999999998</v>
      </c>
      <c r="H46" s="7">
        <f t="shared" si="4"/>
        <v>1957.9999999999998</v>
      </c>
      <c r="I46" s="11"/>
      <c r="J46" s="9">
        <v>1250</v>
      </c>
      <c r="K46" s="9">
        <f t="shared" si="5"/>
        <v>124.0625</v>
      </c>
      <c r="L46" s="9">
        <v>1280</v>
      </c>
      <c r="M46" s="5">
        <f>M45</f>
        <v>160</v>
      </c>
      <c r="N46" s="5"/>
      <c r="O46" s="5"/>
      <c r="P46" s="5"/>
      <c r="Q46" s="9"/>
    </row>
    <row r="47" spans="1:17" ht="21" x14ac:dyDescent="0.3">
      <c r="A47" s="5" t="s">
        <v>63</v>
      </c>
      <c r="B47" s="5" t="s">
        <v>21</v>
      </c>
      <c r="C47" s="5"/>
      <c r="D47" s="7">
        <f>249.644-20-42-20-40-21-60-25-25</f>
        <v>-3.3559999999999945</v>
      </c>
      <c r="E47" s="7"/>
      <c r="F47" s="7"/>
      <c r="G47" s="7">
        <v>580.02400000000011</v>
      </c>
      <c r="H47" s="7">
        <f t="shared" si="4"/>
        <v>583.38000000000011</v>
      </c>
      <c r="I47" s="11"/>
      <c r="J47" s="9">
        <v>1250</v>
      </c>
      <c r="K47" s="9">
        <f t="shared" si="5"/>
        <v>124.0625</v>
      </c>
      <c r="L47" s="9">
        <v>1280</v>
      </c>
      <c r="M47" s="5">
        <f>M46</f>
        <v>160</v>
      </c>
      <c r="N47" s="5"/>
      <c r="O47" s="5"/>
      <c r="P47" s="5"/>
      <c r="Q47" s="9"/>
    </row>
    <row r="48" spans="1:17" ht="21" x14ac:dyDescent="0.3">
      <c r="A48" s="5" t="s">
        <v>64</v>
      </c>
      <c r="B48" s="5" t="s">
        <v>18</v>
      </c>
      <c r="C48" s="5">
        <v>2000</v>
      </c>
      <c r="D48" s="7">
        <f>1960-16-13-16</f>
        <v>1915</v>
      </c>
      <c r="E48" s="7"/>
      <c r="F48" s="18">
        <v>2500</v>
      </c>
      <c r="G48" s="7">
        <f>454.397+1499.963</f>
        <v>1954.36</v>
      </c>
      <c r="H48" s="7">
        <f t="shared" si="4"/>
        <v>39.3599999999999</v>
      </c>
      <c r="I48" s="30">
        <v>5601</v>
      </c>
      <c r="J48" s="9">
        <v>1170</v>
      </c>
      <c r="K48" s="9">
        <f t="shared" si="5"/>
        <v>116.2825</v>
      </c>
      <c r="L48" s="9">
        <v>1075</v>
      </c>
      <c r="M48" s="5">
        <v>118</v>
      </c>
      <c r="N48" s="5">
        <v>118</v>
      </c>
      <c r="O48" s="5"/>
      <c r="P48" s="5">
        <v>118</v>
      </c>
      <c r="Q48" s="9" t="s">
        <v>4</v>
      </c>
    </row>
    <row r="49" spans="1:17" ht="21" x14ac:dyDescent="0.3">
      <c r="A49" s="5" t="s">
        <v>64</v>
      </c>
      <c r="B49" s="5" t="s">
        <v>65</v>
      </c>
      <c r="C49" s="5"/>
      <c r="D49" s="7">
        <v>145</v>
      </c>
      <c r="E49" s="18"/>
      <c r="F49" s="18"/>
      <c r="G49" s="7">
        <v>829.36099999999988</v>
      </c>
      <c r="H49" s="7">
        <f t="shared" si="4"/>
        <v>684.36099999999988</v>
      </c>
      <c r="I49" s="32"/>
      <c r="J49" s="9">
        <v>1170</v>
      </c>
      <c r="K49" s="9">
        <f t="shared" si="5"/>
        <v>116.2825</v>
      </c>
      <c r="L49" s="9">
        <v>1075</v>
      </c>
      <c r="M49" s="5">
        <f>M48</f>
        <v>118</v>
      </c>
      <c r="N49" s="5" t="s">
        <v>19</v>
      </c>
      <c r="O49" s="5"/>
      <c r="P49" s="5"/>
      <c r="Q49" s="9"/>
    </row>
    <row r="50" spans="1:17" ht="21" x14ac:dyDescent="0.3">
      <c r="A50" s="5" t="s">
        <v>66</v>
      </c>
      <c r="B50" s="5" t="s">
        <v>67</v>
      </c>
      <c r="C50" s="5"/>
      <c r="D50" s="7"/>
      <c r="E50" s="18"/>
      <c r="F50" s="18"/>
      <c r="G50" s="7">
        <v>151</v>
      </c>
      <c r="H50" s="7">
        <f t="shared" si="4"/>
        <v>151</v>
      </c>
      <c r="I50" s="31"/>
      <c r="J50" s="9">
        <v>1170</v>
      </c>
      <c r="K50" s="9">
        <f t="shared" si="5"/>
        <v>116.2825</v>
      </c>
      <c r="L50" s="9">
        <v>1075</v>
      </c>
      <c r="M50" s="5">
        <f>M49</f>
        <v>118</v>
      </c>
      <c r="N50" s="5">
        <v>118</v>
      </c>
      <c r="O50" s="5"/>
      <c r="P50" s="5"/>
      <c r="Q50" s="9"/>
    </row>
    <row r="51" spans="1:17" ht="21" x14ac:dyDescent="0.3">
      <c r="A51" s="5" t="s">
        <v>68</v>
      </c>
      <c r="B51" s="5" t="s">
        <v>21</v>
      </c>
      <c r="C51" s="5">
        <v>1000</v>
      </c>
      <c r="D51" s="7">
        <f>409-100-30</f>
        <v>279</v>
      </c>
      <c r="E51" s="7"/>
      <c r="F51" s="7"/>
      <c r="G51" s="7">
        <v>1049.1040000000003</v>
      </c>
      <c r="H51" s="7">
        <f t="shared" si="4"/>
        <v>770.10400000000027</v>
      </c>
      <c r="I51" s="11"/>
      <c r="J51" s="9">
        <v>1170</v>
      </c>
      <c r="K51" s="9">
        <f t="shared" si="5"/>
        <v>116.2825</v>
      </c>
      <c r="L51" s="9">
        <v>1075</v>
      </c>
      <c r="M51" s="5">
        <f>M50</f>
        <v>118</v>
      </c>
      <c r="N51" s="5">
        <v>118</v>
      </c>
      <c r="O51" s="5"/>
      <c r="P51" s="5"/>
      <c r="Q51" s="9"/>
    </row>
    <row r="52" spans="1:17" ht="21" x14ac:dyDescent="0.3">
      <c r="A52" s="5" t="s">
        <v>68</v>
      </c>
      <c r="B52" s="5" t="s">
        <v>18</v>
      </c>
      <c r="C52" s="5">
        <v>1000</v>
      </c>
      <c r="D52" s="7">
        <f>242-27-60-20</f>
        <v>135</v>
      </c>
      <c r="E52" s="7"/>
      <c r="F52" s="7"/>
      <c r="G52" s="7">
        <v>558.03500000000008</v>
      </c>
      <c r="H52" s="7">
        <f t="shared" si="4"/>
        <v>423.03500000000008</v>
      </c>
      <c r="I52" s="11"/>
      <c r="J52" s="9">
        <v>1170</v>
      </c>
      <c r="K52" s="9">
        <f t="shared" si="5"/>
        <v>116.2825</v>
      </c>
      <c r="L52" s="9">
        <v>1075</v>
      </c>
      <c r="M52" s="5">
        <f>M51</f>
        <v>118</v>
      </c>
      <c r="N52" s="5">
        <v>118</v>
      </c>
      <c r="O52" s="5"/>
      <c r="P52" s="5"/>
      <c r="Q52" s="9"/>
    </row>
    <row r="53" spans="1:17" ht="21" x14ac:dyDescent="0.3">
      <c r="A53" s="12" t="s">
        <v>69</v>
      </c>
      <c r="B53" s="12" t="s">
        <v>18</v>
      </c>
      <c r="C53" s="5">
        <v>250</v>
      </c>
      <c r="D53" s="12">
        <f>97-30</f>
        <v>67</v>
      </c>
      <c r="E53" s="12"/>
      <c r="F53" s="12"/>
      <c r="G53" s="7">
        <v>45.403999999999996</v>
      </c>
      <c r="H53" s="6">
        <f t="shared" si="4"/>
        <v>-21.596000000000004</v>
      </c>
      <c r="I53" s="11"/>
      <c r="J53" s="8">
        <v>1150</v>
      </c>
      <c r="K53" s="9">
        <f>(J53*M$61*1.0825+2500)/1000</f>
        <v>123.56409375</v>
      </c>
      <c r="L53" s="9">
        <v>1095</v>
      </c>
      <c r="M53" s="5">
        <v>140</v>
      </c>
      <c r="N53" s="5">
        <v>140</v>
      </c>
      <c r="O53" s="5"/>
      <c r="P53" s="5"/>
      <c r="Q53" s="9"/>
    </row>
    <row r="54" spans="1:17" ht="21" x14ac:dyDescent="0.3">
      <c r="A54" s="12" t="s">
        <v>70</v>
      </c>
      <c r="B54" s="12" t="s">
        <v>18</v>
      </c>
      <c r="C54" s="5">
        <v>750</v>
      </c>
      <c r="D54" s="6">
        <v>0</v>
      </c>
      <c r="E54" s="12"/>
      <c r="F54" s="12"/>
      <c r="G54" s="7">
        <v>0</v>
      </c>
      <c r="H54" s="6">
        <f t="shared" si="4"/>
        <v>0</v>
      </c>
      <c r="I54" s="11">
        <v>562</v>
      </c>
      <c r="J54" s="8">
        <v>1150</v>
      </c>
      <c r="K54" s="9">
        <f>(J54*M$61*1.0825+2500)/1000</f>
        <v>123.56409375</v>
      </c>
      <c r="L54" s="9">
        <v>1095</v>
      </c>
      <c r="M54" s="5">
        <f>M53</f>
        <v>140</v>
      </c>
      <c r="N54" s="5" t="s">
        <v>19</v>
      </c>
      <c r="O54" s="5"/>
      <c r="P54" s="5"/>
      <c r="Q54" s="9"/>
    </row>
    <row r="55" spans="1:17" ht="21" x14ac:dyDescent="0.3">
      <c r="A55" s="12" t="s">
        <v>71</v>
      </c>
      <c r="B55" s="12" t="s">
        <v>18</v>
      </c>
      <c r="C55" s="5">
        <v>10000</v>
      </c>
      <c r="D55" s="6">
        <f>2098.563-100-300-20-50-120-72-500-100-210-70-104-150-100-100-100</f>
        <v>2.5630000000001019</v>
      </c>
      <c r="E55" s="12">
        <f>10000-100-300-44</f>
        <v>9556</v>
      </c>
      <c r="F55" s="12"/>
      <c r="G55" s="7">
        <v>5440.0529999999999</v>
      </c>
      <c r="H55" s="6">
        <f t="shared" si="4"/>
        <v>5437.49</v>
      </c>
      <c r="I55" s="11"/>
      <c r="J55" s="9">
        <v>605</v>
      </c>
      <c r="K55" s="9">
        <f>(J55*M$61*1.0275+1500)/1000</f>
        <v>61.954246875000003</v>
      </c>
      <c r="L55" s="9">
        <v>670</v>
      </c>
      <c r="M55" s="5">
        <v>75</v>
      </c>
      <c r="N55" s="5" t="s">
        <v>19</v>
      </c>
      <c r="O55" s="5"/>
      <c r="P55" s="5">
        <v>67</v>
      </c>
      <c r="Q55" s="9" t="s">
        <v>5</v>
      </c>
    </row>
    <row r="56" spans="1:17" ht="21" x14ac:dyDescent="0.3">
      <c r="A56" s="12" t="s">
        <v>72</v>
      </c>
      <c r="B56" s="12" t="s">
        <v>18</v>
      </c>
      <c r="C56" s="5">
        <v>10000</v>
      </c>
      <c r="D56" s="6">
        <f>2823.69100000001-25-17-20-200-400-23-23-300-25-500-38-400-100-45-40-200-64-40</f>
        <v>363.69100000000981</v>
      </c>
      <c r="E56" s="19"/>
      <c r="F56" s="19"/>
      <c r="G56" s="7">
        <v>4322.371000000001</v>
      </c>
      <c r="H56" s="6">
        <f t="shared" si="4"/>
        <v>3958.6799999999912</v>
      </c>
      <c r="I56" s="11"/>
      <c r="J56" s="9">
        <v>605</v>
      </c>
      <c r="K56" s="9">
        <f>(J56*M$61*1.0275+1800)/1000</f>
        <v>62.254246875000007</v>
      </c>
      <c r="L56" s="9">
        <v>670</v>
      </c>
      <c r="M56" s="5">
        <v>75</v>
      </c>
      <c r="N56" s="5" t="s">
        <v>19</v>
      </c>
      <c r="O56" s="5"/>
      <c r="P56" s="5"/>
      <c r="Q56" s="9"/>
    </row>
    <row r="57" spans="1:17" ht="21" x14ac:dyDescent="0.3">
      <c r="A57" s="12" t="s">
        <v>73</v>
      </c>
      <c r="B57" s="12" t="s">
        <v>18</v>
      </c>
      <c r="C57" s="5">
        <v>10000</v>
      </c>
      <c r="D57" s="6">
        <f>7069.959-96-96-96-62-96-62-25-500-200-250-150-300-160-64-120-400-250-60-308-292-300-45-320-320-320-130-300-45-130-65-65-130-300-96-96-96-64-30-256-200-160-260</f>
        <v>-245.04100000000017</v>
      </c>
      <c r="E57" s="19">
        <f>10000-2000-700-150-65-1000-160-320-65-66-88-260-64-96-40</f>
        <v>4926</v>
      </c>
      <c r="F57" s="19"/>
      <c r="G57" s="7">
        <v>7101.4549999999999</v>
      </c>
      <c r="H57" s="6">
        <f t="shared" si="4"/>
        <v>7346.4960000000001</v>
      </c>
      <c r="I57" s="11">
        <v>14141</v>
      </c>
      <c r="J57" s="9">
        <v>605</v>
      </c>
      <c r="K57" s="9">
        <f>(J57*M$61*1.0275+1500)/1000</f>
        <v>61.954246875000003</v>
      </c>
      <c r="L57" s="9">
        <v>670</v>
      </c>
      <c r="M57" s="5">
        <v>76</v>
      </c>
      <c r="N57" s="20" t="s">
        <v>19</v>
      </c>
      <c r="O57" s="5">
        <v>66</v>
      </c>
      <c r="P57" s="5"/>
      <c r="Q57" s="9" t="s">
        <v>85</v>
      </c>
    </row>
    <row r="58" spans="1:17" ht="21" x14ac:dyDescent="0.3">
      <c r="A58" s="12" t="s">
        <v>74</v>
      </c>
      <c r="B58" s="12" t="s">
        <v>18</v>
      </c>
      <c r="C58" s="5">
        <f>4583-13</f>
        <v>4570</v>
      </c>
      <c r="D58" s="6">
        <f>1408.802-20-10-48-48-25-100-39-100-24-42-120-25-160-20-100-25-20-25-50-19-300-24-24</f>
        <v>40.801999999999907</v>
      </c>
      <c r="E58" s="6">
        <f>4000-400-410-26-150-60-250-25-72-50-750-60-60</f>
        <v>1687</v>
      </c>
      <c r="F58" s="6"/>
      <c r="G58" s="7">
        <v>4345.2120000000004</v>
      </c>
      <c r="H58" s="6">
        <f t="shared" si="4"/>
        <v>4304.4100000000008</v>
      </c>
      <c r="I58" s="11"/>
      <c r="J58" s="8">
        <v>605</v>
      </c>
      <c r="K58" s="9">
        <f>(J58*M$61*1.0275+2000)/1000</f>
        <v>62.454246875000003</v>
      </c>
      <c r="L58" s="9">
        <v>670</v>
      </c>
      <c r="M58" s="5">
        <v>79</v>
      </c>
      <c r="N58" s="5" t="s">
        <v>19</v>
      </c>
      <c r="O58" s="5">
        <v>68</v>
      </c>
      <c r="P58" s="5"/>
      <c r="Q58" s="9" t="s">
        <v>4</v>
      </c>
    </row>
    <row r="59" spans="1:17" ht="21" x14ac:dyDescent="0.3">
      <c r="A59" s="12" t="s">
        <v>75</v>
      </c>
      <c r="B59" s="12" t="s">
        <v>18</v>
      </c>
      <c r="C59" s="5">
        <v>750</v>
      </c>
      <c r="D59" s="6">
        <f>104.921-15-30-16</f>
        <v>43.921000000000006</v>
      </c>
      <c r="E59" s="6"/>
      <c r="F59" s="6"/>
      <c r="G59" s="7">
        <v>293.851</v>
      </c>
      <c r="H59" s="6">
        <f t="shared" si="4"/>
        <v>249.93</v>
      </c>
      <c r="I59" s="11">
        <v>630</v>
      </c>
      <c r="J59" s="8">
        <f>L59+90</f>
        <v>1005</v>
      </c>
      <c r="K59" s="9">
        <f>(J59*M$61*1.0275+2500)/1000</f>
        <v>102.92399687500001</v>
      </c>
      <c r="L59" s="9">
        <f>T8</f>
        <v>915</v>
      </c>
      <c r="M59" s="5">
        <v>105</v>
      </c>
      <c r="N59" s="5">
        <v>108</v>
      </c>
      <c r="O59" s="5"/>
      <c r="P59" s="5"/>
      <c r="Q59" s="9"/>
    </row>
    <row r="60" spans="1:17" ht="21.6" thickBot="1" x14ac:dyDescent="0.35">
      <c r="A60" s="12" t="s">
        <v>76</v>
      </c>
      <c r="B60" s="12" t="s">
        <v>18</v>
      </c>
      <c r="C60" s="5"/>
      <c r="D60" s="6">
        <f>875-20-30-21-25</f>
        <v>779</v>
      </c>
      <c r="E60" s="33"/>
      <c r="F60" s="33"/>
      <c r="G60" s="7">
        <f>33.41+475</f>
        <v>508.40999999999997</v>
      </c>
      <c r="H60" s="6">
        <f t="shared" si="4"/>
        <v>-270.59000000000003</v>
      </c>
      <c r="I60" s="21">
        <v>5317</v>
      </c>
      <c r="J60" s="8">
        <v>1250</v>
      </c>
      <c r="K60" s="9">
        <f>(J60*M$61*1.0825+2500)/1000</f>
        <v>134.09140625000001</v>
      </c>
      <c r="L60" s="10">
        <v>1275</v>
      </c>
      <c r="M60" s="12">
        <v>141</v>
      </c>
      <c r="N60" s="12">
        <v>138</v>
      </c>
      <c r="O60" s="12" t="s">
        <v>19</v>
      </c>
      <c r="P60" s="12"/>
      <c r="Q60" s="10"/>
    </row>
    <row r="61" spans="1:17" ht="21.6" thickBot="1" x14ac:dyDescent="0.35">
      <c r="A61" s="29"/>
      <c r="B61" s="22"/>
      <c r="C61" s="23">
        <f t="shared" ref="C61:I61" si="6">SUM(C2:C60)</f>
        <v>85660</v>
      </c>
      <c r="D61" s="6">
        <f t="shared" si="6"/>
        <v>29038.872570000007</v>
      </c>
      <c r="E61" s="6">
        <f t="shared" si="6"/>
        <v>30045.864999999998</v>
      </c>
      <c r="F61" s="6">
        <f t="shared" si="6"/>
        <v>4775</v>
      </c>
      <c r="G61" s="24">
        <f t="shared" si="6"/>
        <v>78047.984570000001</v>
      </c>
      <c r="H61" s="25">
        <f t="shared" si="6"/>
        <v>49778.915000000008</v>
      </c>
      <c r="I61" s="26">
        <f t="shared" si="6"/>
        <v>203805</v>
      </c>
      <c r="J61" s="8"/>
      <c r="K61" s="5"/>
      <c r="L61" s="5"/>
      <c r="M61" s="5">
        <v>97.25</v>
      </c>
      <c r="N61" s="5"/>
      <c r="O61" s="5"/>
      <c r="P61" s="5"/>
      <c r="Q61" s="10"/>
    </row>
    <row r="62" spans="1:17" ht="21" x14ac:dyDescent="0.3">
      <c r="A62" s="14"/>
      <c r="B62" s="27"/>
      <c r="C62" s="14"/>
      <c r="D62" s="6"/>
      <c r="E62" s="14"/>
      <c r="F62" s="14"/>
      <c r="G62" s="14"/>
      <c r="H62" s="28"/>
      <c r="I62" s="14"/>
      <c r="J62" s="14"/>
      <c r="K62" s="14"/>
      <c r="L62" s="14"/>
      <c r="M62" s="14"/>
      <c r="N62" s="14"/>
      <c r="O62" s="14"/>
      <c r="P62" s="14"/>
      <c r="Q62" s="14"/>
    </row>
    <row r="63" spans="1:17" ht="21" x14ac:dyDescent="0.3">
      <c r="A63" s="12" t="s">
        <v>57</v>
      </c>
      <c r="B63" s="12" t="s">
        <v>77</v>
      </c>
      <c r="C63" s="14"/>
      <c r="D63" s="6">
        <f>139.02-25</f>
        <v>114.02000000000001</v>
      </c>
      <c r="E63" s="6"/>
      <c r="F63" s="6"/>
      <c r="G63" s="7" t="e">
        <f>#REF!</f>
        <v>#REF!</v>
      </c>
      <c r="H63" s="6" t="e">
        <f>G63-D63</f>
        <v>#REF!</v>
      </c>
      <c r="I63" s="11">
        <v>33273</v>
      </c>
      <c r="J63" s="8">
        <v>540</v>
      </c>
      <c r="K63" s="9">
        <f>(J63*M$61+2500)/1000</f>
        <v>55.015000000000001</v>
      </c>
      <c r="L63" s="9"/>
      <c r="M63" s="5"/>
      <c r="N63" s="5">
        <v>40</v>
      </c>
      <c r="O63" s="12"/>
      <c r="P63" s="12"/>
      <c r="Q6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16C5-E693-41D3-B71E-B267520939F9}">
  <dimension ref="A1:C60"/>
  <sheetViews>
    <sheetView tabSelected="1" topLeftCell="A20" workbookViewId="0">
      <selection activeCell="B11" sqref="B11"/>
    </sheetView>
  </sheetViews>
  <sheetFormatPr defaultRowHeight="14.4" x14ac:dyDescent="0.3"/>
  <cols>
    <col min="1" max="1" width="26.5546875" style="45" customWidth="1"/>
    <col min="2" max="2" width="40.5546875" style="43" customWidth="1"/>
    <col min="3" max="3" width="33.5546875" style="44" customWidth="1"/>
    <col min="4" max="16384" width="8.88671875" style="38"/>
  </cols>
  <sheetData>
    <row r="1" spans="1:3" ht="15" thickBot="1" x14ac:dyDescent="0.35">
      <c r="A1" s="35" t="s">
        <v>115</v>
      </c>
      <c r="B1" s="36" t="s">
        <v>116</v>
      </c>
      <c r="C1" s="37" t="s">
        <v>117</v>
      </c>
    </row>
    <row r="2" spans="1:3" x14ac:dyDescent="0.3">
      <c r="A2" s="39" t="s">
        <v>76</v>
      </c>
      <c r="B2" s="40" t="s">
        <v>86</v>
      </c>
      <c r="C2" s="41"/>
    </row>
    <row r="3" spans="1:3" x14ac:dyDescent="0.3">
      <c r="A3" s="42" t="s">
        <v>54</v>
      </c>
    </row>
    <row r="4" spans="1:3" x14ac:dyDescent="0.3">
      <c r="A4" s="42" t="s">
        <v>43</v>
      </c>
    </row>
    <row r="5" spans="1:3" x14ac:dyDescent="0.3">
      <c r="A5" s="42" t="s">
        <v>44</v>
      </c>
      <c r="B5" s="43" t="s">
        <v>87</v>
      </c>
    </row>
    <row r="6" spans="1:3" x14ac:dyDescent="0.3">
      <c r="A6" s="42" t="s">
        <v>68</v>
      </c>
      <c r="B6" s="43" t="s">
        <v>88</v>
      </c>
    </row>
    <row r="7" spans="1:3" x14ac:dyDescent="0.3">
      <c r="A7" s="42" t="s">
        <v>68</v>
      </c>
    </row>
    <row r="8" spans="1:3" x14ac:dyDescent="0.3">
      <c r="A8" s="42" t="s">
        <v>64</v>
      </c>
    </row>
    <row r="9" spans="1:3" x14ac:dyDescent="0.3">
      <c r="A9" s="42" t="s">
        <v>64</v>
      </c>
    </row>
    <row r="10" spans="1:3" x14ac:dyDescent="0.3">
      <c r="A10" s="42" t="s">
        <v>38</v>
      </c>
    </row>
    <row r="11" spans="1:3" x14ac:dyDescent="0.3">
      <c r="A11" s="42" t="s">
        <v>37</v>
      </c>
      <c r="B11" s="43" t="s">
        <v>89</v>
      </c>
    </row>
    <row r="12" spans="1:3" x14ac:dyDescent="0.3">
      <c r="A12" s="42" t="s">
        <v>34</v>
      </c>
      <c r="B12" s="43" t="s">
        <v>90</v>
      </c>
    </row>
    <row r="13" spans="1:3" x14ac:dyDescent="0.3">
      <c r="A13" s="42" t="s">
        <v>34</v>
      </c>
    </row>
    <row r="14" spans="1:3" x14ac:dyDescent="0.3">
      <c r="A14" s="42" t="s">
        <v>36</v>
      </c>
    </row>
    <row r="15" spans="1:3" x14ac:dyDescent="0.3">
      <c r="A15" s="42" t="s">
        <v>36</v>
      </c>
    </row>
    <row r="16" spans="1:3" x14ac:dyDescent="0.3">
      <c r="A16" s="42" t="s">
        <v>33</v>
      </c>
      <c r="B16" s="43" t="s">
        <v>91</v>
      </c>
      <c r="C16" s="44" t="s">
        <v>92</v>
      </c>
    </row>
    <row r="17" spans="1:3" x14ac:dyDescent="0.3">
      <c r="A17" s="42" t="s">
        <v>33</v>
      </c>
      <c r="C17" s="44" t="s">
        <v>93</v>
      </c>
    </row>
    <row r="18" spans="1:3" x14ac:dyDescent="0.3">
      <c r="A18" s="42" t="s">
        <v>41</v>
      </c>
      <c r="B18" s="43" t="s">
        <v>94</v>
      </c>
    </row>
    <row r="19" spans="1:3" x14ac:dyDescent="0.3">
      <c r="A19" s="42" t="s">
        <v>57</v>
      </c>
      <c r="B19" s="43" t="s">
        <v>95</v>
      </c>
    </row>
    <row r="20" spans="1:3" x14ac:dyDescent="0.3">
      <c r="A20" s="42" t="s">
        <v>55</v>
      </c>
      <c r="B20" s="43" t="s">
        <v>96</v>
      </c>
    </row>
    <row r="21" spans="1:3" x14ac:dyDescent="0.3">
      <c r="A21" s="42" t="s">
        <v>69</v>
      </c>
      <c r="B21" s="43" t="s">
        <v>97</v>
      </c>
    </row>
    <row r="22" spans="1:3" x14ac:dyDescent="0.3">
      <c r="A22" s="42" t="s">
        <v>70</v>
      </c>
    </row>
    <row r="23" spans="1:3" x14ac:dyDescent="0.3">
      <c r="A23" s="42" t="s">
        <v>46</v>
      </c>
      <c r="B23" s="43" t="s">
        <v>46</v>
      </c>
    </row>
    <row r="24" spans="1:3" x14ac:dyDescent="0.3">
      <c r="A24" s="42" t="s">
        <v>46</v>
      </c>
    </row>
    <row r="25" spans="1:3" x14ac:dyDescent="0.3">
      <c r="A25" s="42" t="s">
        <v>53</v>
      </c>
      <c r="B25" s="43" t="s">
        <v>98</v>
      </c>
    </row>
    <row r="26" spans="1:3" x14ac:dyDescent="0.3">
      <c r="A26" s="42" t="s">
        <v>52</v>
      </c>
    </row>
    <row r="27" spans="1:3" x14ac:dyDescent="0.3">
      <c r="A27" s="42" t="s">
        <v>30</v>
      </c>
    </row>
    <row r="28" spans="1:3" x14ac:dyDescent="0.3">
      <c r="A28" s="42" t="s">
        <v>40</v>
      </c>
      <c r="B28" s="43" t="s">
        <v>99</v>
      </c>
    </row>
    <row r="29" spans="1:3" x14ac:dyDescent="0.3">
      <c r="A29" s="42" t="s">
        <v>47</v>
      </c>
    </row>
    <row r="30" spans="1:3" x14ac:dyDescent="0.3">
      <c r="A30" s="42" t="s">
        <v>72</v>
      </c>
      <c r="B30" s="43" t="s">
        <v>100</v>
      </c>
    </row>
    <row r="31" spans="1:3" x14ac:dyDescent="0.3">
      <c r="A31" s="42" t="s">
        <v>74</v>
      </c>
    </row>
    <row r="32" spans="1:3" x14ac:dyDescent="0.3">
      <c r="A32" s="42" t="s">
        <v>73</v>
      </c>
    </row>
    <row r="33" spans="1:2" x14ac:dyDescent="0.3">
      <c r="A33" s="42" t="s">
        <v>71</v>
      </c>
    </row>
    <row r="34" spans="1:2" x14ac:dyDescent="0.3">
      <c r="A34" s="42" t="s">
        <v>75</v>
      </c>
      <c r="B34" s="43" t="s">
        <v>103</v>
      </c>
    </row>
    <row r="35" spans="1:2" x14ac:dyDescent="0.3">
      <c r="A35" s="42" t="s">
        <v>28</v>
      </c>
      <c r="B35" s="43" t="s">
        <v>101</v>
      </c>
    </row>
    <row r="36" spans="1:2" x14ac:dyDescent="0.3">
      <c r="A36" s="42" t="s">
        <v>25</v>
      </c>
    </row>
    <row r="37" spans="1:2" x14ac:dyDescent="0.3">
      <c r="A37" s="42" t="s">
        <v>25</v>
      </c>
    </row>
    <row r="38" spans="1:2" x14ac:dyDescent="0.3">
      <c r="A38" s="42" t="s">
        <v>27</v>
      </c>
    </row>
    <row r="39" spans="1:2" x14ac:dyDescent="0.3">
      <c r="A39" s="42" t="s">
        <v>29</v>
      </c>
      <c r="B39" s="43" t="s">
        <v>102</v>
      </c>
    </row>
    <row r="40" spans="1:2" x14ac:dyDescent="0.3">
      <c r="A40" s="42" t="s">
        <v>29</v>
      </c>
    </row>
    <row r="41" spans="1:2" x14ac:dyDescent="0.3">
      <c r="A41" s="42" t="s">
        <v>29</v>
      </c>
    </row>
    <row r="42" spans="1:2" x14ac:dyDescent="0.3">
      <c r="A42" s="42" t="s">
        <v>45</v>
      </c>
      <c r="B42" s="43" t="s">
        <v>104</v>
      </c>
    </row>
    <row r="43" spans="1:2" x14ac:dyDescent="0.3">
      <c r="A43" s="42" t="s">
        <v>59</v>
      </c>
      <c r="B43" s="43" t="s">
        <v>106</v>
      </c>
    </row>
    <row r="44" spans="1:2" x14ac:dyDescent="0.3">
      <c r="A44" s="42" t="s">
        <v>61</v>
      </c>
    </row>
    <row r="45" spans="1:2" x14ac:dyDescent="0.3">
      <c r="A45" s="42" t="s">
        <v>61</v>
      </c>
    </row>
    <row r="46" spans="1:2" x14ac:dyDescent="0.3">
      <c r="A46" s="42" t="s">
        <v>63</v>
      </c>
    </row>
    <row r="47" spans="1:2" x14ac:dyDescent="0.3">
      <c r="A47" s="42" t="s">
        <v>63</v>
      </c>
    </row>
    <row r="48" spans="1:2" x14ac:dyDescent="0.3">
      <c r="A48" s="42" t="s">
        <v>50</v>
      </c>
      <c r="B48" s="43" t="s">
        <v>105</v>
      </c>
    </row>
    <row r="49" spans="1:3" x14ac:dyDescent="0.3">
      <c r="A49" s="42" t="s">
        <v>31</v>
      </c>
      <c r="B49" s="43" t="s">
        <v>107</v>
      </c>
    </row>
    <row r="50" spans="1:3" x14ac:dyDescent="0.3">
      <c r="A50" s="42" t="s">
        <v>32</v>
      </c>
    </row>
    <row r="51" spans="1:3" x14ac:dyDescent="0.3">
      <c r="A51" s="42" t="s">
        <v>58</v>
      </c>
      <c r="B51" s="43" t="s">
        <v>113</v>
      </c>
    </row>
    <row r="52" spans="1:3" x14ac:dyDescent="0.3">
      <c r="A52" s="42" t="s">
        <v>49</v>
      </c>
      <c r="B52" s="43" t="s">
        <v>108</v>
      </c>
    </row>
    <row r="53" spans="1:3" x14ac:dyDescent="0.3">
      <c r="A53" s="42" t="s">
        <v>66</v>
      </c>
      <c r="C53" s="44" t="s">
        <v>109</v>
      </c>
    </row>
    <row r="54" spans="1:3" x14ac:dyDescent="0.3">
      <c r="A54" s="42" t="s">
        <v>84</v>
      </c>
      <c r="B54" s="43" t="s">
        <v>114</v>
      </c>
      <c r="C54" s="44" t="s">
        <v>110</v>
      </c>
    </row>
    <row r="55" spans="1:3" x14ac:dyDescent="0.3">
      <c r="A55" s="42" t="s">
        <v>24</v>
      </c>
      <c r="B55" s="43" t="s">
        <v>78</v>
      </c>
      <c r="C55" s="44" t="s">
        <v>111</v>
      </c>
    </row>
    <row r="56" spans="1:3" x14ac:dyDescent="0.3">
      <c r="A56" s="42" t="s">
        <v>24</v>
      </c>
      <c r="C56" s="44" t="s">
        <v>112</v>
      </c>
    </row>
    <row r="57" spans="1:3" x14ac:dyDescent="0.3">
      <c r="A57" s="42" t="s">
        <v>23</v>
      </c>
    </row>
    <row r="58" spans="1:3" x14ac:dyDescent="0.3">
      <c r="A58" s="42" t="s">
        <v>17</v>
      </c>
    </row>
    <row r="59" spans="1:3" x14ac:dyDescent="0.3">
      <c r="A59" s="42" t="s">
        <v>17</v>
      </c>
    </row>
    <row r="60" spans="1:3" x14ac:dyDescent="0.3">
      <c r="A60" s="42" t="s">
        <v>22</v>
      </c>
    </row>
  </sheetData>
  <sortState xmlns:xlrd2="http://schemas.microsoft.com/office/spreadsheetml/2017/richdata2" ref="A2:A60">
    <sortCondition ref="A2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Amit Gupta</cp:lastModifiedBy>
  <dcterms:created xsi:type="dcterms:W3CDTF">2026-05-12T04:25:27Z</dcterms:created>
  <dcterms:modified xsi:type="dcterms:W3CDTF">2026-05-23T05:03:09Z</dcterms:modified>
</cp:coreProperties>
</file>