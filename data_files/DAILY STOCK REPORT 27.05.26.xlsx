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shboard-inventory\data_files\"/>
    </mc:Choice>
  </mc:AlternateContent>
  <xr:revisionPtr revIDLastSave="0" documentId="8_{29757373-3DD1-4C2C-BB60-BBFAA16B66DB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17-05-23" sheetId="1" state="hidden" r:id="rId1"/>
    <sheet name="27-05-2026" sheetId="2" state="hidden" r:id="rId2"/>
    <sheet name="27-05-2026 (2)" sheetId="4" r:id="rId3"/>
    <sheet name="17-05-23 (3)" sheetId="3" state="hidden" r:id="rId4"/>
  </sheets>
  <definedNames>
    <definedName name="_xlnm._FilterDatabase" localSheetId="0" hidden="1">'17-05-23'!$A$6:$N$208</definedName>
    <definedName name="_xlnm._FilterDatabase" localSheetId="3" hidden="1">'17-05-23 (3)'!$A$6:$N$208</definedName>
    <definedName name="_xlnm._FilterDatabase" localSheetId="1" hidden="1">'27-05-2026'!$A$2:$O$191</definedName>
    <definedName name="_xlnm._FilterDatabase" localSheetId="2" hidden="1">'27-05-2026 (2)'!$A$2:$M$76</definedName>
    <definedName name="_xlnm.Print_Area" localSheetId="1">'27-05-2026'!$B$1:$M$190</definedName>
    <definedName name="_xlnm.Print_Area" localSheetId="2">'27-05-2026 (2)'!$A$1:$K$75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3" i="4"/>
  <c r="M53" i="4"/>
  <c r="M52" i="4"/>
  <c r="M38" i="4"/>
  <c r="N53" i="4"/>
  <c r="N52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3" i="4"/>
  <c r="F75" i="4"/>
  <c r="F74" i="4"/>
  <c r="F73" i="4"/>
  <c r="F72" i="4"/>
  <c r="E71" i="4"/>
  <c r="F71" i="4" s="1"/>
  <c r="F70" i="4"/>
  <c r="F69" i="4"/>
  <c r="F68" i="4"/>
  <c r="F67" i="4"/>
  <c r="E66" i="4"/>
  <c r="F66" i="4" s="1"/>
  <c r="F65" i="4"/>
  <c r="F64" i="4"/>
  <c r="F63" i="4"/>
  <c r="F62" i="4"/>
  <c r="F61" i="4"/>
  <c r="F60" i="4"/>
  <c r="F59" i="4"/>
  <c r="E58" i="4"/>
  <c r="F58" i="4" s="1"/>
  <c r="E57" i="4"/>
  <c r="F57" i="4" s="1"/>
  <c r="E56" i="4"/>
  <c r="F56" i="4" s="1"/>
  <c r="G55" i="4"/>
  <c r="F55" i="4" s="1"/>
  <c r="F54" i="4"/>
  <c r="F53" i="4"/>
  <c r="F52" i="4"/>
  <c r="F51" i="4"/>
  <c r="E50" i="4"/>
  <c r="F50" i="4" s="1"/>
  <c r="F49" i="4"/>
  <c r="F48" i="4"/>
  <c r="E47" i="4"/>
  <c r="F47" i="4" s="1"/>
  <c r="E46" i="4"/>
  <c r="F46" i="4" s="1"/>
  <c r="F45" i="4"/>
  <c r="F44" i="4"/>
  <c r="F43" i="4"/>
  <c r="F42" i="4"/>
  <c r="G41" i="4"/>
  <c r="E41" i="4"/>
  <c r="F40" i="4"/>
  <c r="F39" i="4"/>
  <c r="G38" i="4"/>
  <c r="E38" i="4"/>
  <c r="E37" i="4"/>
  <c r="F37" i="4" s="1"/>
  <c r="F36" i="4"/>
  <c r="E35" i="4"/>
  <c r="F35" i="4" s="1"/>
  <c r="F34" i="4"/>
  <c r="E33" i="4"/>
  <c r="F33" i="4" s="1"/>
  <c r="E32" i="4"/>
  <c r="F32" i="4" s="1"/>
  <c r="F31" i="4"/>
  <c r="F30" i="4"/>
  <c r="E29" i="4"/>
  <c r="F29" i="4" s="1"/>
  <c r="F28" i="4"/>
  <c r="F27" i="4"/>
  <c r="F26" i="4"/>
  <c r="E25" i="4"/>
  <c r="F25" i="4" s="1"/>
  <c r="E24" i="4"/>
  <c r="F24" i="4" s="1"/>
  <c r="F23" i="4"/>
  <c r="F22" i="4"/>
  <c r="F21" i="4"/>
  <c r="F20" i="4"/>
  <c r="F19" i="4"/>
  <c r="E18" i="4"/>
  <c r="F18" i="4" s="1"/>
  <c r="F17" i="4"/>
  <c r="E16" i="4"/>
  <c r="F16" i="4" s="1"/>
  <c r="F15" i="4"/>
  <c r="E14" i="4"/>
  <c r="F14" i="4" s="1"/>
  <c r="F13" i="4"/>
  <c r="E12" i="4"/>
  <c r="F12" i="4" s="1"/>
  <c r="F11" i="4"/>
  <c r="E10" i="4"/>
  <c r="F10" i="4" s="1"/>
  <c r="E9" i="4"/>
  <c r="F9" i="4" s="1"/>
  <c r="F8" i="4"/>
  <c r="F7" i="4"/>
  <c r="E6" i="4"/>
  <c r="F6" i="4" s="1"/>
  <c r="F5" i="4"/>
  <c r="F4" i="4"/>
  <c r="F3" i="4"/>
  <c r="N38" i="4" l="1"/>
  <c r="F38" i="4"/>
  <c r="F41" i="4"/>
  <c r="F171" i="2" l="1"/>
  <c r="F23" i="2" l="1"/>
  <c r="F27" i="2"/>
  <c r="F147" i="2" l="1"/>
  <c r="F151" i="2"/>
  <c r="F129" i="2" l="1"/>
  <c r="I95" i="2" l="1"/>
  <c r="F135" i="2" l="1"/>
  <c r="F95" i="2" l="1"/>
  <c r="F112" i="2"/>
  <c r="F76" i="2"/>
  <c r="F117" i="2"/>
  <c r="F26" i="2"/>
  <c r="F10" i="2"/>
  <c r="F46" i="2" l="1"/>
  <c r="F48" i="2"/>
  <c r="H133" i="2" l="1"/>
  <c r="M133" i="2"/>
  <c r="F92" i="2" l="1"/>
  <c r="F87" i="2"/>
  <c r="F175" i="2" l="1"/>
  <c r="F180" i="2"/>
  <c r="F183" i="2"/>
  <c r="F104" i="2"/>
  <c r="F39" i="2" l="1"/>
  <c r="F38" i="2"/>
  <c r="F165" i="2" l="1"/>
  <c r="H165" i="2" s="1"/>
  <c r="M165" i="2"/>
  <c r="M39" i="2" l="1"/>
  <c r="H39" i="2" l="1"/>
  <c r="H132" i="2" l="1"/>
  <c r="H131" i="2" l="1"/>
  <c r="M132" i="2" l="1"/>
  <c r="M131" i="2"/>
  <c r="H137" i="2" l="1"/>
  <c r="H136" i="2" l="1"/>
  <c r="M137" i="2" l="1"/>
  <c r="M136" i="2"/>
  <c r="H149" i="2" l="1"/>
  <c r="M149" i="2"/>
  <c r="M152" i="2"/>
  <c r="M151" i="2"/>
  <c r="H152" i="2" l="1"/>
  <c r="H151" i="2"/>
  <c r="H150" i="2"/>
  <c r="M150" i="2" l="1"/>
  <c r="F154" i="2" l="1"/>
  <c r="F111" i="2" l="1"/>
  <c r="F6" i="2" l="1"/>
  <c r="F16" i="2"/>
  <c r="F70" i="2" l="1"/>
  <c r="F40" i="2" l="1"/>
  <c r="F37" i="2" l="1"/>
  <c r="F45" i="2" l="1"/>
  <c r="H148" i="2" l="1"/>
  <c r="M148" i="2"/>
  <c r="I128" i="2" l="1"/>
  <c r="F25" i="2" l="1"/>
  <c r="F62" i="2" l="1"/>
  <c r="F31" i="2" l="1"/>
  <c r="F65" i="2" l="1"/>
  <c r="H49" i="2" l="1"/>
  <c r="M49" i="2"/>
  <c r="M65" i="2" l="1"/>
  <c r="H65" i="2" l="1"/>
  <c r="I66" i="2" l="1"/>
  <c r="I68" i="2" s="1"/>
  <c r="I48" i="2"/>
  <c r="F44" i="2" l="1"/>
  <c r="F12" i="2" l="1"/>
  <c r="F67" i="2" l="1"/>
  <c r="F68" i="2" s="1"/>
  <c r="F72" i="2" l="1"/>
  <c r="F11" i="2" l="1"/>
  <c r="F51" i="2" l="1"/>
  <c r="F83" i="2" l="1"/>
  <c r="F50" i="2" l="1"/>
  <c r="F185" i="2" l="1"/>
  <c r="I63" i="2" l="1"/>
  <c r="F63" i="2"/>
  <c r="M62" i="2"/>
  <c r="H62" i="2"/>
  <c r="H147" i="2" l="1"/>
  <c r="M147" i="2"/>
  <c r="F146" i="2" l="1"/>
  <c r="H146" i="2" l="1"/>
  <c r="M146" i="2"/>
  <c r="H145" i="2" l="1"/>
  <c r="M145" i="2" l="1"/>
  <c r="H50" i="2" l="1"/>
  <c r="M50" i="2"/>
  <c r="F188" i="2" l="1"/>
  <c r="F34" i="2" l="1"/>
  <c r="F21" i="2" l="1"/>
  <c r="F174" i="2" l="1"/>
  <c r="M70" i="2" l="1"/>
  <c r="H70" i="2"/>
  <c r="M23" i="2" l="1"/>
  <c r="H23" i="2"/>
  <c r="M76" i="2" l="1"/>
  <c r="H76" i="2"/>
  <c r="F80" i="2" l="1"/>
  <c r="F90" i="2" l="1"/>
  <c r="M72" i="2" l="1"/>
  <c r="I73" i="2"/>
  <c r="H72" i="2"/>
  <c r="F99" i="2" l="1"/>
  <c r="F77" i="2"/>
  <c r="I90" i="2" l="1"/>
  <c r="I13" i="2" l="1"/>
  <c r="H12" i="2"/>
  <c r="F13" i="2"/>
  <c r="M12" i="2"/>
  <c r="I105" i="2" l="1"/>
  <c r="H104" i="2"/>
  <c r="F105" i="2"/>
  <c r="M104" i="2"/>
  <c r="H120" i="2" l="1"/>
  <c r="M120" i="2"/>
  <c r="M16" i="2" l="1"/>
  <c r="H16" i="2"/>
  <c r="M166" i="2" l="1"/>
  <c r="H166" i="2"/>
  <c r="H119" i="2" l="1"/>
  <c r="M119" i="2"/>
  <c r="H11" i="2" l="1"/>
  <c r="M11" i="2"/>
  <c r="I18" i="2"/>
  <c r="F18" i="2"/>
  <c r="M15" i="2" l="1"/>
  <c r="H15" i="2"/>
  <c r="H22" i="2" l="1"/>
  <c r="M22" i="2"/>
  <c r="H90" i="2" l="1"/>
  <c r="M90" i="2"/>
  <c r="I161" i="2" l="1"/>
  <c r="H163" i="2" l="1"/>
  <c r="M163" i="2"/>
  <c r="M167" i="2" l="1"/>
  <c r="I168" i="2"/>
  <c r="H167" i="2"/>
  <c r="H118" i="2" l="1"/>
  <c r="M118" i="2"/>
  <c r="M117" i="2"/>
  <c r="H117" i="2"/>
  <c r="H47" i="2" l="1"/>
  <c r="M47" i="2"/>
  <c r="H99" i="2" l="1"/>
  <c r="M99" i="2"/>
  <c r="M130" i="2"/>
  <c r="H130" i="2"/>
  <c r="F100" i="2"/>
  <c r="H111" i="2" l="1"/>
  <c r="M111" i="2"/>
  <c r="F168" i="2" l="1"/>
  <c r="F134" i="2" l="1"/>
  <c r="H124" i="2" l="1"/>
  <c r="I113" i="2" l="1"/>
  <c r="M112" i="2"/>
  <c r="H112" i="2"/>
  <c r="F113" i="2" l="1"/>
  <c r="H71" i="2" l="1"/>
  <c r="M71" i="2"/>
  <c r="M21" i="2" l="1"/>
  <c r="H21" i="2"/>
  <c r="M160" i="2" l="1"/>
  <c r="F160" i="2" l="1"/>
  <c r="H160" i="2" l="1"/>
  <c r="H161" i="2" s="1"/>
  <c r="F161" i="2"/>
  <c r="M46" i="2"/>
  <c r="H46" i="2"/>
  <c r="M80" i="2" l="1"/>
  <c r="H80" i="2"/>
  <c r="H183" i="2" l="1"/>
  <c r="M183" i="2"/>
  <c r="H171" i="2" l="1"/>
  <c r="M171" i="2"/>
  <c r="H103" i="2" l="1"/>
  <c r="M103" i="2"/>
  <c r="M157" i="2" l="1"/>
  <c r="H10" i="2" l="1"/>
  <c r="M10" i="2"/>
  <c r="H17" i="2" l="1"/>
  <c r="M17" i="2" l="1"/>
  <c r="F125" i="2" l="1"/>
  <c r="I125" i="2"/>
  <c r="M124" i="2"/>
  <c r="F158" i="2" l="1"/>
  <c r="I158" i="2"/>
  <c r="H157" i="2"/>
  <c r="H156" i="2" l="1"/>
  <c r="M156" i="2"/>
  <c r="I81" i="2" l="1"/>
  <c r="M180" i="2" l="1"/>
  <c r="H180" i="2"/>
  <c r="H129" i="2" l="1"/>
  <c r="M129" i="2"/>
  <c r="M128" i="2"/>
  <c r="H128" i="2"/>
  <c r="I189" i="2" l="1"/>
  <c r="H188" i="2"/>
  <c r="F189" i="2"/>
  <c r="M188" i="2"/>
  <c r="H51" i="2" l="1"/>
  <c r="M51" i="2"/>
  <c r="H25" i="2" l="1"/>
  <c r="M25" i="2" l="1"/>
  <c r="H40" i="2" l="1"/>
  <c r="M40" i="2"/>
  <c r="M92" i="2" l="1"/>
  <c r="H92" i="2"/>
  <c r="M91" i="2"/>
  <c r="H91" i="2"/>
  <c r="M89" i="2"/>
  <c r="M88" i="2"/>
  <c r="H89" i="2" l="1"/>
  <c r="H88" i="2"/>
  <c r="H144" i="2" l="1"/>
  <c r="M144" i="2"/>
  <c r="H143" i="2" l="1"/>
  <c r="M143" i="2"/>
  <c r="H142" i="2"/>
  <c r="M142" i="2"/>
  <c r="M134" i="2" l="1"/>
  <c r="H134" i="2"/>
  <c r="M87" i="2" l="1"/>
  <c r="H87" i="2"/>
  <c r="H95" i="2" l="1"/>
  <c r="M95" i="2"/>
  <c r="H52" i="2" l="1"/>
  <c r="M52" i="2"/>
  <c r="H26" i="2" l="1"/>
  <c r="M26" i="2"/>
  <c r="H41" i="2" l="1"/>
  <c r="M41" i="2"/>
  <c r="H6" i="2" l="1"/>
  <c r="M6" i="2"/>
  <c r="I53" i="2" l="1"/>
  <c r="H155" i="2" l="1"/>
  <c r="M155" i="2"/>
  <c r="H100" i="2" l="1"/>
  <c r="M100" i="2"/>
  <c r="M61" i="2" l="1"/>
  <c r="H61" i="2"/>
  <c r="H63" i="2" s="1"/>
  <c r="I101" i="2" l="1"/>
  <c r="F53" i="2" l="1"/>
  <c r="H123" i="2" l="1"/>
  <c r="M123" i="2"/>
  <c r="M135" i="2" l="1"/>
  <c r="H135" i="2"/>
  <c r="H138" i="2"/>
  <c r="M138" i="2"/>
  <c r="M94" i="2" l="1"/>
  <c r="H94" i="2"/>
  <c r="H164" i="2" l="1"/>
  <c r="M164" i="2"/>
  <c r="H185" i="2" l="1"/>
  <c r="M185" i="2"/>
  <c r="H97" i="2" l="1"/>
  <c r="M97" i="2"/>
  <c r="M110" i="2" l="1"/>
  <c r="H110" i="2"/>
  <c r="H113" i="2" s="1"/>
  <c r="H5" i="2" l="1"/>
  <c r="M5" i="2"/>
  <c r="H48" i="2" l="1"/>
  <c r="M48" i="2"/>
  <c r="M174" i="2" l="1"/>
  <c r="H174" i="2"/>
  <c r="I56" i="2" l="1"/>
  <c r="F56" i="2"/>
  <c r="M55" i="2"/>
  <c r="H55" i="2"/>
  <c r="F81" i="2" l="1"/>
  <c r="I84" i="2" l="1"/>
  <c r="F84" i="2"/>
  <c r="G84" i="2" s="1"/>
  <c r="M83" i="2"/>
  <c r="H83" i="2"/>
  <c r="H84" i="2" s="1"/>
  <c r="H168" i="2" l="1"/>
  <c r="I108" i="2" l="1"/>
  <c r="H116" i="2" l="1"/>
  <c r="M116" i="2"/>
  <c r="H9" i="2" l="1"/>
  <c r="M9" i="2"/>
  <c r="H182" i="2" l="1"/>
  <c r="M182" i="2"/>
  <c r="H175" i="2" l="1"/>
  <c r="M175" i="2" l="1"/>
  <c r="H98" i="2" l="1"/>
  <c r="M98" i="2"/>
  <c r="H4" i="2" l="1"/>
  <c r="M4" i="2"/>
  <c r="M20" i="2" l="1"/>
  <c r="H20" i="2"/>
  <c r="H105" i="2" l="1"/>
  <c r="H154" i="2" l="1"/>
  <c r="M154" i="2"/>
  <c r="H153" i="2"/>
  <c r="M153" i="2"/>
  <c r="I172" i="2" l="1"/>
  <c r="F172" i="2"/>
  <c r="M170" i="2"/>
  <c r="H170" i="2"/>
  <c r="H172" i="2" l="1"/>
  <c r="M96" i="2" l="1"/>
  <c r="H96" i="2"/>
  <c r="H122" i="2" l="1"/>
  <c r="M122" i="2"/>
  <c r="M179" i="2" l="1"/>
  <c r="H179" i="2"/>
  <c r="H184" i="2" l="1"/>
  <c r="M184" i="2"/>
  <c r="F108" i="2" l="1"/>
  <c r="H181" i="2" l="1"/>
  <c r="M181" i="2"/>
  <c r="G56" i="2" l="1"/>
  <c r="H56" i="2"/>
  <c r="H141" i="2" l="1"/>
  <c r="M141" i="2"/>
  <c r="M86" i="2" l="1"/>
  <c r="H86" i="2"/>
  <c r="H187" i="2" l="1"/>
  <c r="M187" i="2"/>
  <c r="H186" i="2" l="1"/>
  <c r="M186" i="2"/>
  <c r="I28" i="2" l="1"/>
  <c r="H27" i="2"/>
  <c r="M27" i="2"/>
  <c r="F42" i="2" l="1"/>
  <c r="H93" i="2" l="1"/>
  <c r="M93" i="2"/>
  <c r="H75" i="2" l="1"/>
  <c r="M75" i="2"/>
  <c r="H176" i="2" l="1"/>
  <c r="I177" i="2"/>
  <c r="M176" i="2"/>
  <c r="F28" i="2" l="1"/>
  <c r="H189" i="2" l="1"/>
  <c r="H107" i="2"/>
  <c r="M107" i="2"/>
  <c r="F177" i="2" l="1"/>
  <c r="H3" i="2" l="1"/>
  <c r="M3" i="2"/>
  <c r="M121" i="2" l="1"/>
  <c r="H121" i="2"/>
  <c r="M140" i="2" l="1"/>
  <c r="H140" i="2"/>
  <c r="F73" i="2" l="1"/>
  <c r="H38" i="2" l="1"/>
  <c r="M38" i="2"/>
  <c r="G63" i="2" l="1"/>
  <c r="H45" i="2" l="1"/>
  <c r="M45" i="2"/>
  <c r="M139" i="2" l="1"/>
  <c r="H139" i="2"/>
  <c r="I78" i="2" l="1"/>
  <c r="I59" i="2" l="1"/>
  <c r="I42" i="2" l="1"/>
  <c r="I35" i="2"/>
  <c r="I32" i="2" l="1"/>
  <c r="I190" i="2" l="1"/>
  <c r="F101" i="2"/>
  <c r="H108" i="2" l="1"/>
  <c r="M24" i="2" l="1"/>
  <c r="H24" i="2"/>
  <c r="M77" i="2" l="1"/>
  <c r="H77" i="2"/>
  <c r="F78" i="2" l="1"/>
  <c r="M37" i="2" l="1"/>
  <c r="H37" i="2"/>
  <c r="H42" i="2" s="1"/>
  <c r="M115" i="2"/>
  <c r="H115" i="2"/>
  <c r="H177" i="2" l="1"/>
  <c r="H8" i="2" l="1"/>
  <c r="M8" i="2"/>
  <c r="M127" i="2" l="1"/>
  <c r="H127" i="2"/>
  <c r="H158" i="2" s="1"/>
  <c r="M58" i="2" l="1"/>
  <c r="H58" i="2"/>
  <c r="M7" i="2" l="1"/>
  <c r="H7" i="2"/>
  <c r="H13" i="2" s="1"/>
  <c r="H125" i="2" l="1"/>
  <c r="H18" i="2" l="1"/>
  <c r="M30" i="2" l="1"/>
  <c r="H30" i="2"/>
  <c r="M44" i="2"/>
  <c r="H44" i="2"/>
  <c r="H53" i="2" s="1"/>
  <c r="H81" i="2" l="1"/>
  <c r="F35" i="2" l="1"/>
  <c r="G35" i="2" s="1"/>
  <c r="M34" i="2"/>
  <c r="H34" i="2"/>
  <c r="H35" i="2" s="1"/>
  <c r="F32" i="2" l="1"/>
  <c r="G18" i="2" l="1"/>
  <c r="F59" i="2" l="1"/>
  <c r="M31" i="2" l="1"/>
  <c r="H31" i="2"/>
  <c r="H73" i="2" l="1"/>
  <c r="H32" i="2" l="1"/>
  <c r="M67" i="2" l="1"/>
  <c r="H67" i="2" l="1"/>
  <c r="G78" i="2" l="1"/>
  <c r="G108" i="2" l="1"/>
  <c r="H28" i="2" l="1"/>
  <c r="H78" i="2" l="1"/>
  <c r="H59" i="2" l="1"/>
  <c r="H101" i="2" l="1"/>
  <c r="M66" i="2" l="1"/>
  <c r="H66" i="2"/>
  <c r="H68" i="2" s="1"/>
  <c r="G32" i="2" l="1"/>
  <c r="G113" i="2" l="1"/>
  <c r="G68" i="2" l="1"/>
  <c r="G73" i="2" l="1"/>
  <c r="G168" i="2" l="1"/>
  <c r="G101" i="2" l="1"/>
  <c r="G81" i="2" l="1"/>
  <c r="G105" i="2" l="1"/>
  <c r="G28" i="2" l="1"/>
  <c r="H204" i="3" l="1"/>
  <c r="G204" i="3"/>
  <c r="H203" i="3"/>
  <c r="G203" i="3"/>
  <c r="E203" i="3" s="1"/>
  <c r="H202" i="3"/>
  <c r="G202" i="3"/>
  <c r="H201" i="3"/>
  <c r="G201" i="3"/>
  <c r="H200" i="3"/>
  <c r="G200" i="3"/>
  <c r="E200" i="3" s="1"/>
  <c r="H199" i="3"/>
  <c r="G199" i="3"/>
  <c r="E199" i="3" s="1"/>
  <c r="H198" i="3"/>
  <c r="G198" i="3"/>
  <c r="E197" i="3"/>
  <c r="H196" i="3"/>
  <c r="G196" i="3"/>
  <c r="H194" i="3"/>
  <c r="G194" i="3"/>
  <c r="E193" i="3"/>
  <c r="E194" i="3" s="1"/>
  <c r="F194" i="3" s="1"/>
  <c r="H190" i="3"/>
  <c r="G190" i="3"/>
  <c r="H189" i="3"/>
  <c r="G189" i="3"/>
  <c r="E188" i="3"/>
  <c r="H185" i="3"/>
  <c r="H186" i="3" s="1"/>
  <c r="G185" i="3"/>
  <c r="G184" i="3"/>
  <c r="E184" i="3" s="1"/>
  <c r="E181" i="3"/>
  <c r="E180" i="3"/>
  <c r="H179" i="3"/>
  <c r="G179" i="3"/>
  <c r="H178" i="3"/>
  <c r="G178" i="3"/>
  <c r="G182" i="3" s="1"/>
  <c r="H175" i="3"/>
  <c r="G175" i="3"/>
  <c r="H174" i="3"/>
  <c r="G174" i="3"/>
  <c r="H173" i="3"/>
  <c r="G173" i="3"/>
  <c r="E172" i="3"/>
  <c r="E171" i="3"/>
  <c r="E170" i="3"/>
  <c r="E169" i="3"/>
  <c r="H166" i="3"/>
  <c r="G166" i="3"/>
  <c r="E165" i="3"/>
  <c r="H164" i="3"/>
  <c r="G164" i="3"/>
  <c r="E164" i="3" s="1"/>
  <c r="H161" i="3"/>
  <c r="G161" i="3"/>
  <c r="H160" i="3"/>
  <c r="G160" i="3"/>
  <c r="H159" i="3"/>
  <c r="G159" i="3"/>
  <c r="H158" i="3"/>
  <c r="G158" i="3"/>
  <c r="E157" i="3"/>
  <c r="H156" i="3"/>
  <c r="G156" i="3"/>
  <c r="H155" i="3"/>
  <c r="G155" i="3"/>
  <c r="H154" i="3"/>
  <c r="G154" i="3"/>
  <c r="E151" i="3"/>
  <c r="H150" i="3"/>
  <c r="G150" i="3"/>
  <c r="H149" i="3"/>
  <c r="G149" i="3"/>
  <c r="E148" i="3"/>
  <c r="H147" i="3"/>
  <c r="G147" i="3"/>
  <c r="E146" i="3"/>
  <c r="E143" i="3"/>
  <c r="H142" i="3"/>
  <c r="G142" i="3"/>
  <c r="G144" i="3" s="1"/>
  <c r="E141" i="3"/>
  <c r="H138" i="3"/>
  <c r="G138" i="3"/>
  <c r="E137" i="3"/>
  <c r="H136" i="3"/>
  <c r="G136" i="3"/>
  <c r="E133" i="3"/>
  <c r="H132" i="3"/>
  <c r="G132" i="3"/>
  <c r="G134" i="3" s="1"/>
  <c r="E131" i="3"/>
  <c r="H128" i="3"/>
  <c r="H129" i="3" s="1"/>
  <c r="G128" i="3"/>
  <c r="G129" i="3" s="1"/>
  <c r="E127" i="3"/>
  <c r="H124" i="3"/>
  <c r="G124" i="3"/>
  <c r="H123" i="3"/>
  <c r="G123" i="3"/>
  <c r="G121" i="3"/>
  <c r="H120" i="3"/>
  <c r="H121" i="3" s="1"/>
  <c r="H119" i="3"/>
  <c r="E119" i="3" s="1"/>
  <c r="H118" i="3"/>
  <c r="E118" i="3" s="1"/>
  <c r="G115" i="3"/>
  <c r="E115" i="3" s="1"/>
  <c r="G114" i="3"/>
  <c r="E114" i="3" s="1"/>
  <c r="G113" i="3"/>
  <c r="E113" i="3" s="1"/>
  <c r="H112" i="3"/>
  <c r="G112" i="3"/>
  <c r="H111" i="3"/>
  <c r="G111" i="3"/>
  <c r="H110" i="3"/>
  <c r="G110" i="3"/>
  <c r="E109" i="3"/>
  <c r="H108" i="3"/>
  <c r="G108" i="3"/>
  <c r="H107" i="3"/>
  <c r="G107" i="3"/>
  <c r="H106" i="3"/>
  <c r="G106" i="3"/>
  <c r="E105" i="3"/>
  <c r="E104" i="3"/>
  <c r="E103" i="3"/>
  <c r="E100" i="3"/>
  <c r="H99" i="3"/>
  <c r="G99" i="3"/>
  <c r="H98" i="3"/>
  <c r="G98" i="3"/>
  <c r="H95" i="3"/>
  <c r="E95" i="3" s="1"/>
  <c r="H94" i="3"/>
  <c r="G94" i="3"/>
  <c r="H93" i="3"/>
  <c r="G93" i="3"/>
  <c r="H92" i="3"/>
  <c r="G92" i="3"/>
  <c r="H89" i="3"/>
  <c r="H90" i="3" s="1"/>
  <c r="G89" i="3"/>
  <c r="G90" i="3" s="1"/>
  <c r="E88" i="3"/>
  <c r="H85" i="3"/>
  <c r="H86" i="3" s="1"/>
  <c r="G85" i="3"/>
  <c r="G86" i="3" s="1"/>
  <c r="H82" i="3"/>
  <c r="G82" i="3"/>
  <c r="H81" i="3"/>
  <c r="G81" i="3"/>
  <c r="H80" i="3"/>
  <c r="G80" i="3"/>
  <c r="E79" i="3"/>
  <c r="H78" i="3"/>
  <c r="E78" i="3" s="1"/>
  <c r="H77" i="3"/>
  <c r="G77" i="3"/>
  <c r="H76" i="3"/>
  <c r="G76" i="3"/>
  <c r="E75" i="3"/>
  <c r="H74" i="3"/>
  <c r="H72" i="3"/>
  <c r="G72" i="3"/>
  <c r="E71" i="3"/>
  <c r="E72" i="3" s="1"/>
  <c r="F72" i="3" s="1"/>
  <c r="H69" i="3"/>
  <c r="G69" i="3"/>
  <c r="E68" i="3"/>
  <c r="E67" i="3"/>
  <c r="H64" i="3"/>
  <c r="G64" i="3"/>
  <c r="H63" i="3"/>
  <c r="G63" i="3"/>
  <c r="E62" i="3"/>
  <c r="H61" i="3"/>
  <c r="G61" i="3"/>
  <c r="H60" i="3"/>
  <c r="G60" i="3"/>
  <c r="H59" i="3"/>
  <c r="H56" i="3"/>
  <c r="G56" i="3"/>
  <c r="H55" i="3"/>
  <c r="G55" i="3"/>
  <c r="E54" i="3"/>
  <c r="E53" i="3"/>
  <c r="H52" i="3"/>
  <c r="G52" i="3"/>
  <c r="E51" i="3"/>
  <c r="H48" i="3"/>
  <c r="G48" i="3"/>
  <c r="H47" i="3"/>
  <c r="G47" i="3"/>
  <c r="E46" i="3"/>
  <c r="E45" i="3"/>
  <c r="E44" i="3"/>
  <c r="H43" i="3"/>
  <c r="G43" i="3"/>
  <c r="H42" i="3"/>
  <c r="G42" i="3"/>
  <c r="E41" i="3"/>
  <c r="E40" i="3"/>
  <c r="E39" i="3"/>
  <c r="E36" i="3"/>
  <c r="G35" i="3"/>
  <c r="E35" i="3" s="1"/>
  <c r="H34" i="3"/>
  <c r="G34" i="3"/>
  <c r="G33" i="3"/>
  <c r="E33" i="3" s="1"/>
  <c r="E32" i="3"/>
  <c r="E31" i="3"/>
  <c r="H30" i="3"/>
  <c r="G30" i="3"/>
  <c r="E29" i="3"/>
  <c r="E28" i="3"/>
  <c r="E27" i="3"/>
  <c r="H25" i="3"/>
  <c r="G25" i="3"/>
  <c r="E24" i="3"/>
  <c r="E23" i="3"/>
  <c r="E22" i="3"/>
  <c r="H19" i="3"/>
  <c r="H20" i="3" s="1"/>
  <c r="G19" i="3"/>
  <c r="G20" i="3" s="1"/>
  <c r="H18" i="3"/>
  <c r="G18" i="3"/>
  <c r="E15" i="3"/>
  <c r="H14" i="3"/>
  <c r="G14" i="3"/>
  <c r="H13" i="3"/>
  <c r="G13" i="3"/>
  <c r="H12" i="3"/>
  <c r="G12" i="3"/>
  <c r="E11" i="3"/>
  <c r="H10" i="3"/>
  <c r="G10" i="3"/>
  <c r="H9" i="3"/>
  <c r="G9" i="3"/>
  <c r="H8" i="3"/>
  <c r="G8" i="3"/>
  <c r="E202" i="3" l="1"/>
  <c r="E185" i="3"/>
  <c r="E160" i="3"/>
  <c r="H101" i="3"/>
  <c r="E156" i="3"/>
  <c r="E93" i="3"/>
  <c r="E112" i="3"/>
  <c r="E12" i="3"/>
  <c r="E201" i="3"/>
  <c r="E190" i="3"/>
  <c r="E34" i="3"/>
  <c r="E77" i="3"/>
  <c r="E94" i="3"/>
  <c r="E10" i="3"/>
  <c r="E18" i="3"/>
  <c r="E55" i="3"/>
  <c r="E155" i="3"/>
  <c r="E63" i="3"/>
  <c r="E82" i="3"/>
  <c r="E175" i="3"/>
  <c r="E107" i="3"/>
  <c r="E30" i="3"/>
  <c r="E64" i="3"/>
  <c r="G139" i="3"/>
  <c r="H152" i="3"/>
  <c r="E154" i="3"/>
  <c r="H167" i="3"/>
  <c r="H116" i="3"/>
  <c r="E13" i="3"/>
  <c r="E111" i="3"/>
  <c r="E198" i="3"/>
  <c r="H83" i="3"/>
  <c r="G83" i="3"/>
  <c r="G152" i="3"/>
  <c r="E158" i="3"/>
  <c r="E178" i="3"/>
  <c r="G176" i="3"/>
  <c r="E61" i="3"/>
  <c r="E159" i="3"/>
  <c r="H176" i="3"/>
  <c r="E179" i="3"/>
  <c r="H49" i="3"/>
  <c r="E81" i="3"/>
  <c r="G191" i="3"/>
  <c r="G49" i="3"/>
  <c r="H96" i="3"/>
  <c r="G101" i="3"/>
  <c r="G116" i="3"/>
  <c r="E110" i="3"/>
  <c r="E123" i="3"/>
  <c r="E166" i="3"/>
  <c r="E174" i="3"/>
  <c r="E25" i="3"/>
  <c r="F25" i="3" s="1"/>
  <c r="E106" i="3"/>
  <c r="E48" i="3"/>
  <c r="E138" i="3"/>
  <c r="E14" i="3"/>
  <c r="E43" i="3"/>
  <c r="E69" i="3"/>
  <c r="F69" i="3" s="1"/>
  <c r="E80" i="3"/>
  <c r="G125" i="3"/>
  <c r="E132" i="3"/>
  <c r="E134" i="3" s="1"/>
  <c r="F134" i="3" s="1"/>
  <c r="G162" i="3"/>
  <c r="E161" i="3"/>
  <c r="H37" i="3"/>
  <c r="G57" i="3"/>
  <c r="E56" i="3"/>
  <c r="E76" i="3"/>
  <c r="E99" i="3"/>
  <c r="E120" i="3"/>
  <c r="E121" i="3" s="1"/>
  <c r="F121" i="3" s="1"/>
  <c r="H125" i="3"/>
  <c r="H57" i="3"/>
  <c r="H65" i="3"/>
  <c r="G167" i="3"/>
  <c r="E37" i="3"/>
  <c r="F37" i="3" s="1"/>
  <c r="G65" i="3"/>
  <c r="E142" i="3"/>
  <c r="E144" i="3" s="1"/>
  <c r="F144" i="3" s="1"/>
  <c r="E149" i="3"/>
  <c r="G205" i="3"/>
  <c r="E8" i="3"/>
  <c r="E60" i="3"/>
  <c r="H139" i="3"/>
  <c r="E167" i="3"/>
  <c r="F167" i="3" s="1"/>
  <c r="E186" i="3"/>
  <c r="F186" i="3" s="1"/>
  <c r="H191" i="3"/>
  <c r="E196" i="3"/>
  <c r="G16" i="3"/>
  <c r="E9" i="3"/>
  <c r="E47" i="3"/>
  <c r="G96" i="3"/>
  <c r="E108" i="3"/>
  <c r="E150" i="3"/>
  <c r="E173" i="3"/>
  <c r="G186" i="3"/>
  <c r="E204" i="3"/>
  <c r="G37" i="3"/>
  <c r="E59" i="3"/>
  <c r="E74" i="3"/>
  <c r="E92" i="3"/>
  <c r="H182" i="3"/>
  <c r="E189" i="3"/>
  <c r="H134" i="3"/>
  <c r="H144" i="3"/>
  <c r="E42" i="3"/>
  <c r="E85" i="3"/>
  <c r="E86" i="3" s="1"/>
  <c r="F86" i="3" s="1"/>
  <c r="E128" i="3"/>
  <c r="E129" i="3" s="1"/>
  <c r="F129" i="3" s="1"/>
  <c r="E136" i="3"/>
  <c r="E19" i="3"/>
  <c r="E20" i="3" s="1"/>
  <c r="F20" i="3" s="1"/>
  <c r="H162" i="3"/>
  <c r="H205" i="3"/>
  <c r="H16" i="3"/>
  <c r="E147" i="3"/>
  <c r="E52" i="3"/>
  <c r="E89" i="3"/>
  <c r="E90" i="3" s="1"/>
  <c r="F90" i="3" s="1"/>
  <c r="E98" i="3"/>
  <c r="E124" i="3"/>
  <c r="E96" i="3" l="1"/>
  <c r="F96" i="3" s="1"/>
  <c r="E83" i="3"/>
  <c r="F83" i="3" s="1"/>
  <c r="E57" i="3"/>
  <c r="F57" i="3" s="1"/>
  <c r="E101" i="3"/>
  <c r="F101" i="3" s="1"/>
  <c r="E162" i="3"/>
  <c r="F162" i="3" s="1"/>
  <c r="E49" i="3"/>
  <c r="F49" i="3" s="1"/>
  <c r="E191" i="3"/>
  <c r="F191" i="3" s="1"/>
  <c r="E125" i="3"/>
  <c r="F125" i="3" s="1"/>
  <c r="E139" i="3"/>
  <c r="F139" i="3" s="1"/>
  <c r="E116" i="3"/>
  <c r="F116" i="3" s="1"/>
  <c r="E176" i="3"/>
  <c r="F176" i="3" s="1"/>
  <c r="E152" i="3"/>
  <c r="F152" i="3" s="1"/>
  <c r="G206" i="3"/>
  <c r="E16" i="3"/>
  <c r="F16" i="3" s="1"/>
  <c r="E65" i="3"/>
  <c r="F65" i="3" s="1"/>
  <c r="E182" i="3"/>
  <c r="F182" i="3" s="1"/>
  <c r="E205" i="3"/>
  <c r="F205" i="3" s="1"/>
  <c r="H206" i="3"/>
  <c r="G124" i="1"/>
  <c r="F206" i="3" l="1"/>
  <c r="G114" i="1"/>
  <c r="E114" i="1" s="1"/>
  <c r="H160" i="1" l="1"/>
  <c r="E160" i="1" s="1"/>
  <c r="G160" i="1"/>
  <c r="H60" i="1"/>
  <c r="G60" i="1"/>
  <c r="H63" i="1"/>
  <c r="G63" i="1"/>
  <c r="H118" i="1"/>
  <c r="E118" i="1" s="1"/>
  <c r="H119" i="1"/>
  <c r="E119" i="1" s="1"/>
  <c r="H81" i="1"/>
  <c r="G81" i="1"/>
  <c r="E81" i="1" s="1"/>
  <c r="H47" i="1"/>
  <c r="G47" i="1"/>
  <c r="E44" i="1"/>
  <c r="H13" i="1"/>
  <c r="G13" i="1"/>
  <c r="E13" i="1" l="1"/>
  <c r="E63" i="1"/>
  <c r="E60" i="1"/>
  <c r="E47" i="1"/>
  <c r="H173" i="1"/>
  <c r="G173" i="1"/>
  <c r="H174" i="1"/>
  <c r="G174" i="1"/>
  <c r="E170" i="1"/>
  <c r="E171" i="1"/>
  <c r="H155" i="1"/>
  <c r="G155" i="1"/>
  <c r="H149" i="1"/>
  <c r="G149" i="1"/>
  <c r="E174" i="1" l="1"/>
  <c r="E173" i="1"/>
  <c r="E155" i="1"/>
  <c r="E149" i="1"/>
  <c r="H110" i="1"/>
  <c r="G110" i="1"/>
  <c r="E40" i="1"/>
  <c r="E31" i="1"/>
  <c r="H18" i="1"/>
  <c r="G18" i="1"/>
  <c r="E18" i="1" l="1"/>
  <c r="E110" i="1"/>
  <c r="H204" i="1"/>
  <c r="G204" i="1"/>
  <c r="H203" i="1"/>
  <c r="E203" i="1" s="1"/>
  <c r="G203" i="1"/>
  <c r="H202" i="1"/>
  <c r="G202" i="1"/>
  <c r="H201" i="1"/>
  <c r="G201" i="1"/>
  <c r="H200" i="1"/>
  <c r="G200" i="1"/>
  <c r="H199" i="1"/>
  <c r="G199" i="1"/>
  <c r="H198" i="1"/>
  <c r="G198" i="1"/>
  <c r="H196" i="1"/>
  <c r="G196" i="1"/>
  <c r="H194" i="1"/>
  <c r="G194" i="1"/>
  <c r="E193" i="1"/>
  <c r="E194" i="1" s="1"/>
  <c r="F194" i="1" s="1"/>
  <c r="H190" i="1"/>
  <c r="G190" i="1"/>
  <c r="H189" i="1"/>
  <c r="G189" i="1"/>
  <c r="E188" i="1"/>
  <c r="H185" i="1"/>
  <c r="H186" i="1" s="1"/>
  <c r="G185" i="1"/>
  <c r="G184" i="1"/>
  <c r="E184" i="1" s="1"/>
  <c r="E181" i="1"/>
  <c r="E180" i="1"/>
  <c r="H179" i="1"/>
  <c r="G179" i="1"/>
  <c r="H178" i="1"/>
  <c r="G178" i="1"/>
  <c r="H175" i="1"/>
  <c r="G175" i="1"/>
  <c r="E169" i="1"/>
  <c r="H166" i="1"/>
  <c r="G166" i="1"/>
  <c r="E165" i="1"/>
  <c r="H164" i="1"/>
  <c r="G164" i="1"/>
  <c r="G167" i="1" s="1"/>
  <c r="H161" i="1"/>
  <c r="G161" i="1"/>
  <c r="H159" i="1"/>
  <c r="G159" i="1"/>
  <c r="H158" i="1"/>
  <c r="G158" i="1"/>
  <c r="E157" i="1"/>
  <c r="H156" i="1"/>
  <c r="G156" i="1"/>
  <c r="H154" i="1"/>
  <c r="G154" i="1"/>
  <c r="E151" i="1"/>
  <c r="H150" i="1"/>
  <c r="G150" i="1"/>
  <c r="E148" i="1"/>
  <c r="H147" i="1"/>
  <c r="H152" i="1" s="1"/>
  <c r="G147" i="1"/>
  <c r="G152" i="1" s="1"/>
  <c r="E146" i="1"/>
  <c r="E143" i="1"/>
  <c r="H142" i="1"/>
  <c r="H144" i="1" s="1"/>
  <c r="G142" i="1"/>
  <c r="G144" i="1" s="1"/>
  <c r="E141" i="1"/>
  <c r="H138" i="1"/>
  <c r="G138" i="1"/>
  <c r="E137" i="1"/>
  <c r="H136" i="1"/>
  <c r="G136" i="1"/>
  <c r="E133" i="1"/>
  <c r="H132" i="1"/>
  <c r="H134" i="1" s="1"/>
  <c r="G132" i="1"/>
  <c r="G134" i="1" s="1"/>
  <c r="E131" i="1"/>
  <c r="H128" i="1"/>
  <c r="H129" i="1" s="1"/>
  <c r="G128" i="1"/>
  <c r="G129" i="1" s="1"/>
  <c r="E127" i="1"/>
  <c r="H124" i="1"/>
  <c r="E124" i="1" s="1"/>
  <c r="H123" i="1"/>
  <c r="G123" i="1"/>
  <c r="G121" i="1"/>
  <c r="H120" i="1"/>
  <c r="E120" i="1" s="1"/>
  <c r="E121" i="1" s="1"/>
  <c r="F121" i="1" s="1"/>
  <c r="G115" i="1"/>
  <c r="E115" i="1" s="1"/>
  <c r="G113" i="1"/>
  <c r="E113" i="1" s="1"/>
  <c r="H112" i="1"/>
  <c r="G112" i="1"/>
  <c r="H111" i="1"/>
  <c r="G111" i="1"/>
  <c r="E109" i="1"/>
  <c r="H108" i="1"/>
  <c r="G108" i="1"/>
  <c r="H107" i="1"/>
  <c r="G107" i="1"/>
  <c r="H106" i="1"/>
  <c r="G106" i="1"/>
  <c r="E105" i="1"/>
  <c r="E104" i="1"/>
  <c r="E103" i="1"/>
  <c r="E100" i="1"/>
  <c r="H99" i="1"/>
  <c r="G99" i="1"/>
  <c r="H98" i="1"/>
  <c r="G98" i="1"/>
  <c r="H95" i="1"/>
  <c r="E95" i="1" s="1"/>
  <c r="H94" i="1"/>
  <c r="G94" i="1"/>
  <c r="H93" i="1"/>
  <c r="G93" i="1"/>
  <c r="H92" i="1"/>
  <c r="G92" i="1"/>
  <c r="H89" i="1"/>
  <c r="G89" i="1"/>
  <c r="G90" i="1" s="1"/>
  <c r="E88" i="1"/>
  <c r="H85" i="1"/>
  <c r="H86" i="1" s="1"/>
  <c r="G85" i="1"/>
  <c r="G86" i="1" s="1"/>
  <c r="H82" i="1"/>
  <c r="G82" i="1"/>
  <c r="H80" i="1"/>
  <c r="G80" i="1"/>
  <c r="E79" i="1"/>
  <c r="H78" i="1"/>
  <c r="E78" i="1" s="1"/>
  <c r="H77" i="1"/>
  <c r="G77" i="1"/>
  <c r="H76" i="1"/>
  <c r="G76" i="1"/>
  <c r="E75" i="1"/>
  <c r="H74" i="1"/>
  <c r="E74" i="1" s="1"/>
  <c r="H72" i="1"/>
  <c r="G72" i="1"/>
  <c r="E71" i="1"/>
  <c r="E72" i="1" s="1"/>
  <c r="F72" i="1" s="1"/>
  <c r="H69" i="1"/>
  <c r="G69" i="1"/>
  <c r="E68" i="1"/>
  <c r="E67" i="1"/>
  <c r="H64" i="1"/>
  <c r="G64" i="1"/>
  <c r="E62" i="1"/>
  <c r="H61" i="1"/>
  <c r="G61" i="1"/>
  <c r="H59" i="1"/>
  <c r="E59" i="1" s="1"/>
  <c r="H56" i="1"/>
  <c r="G56" i="1"/>
  <c r="H55" i="1"/>
  <c r="G55" i="1"/>
  <c r="E54" i="1"/>
  <c r="E53" i="1"/>
  <c r="H52" i="1"/>
  <c r="G52" i="1"/>
  <c r="E51" i="1"/>
  <c r="H48" i="1"/>
  <c r="G48" i="1"/>
  <c r="E46" i="1"/>
  <c r="E45" i="1"/>
  <c r="H43" i="1"/>
  <c r="G43" i="1"/>
  <c r="H42" i="1"/>
  <c r="G42" i="1"/>
  <c r="E41" i="1"/>
  <c r="E39" i="1"/>
  <c r="E36" i="1"/>
  <c r="G35" i="1"/>
  <c r="E35" i="1" s="1"/>
  <c r="H34" i="1"/>
  <c r="G34" i="1"/>
  <c r="G33" i="1"/>
  <c r="E33" i="1" s="1"/>
  <c r="E32" i="1"/>
  <c r="H30" i="1"/>
  <c r="H37" i="1" s="1"/>
  <c r="G30" i="1"/>
  <c r="E29" i="1"/>
  <c r="E28" i="1"/>
  <c r="E27" i="1"/>
  <c r="H25" i="1"/>
  <c r="G25" i="1"/>
  <c r="E24" i="1"/>
  <c r="E23" i="1"/>
  <c r="E22" i="1"/>
  <c r="H19" i="1"/>
  <c r="G19" i="1"/>
  <c r="G20" i="1" s="1"/>
  <c r="E15" i="1"/>
  <c r="H14" i="1"/>
  <c r="G14" i="1"/>
  <c r="H12" i="1"/>
  <c r="G12" i="1"/>
  <c r="E11" i="1"/>
  <c r="H10" i="1"/>
  <c r="G10" i="1"/>
  <c r="H9" i="1"/>
  <c r="G9" i="1"/>
  <c r="H8" i="1"/>
  <c r="G8" i="1"/>
  <c r="G57" i="1" l="1"/>
  <c r="E99" i="1"/>
  <c r="G186" i="1"/>
  <c r="H167" i="1"/>
  <c r="E179" i="1"/>
  <c r="E189" i="1"/>
  <c r="E61" i="1"/>
  <c r="E94" i="1"/>
  <c r="E43" i="1"/>
  <c r="E156" i="1"/>
  <c r="E150" i="1"/>
  <c r="E42" i="1"/>
  <c r="E166" i="1"/>
  <c r="E204" i="1"/>
  <c r="E154" i="1"/>
  <c r="H101" i="1"/>
  <c r="E111" i="1"/>
  <c r="G125" i="1"/>
  <c r="E172" i="1"/>
  <c r="E77" i="1"/>
  <c r="E9" i="1"/>
  <c r="E80" i="1"/>
  <c r="E106" i="1"/>
  <c r="E138" i="1"/>
  <c r="E12" i="1"/>
  <c r="E25" i="1"/>
  <c r="F25" i="1" s="1"/>
  <c r="G49" i="1"/>
  <c r="G65" i="1"/>
  <c r="E64" i="1"/>
  <c r="E76" i="1"/>
  <c r="G96" i="1"/>
  <c r="E98" i="1"/>
  <c r="E101" i="1" s="1"/>
  <c r="F101" i="1" s="1"/>
  <c r="E112" i="1"/>
  <c r="H139" i="1"/>
  <c r="E161" i="1"/>
  <c r="G176" i="1"/>
  <c r="E190" i="1"/>
  <c r="E197" i="1"/>
  <c r="E199" i="1"/>
  <c r="E108" i="1"/>
  <c r="H125" i="1"/>
  <c r="E178" i="1"/>
  <c r="E10" i="1"/>
  <c r="E56" i="1"/>
  <c r="E69" i="1"/>
  <c r="F69" i="1" s="1"/>
  <c r="E82" i="1"/>
  <c r="E147" i="1"/>
  <c r="E152" i="1" s="1"/>
  <c r="F152" i="1" s="1"/>
  <c r="E164" i="1"/>
  <c r="G182" i="1"/>
  <c r="G205" i="1"/>
  <c r="E198" i="1"/>
  <c r="E202" i="1"/>
  <c r="E93" i="1"/>
  <c r="G139" i="1"/>
  <c r="E34" i="1"/>
  <c r="G162" i="1"/>
  <c r="E159" i="1"/>
  <c r="E175" i="1"/>
  <c r="E201" i="1"/>
  <c r="E8" i="1"/>
  <c r="E14" i="1"/>
  <c r="E30" i="1"/>
  <c r="H57" i="1"/>
  <c r="E55" i="1"/>
  <c r="G83" i="1"/>
  <c r="E85" i="1"/>
  <c r="E86" i="1" s="1"/>
  <c r="F86" i="1" s="1"/>
  <c r="E89" i="1"/>
  <c r="E90" i="1" s="1"/>
  <c r="F90" i="1" s="1"/>
  <c r="G101" i="1"/>
  <c r="E107" i="1"/>
  <c r="E123" i="1"/>
  <c r="E125" i="1" s="1"/>
  <c r="F125" i="1" s="1"/>
  <c r="E128" i="1"/>
  <c r="E129" i="1" s="1"/>
  <c r="F129" i="1" s="1"/>
  <c r="E132" i="1"/>
  <c r="E134" i="1" s="1"/>
  <c r="F134" i="1" s="1"/>
  <c r="G191" i="1"/>
  <c r="E196" i="1"/>
  <c r="E19" i="1"/>
  <c r="E20" i="1" s="1"/>
  <c r="F20" i="1" s="1"/>
  <c r="H83" i="1"/>
  <c r="H96" i="1"/>
  <c r="G16" i="1"/>
  <c r="G37" i="1"/>
  <c r="E48" i="1"/>
  <c r="G116" i="1"/>
  <c r="E136" i="1"/>
  <c r="E142" i="1"/>
  <c r="E144" i="1" s="1"/>
  <c r="F144" i="1" s="1"/>
  <c r="H162" i="1"/>
  <c r="E158" i="1"/>
  <c r="E185" i="1"/>
  <c r="E186" i="1" s="1"/>
  <c r="F186" i="1" s="1"/>
  <c r="E200" i="1"/>
  <c r="H49" i="1"/>
  <c r="H121" i="1"/>
  <c r="H20" i="1"/>
  <c r="H90" i="1"/>
  <c r="H176" i="1"/>
  <c r="H182" i="1"/>
  <c r="H191" i="1"/>
  <c r="H16" i="1"/>
  <c r="E52" i="1"/>
  <c r="E92" i="1"/>
  <c r="H116" i="1"/>
  <c r="H205" i="1"/>
  <c r="H65" i="1"/>
  <c r="E182" i="1" l="1"/>
  <c r="F182" i="1" s="1"/>
  <c r="E139" i="1"/>
  <c r="F139" i="1" s="1"/>
  <c r="E83" i="1"/>
  <c r="F83" i="1" s="1"/>
  <c r="E65" i="1"/>
  <c r="F65" i="1" s="1"/>
  <c r="E49" i="1"/>
  <c r="F49" i="1" s="1"/>
  <c r="E191" i="1"/>
  <c r="F191" i="1" s="1"/>
  <c r="E167" i="1"/>
  <c r="F167" i="1" s="1"/>
  <c r="E96" i="1"/>
  <c r="F96" i="1" s="1"/>
  <c r="E176" i="1"/>
  <c r="F176" i="1" s="1"/>
  <c r="G206" i="1"/>
  <c r="E205" i="1"/>
  <c r="F205" i="1" s="1"/>
  <c r="E57" i="1"/>
  <c r="F57" i="1" s="1"/>
  <c r="E37" i="1"/>
  <c r="F37" i="1" s="1"/>
  <c r="E162" i="1"/>
  <c r="F162" i="1" s="1"/>
  <c r="E116" i="1"/>
  <c r="F116" i="1" s="1"/>
  <c r="E16" i="1"/>
  <c r="F16" i="1" s="1"/>
  <c r="H206" i="1"/>
  <c r="F206" i="1" l="1"/>
  <c r="G13" i="2" l="1"/>
  <c r="G53" i="2" l="1"/>
  <c r="G172" i="2"/>
  <c r="G125" i="2"/>
  <c r="G189" i="2" l="1"/>
  <c r="G161" i="2" l="1"/>
  <c r="G42" i="2"/>
  <c r="G158" i="2"/>
  <c r="G177" i="2"/>
  <c r="H190" i="2" l="1"/>
  <c r="G59" i="2" l="1"/>
  <c r="G190" i="2" l="1"/>
</calcChain>
</file>

<file path=xl/sharedStrings.xml><?xml version="1.0" encoding="utf-8"?>
<sst xmlns="http://schemas.openxmlformats.org/spreadsheetml/2006/main" count="3029" uniqueCount="573">
  <si>
    <t>VESSAL DATE</t>
  </si>
  <si>
    <t>VESSEL NAME</t>
  </si>
  <si>
    <t>PRODUCT NAME</t>
  </si>
  <si>
    <t>PORT</t>
  </si>
  <si>
    <t>UNSOLD 
QTY</t>
  </si>
  <si>
    <t>SOLD QTY /
PENDING LIFTING</t>
  </si>
  <si>
    <t>PHYSICAL STOCK</t>
  </si>
  <si>
    <t>TERMINAL</t>
  </si>
  <si>
    <t>IMPORT PRICE ($) MT</t>
  </si>
  <si>
    <t>KANDLA</t>
  </si>
  <si>
    <t>F- 4644A CHEMROUTE OASIS</t>
  </si>
  <si>
    <t>ACETIC ACID</t>
  </si>
  <si>
    <t>RISHI KIRAN &amp; AHIR</t>
  </si>
  <si>
    <t>HAZIRA</t>
  </si>
  <si>
    <t>F-4697A CHEM HARVEST</t>
  </si>
  <si>
    <t>KESAR &amp; AEGIS</t>
  </si>
  <si>
    <t>MUMBAI</t>
  </si>
  <si>
    <t>F-4701 SEA HARVEST</t>
  </si>
  <si>
    <t xml:space="preserve">AHIR  </t>
  </si>
  <si>
    <t>JNPT</t>
  </si>
  <si>
    <t>F-4801A SAEHAN INTRASIA</t>
  </si>
  <si>
    <t>ADANI</t>
  </si>
  <si>
    <t>F-4801B BOCHEM BAYARD</t>
  </si>
  <si>
    <t>AEGIS</t>
  </si>
  <si>
    <t>F-4801 SAEHAN INTRASIA</t>
  </si>
  <si>
    <t>F-4485 T RIGEL</t>
  </si>
  <si>
    <t>GBL</t>
  </si>
  <si>
    <t>TOTAL</t>
  </si>
  <si>
    <t>2-EH</t>
  </si>
  <si>
    <t>KESAR</t>
  </si>
  <si>
    <t>F-4628 FURANO GALAXY</t>
  </si>
  <si>
    <t>ACETONE</t>
  </si>
  <si>
    <t>AHIR</t>
  </si>
  <si>
    <t>F-4544 PEACE WORTH</t>
  </si>
  <si>
    <t>F-4450 GOLDEN DENISE</t>
  </si>
  <si>
    <t>ACRYLONITRILE</t>
  </si>
  <si>
    <t>IMC</t>
  </si>
  <si>
    <t>F-4116 JEIL CRYSTAL</t>
  </si>
  <si>
    <t xml:space="preserve">IMC </t>
  </si>
  <si>
    <t xml:space="preserve"> EROWATI</t>
  </si>
  <si>
    <t xml:space="preserve">KESAR  </t>
  </si>
  <si>
    <t>SONALI</t>
  </si>
  <si>
    <t>F-4555 TIGER TENACITY</t>
  </si>
  <si>
    <t>KESAR &amp; IMC &amp; SHREEJI</t>
  </si>
  <si>
    <t>F-4706 BOW GEMINI</t>
  </si>
  <si>
    <t>KESAR &amp; IMC &amp; JRE</t>
  </si>
  <si>
    <t>BUTYL ACETATE</t>
  </si>
  <si>
    <t>FSWAI</t>
  </si>
  <si>
    <t>F-4676 TIGER INTEGRITY</t>
  </si>
  <si>
    <t>F-4796A ASIAN LILAC</t>
  </si>
  <si>
    <t>F-4829 SEA AMBITION</t>
  </si>
  <si>
    <t>F-4680 SEA DELTA</t>
  </si>
  <si>
    <t>F-4796 ASIAN LILAC</t>
  </si>
  <si>
    <t>NORMAL BUTANOL</t>
  </si>
  <si>
    <t>FSWAI &amp; KESAR</t>
  </si>
  <si>
    <t>F-4828A SEA AMBITION</t>
  </si>
  <si>
    <t>F-4824 NORDIC MARITA</t>
  </si>
  <si>
    <t>F-4828 SEA AMBITION</t>
  </si>
  <si>
    <t>ISO BUTANOL</t>
  </si>
  <si>
    <t>F-4687 BOW GEMINI</t>
  </si>
  <si>
    <t>GULF BARAKAH</t>
  </si>
  <si>
    <t>F-4791 CELSIUS BIRDIE</t>
  </si>
  <si>
    <t>F-4345 BOW ELM</t>
  </si>
  <si>
    <t>ISO BUTYL ACETATE</t>
  </si>
  <si>
    <t>F-4721 BOW GEMINI</t>
  </si>
  <si>
    <t>BAM</t>
  </si>
  <si>
    <t>F-4102 BOW ELM</t>
  </si>
  <si>
    <t>BUTYL GLYCOL</t>
  </si>
  <si>
    <t xml:space="preserve">F-4292 HAFNIA SKY </t>
  </si>
  <si>
    <t>F-4348 SEA FORTUNE</t>
  </si>
  <si>
    <t>KESAR &amp; FSWAI</t>
  </si>
  <si>
    <t>F-4240 BOW TRIDENT</t>
  </si>
  <si>
    <t>F-4369 SC TAIPEI</t>
  </si>
  <si>
    <t>F-4289 BOW LIND</t>
  </si>
  <si>
    <t>F-4798 ASIAN LILAC</t>
  </si>
  <si>
    <t>F-4830 SEA AMBITION</t>
  </si>
  <si>
    <t>F-4761 LILA FRONTIER</t>
  </si>
  <si>
    <t>PROPYLENE GLYCOL</t>
  </si>
  <si>
    <t>CRL &amp; KESAR</t>
  </si>
  <si>
    <t>F-4267 SAEHAN LIBERTY</t>
  </si>
  <si>
    <t>CYCLOHEXANONE</t>
  </si>
  <si>
    <t>F-4686 BOW GEMINI</t>
  </si>
  <si>
    <t>IPA</t>
  </si>
  <si>
    <t xml:space="preserve">F-4463 TIGER TENACITY </t>
  </si>
  <si>
    <t>N-PROPANOL</t>
  </si>
  <si>
    <t>F-4668 BOW GEMINI</t>
  </si>
  <si>
    <t>F-4852 BOW PLATINUM</t>
  </si>
  <si>
    <t>F-4361 BOW TRIUMPH</t>
  </si>
  <si>
    <t>TOLUENE</t>
  </si>
  <si>
    <t>F-4606 CHEMWAY ARROW</t>
  </si>
  <si>
    <t>AHIR SALT</t>
  </si>
  <si>
    <t>F-4650 MARITIME GRACIOUS</t>
  </si>
  <si>
    <t>KESAR &amp; SHREEJI</t>
  </si>
  <si>
    <t>F-4707 CHEMROUTE OASIS</t>
  </si>
  <si>
    <t>F-4739 CHEMROAD ORCHID</t>
  </si>
  <si>
    <t>KESAR &amp; AHIR</t>
  </si>
  <si>
    <t>F-4651 MARITIME GRACIOUS</t>
  </si>
  <si>
    <t>F-4822 SKY RUNNER</t>
  </si>
  <si>
    <t>F-4734 SOUTHERN WOLF</t>
  </si>
  <si>
    <t>DEG</t>
  </si>
  <si>
    <t>F-4683 KANAZAWA</t>
  </si>
  <si>
    <t>NPAC</t>
  </si>
  <si>
    <t>VICTORY LIGHT</t>
  </si>
  <si>
    <t>HIGH EXIM</t>
  </si>
  <si>
    <t>F-4599 SC MERCURY</t>
  </si>
  <si>
    <t>MEK</t>
  </si>
  <si>
    <t>F-4616 CHEM JUPITER</t>
  </si>
  <si>
    <t>F-4339 STO CAMELLIA</t>
  </si>
  <si>
    <t>MMA</t>
  </si>
  <si>
    <t>FSWAI &amp; AHIR</t>
  </si>
  <si>
    <t>F-4597 AL MAHBOOBAH</t>
  </si>
  <si>
    <t>F-4765 XT PIONEER</t>
  </si>
  <si>
    <t>`</t>
  </si>
  <si>
    <t>F-4716 PUTUOSHAN</t>
  </si>
  <si>
    <t>STYRENE MONOMER</t>
  </si>
  <si>
    <t>F-4669B DM EMERALD</t>
  </si>
  <si>
    <t>F-4815 KAIMON GALAXY</t>
  </si>
  <si>
    <t>F-4573 SC TAURUS</t>
  </si>
  <si>
    <t>HEXANE</t>
  </si>
  <si>
    <t>F-4652 BOW TRIDENT</t>
  </si>
  <si>
    <t>F-4766 BOW ELM</t>
  </si>
  <si>
    <t>F-4605 CHEMWAY ARROW</t>
  </si>
  <si>
    <t>C-9</t>
  </si>
  <si>
    <t>AHIR &amp; KESAR</t>
  </si>
  <si>
    <t>F-4709 CHEMROUTE OASIS</t>
  </si>
  <si>
    <t>AHIR &amp; FSWAI</t>
  </si>
  <si>
    <t>F-4811 CHEMROAD SIRIUS</t>
  </si>
  <si>
    <t>MIX XYLENE-ISOMER</t>
  </si>
  <si>
    <t>MIX XYLENE</t>
  </si>
  <si>
    <t>F-4708 CHEMROAD HOPE</t>
  </si>
  <si>
    <t xml:space="preserve">KESAR </t>
  </si>
  <si>
    <t xml:space="preserve">KESAR &amp; AHIR </t>
  </si>
  <si>
    <t>F-4810 CHEMROAD SIRIUS</t>
  </si>
  <si>
    <t>AHIR &amp; KESAR &amp; FSWAI</t>
  </si>
  <si>
    <t>F-4649 MARITIME GRACIOUS</t>
  </si>
  <si>
    <t>F-4719 OCEAN CHEMIST</t>
  </si>
  <si>
    <t>ENNORE</t>
  </si>
  <si>
    <t>F-4637 BOW NEON</t>
  </si>
  <si>
    <t>ORTHOXYLENE</t>
  </si>
  <si>
    <t>F-4638 CHEM HARVEST</t>
  </si>
  <si>
    <t>F-4579 MANDALA</t>
  </si>
  <si>
    <t>PHENOL</t>
  </si>
  <si>
    <t xml:space="preserve">KESAR &amp; CRL </t>
  </si>
  <si>
    <t>PARAS POLYMER (ORIENTAL JASMINE)</t>
  </si>
  <si>
    <t>PARAS POLYMER</t>
  </si>
  <si>
    <t>F-4694 BOW TITANIUM</t>
  </si>
  <si>
    <t>VAM</t>
  </si>
  <si>
    <t>F-4767 SOLAR ROMA</t>
  </si>
  <si>
    <t>F-4641 G BRIGHT</t>
  </si>
  <si>
    <t>EDC</t>
  </si>
  <si>
    <t>F-4725 BOCHEM BRUSSELS</t>
  </si>
  <si>
    <t>POLYOL 0656</t>
  </si>
  <si>
    <t>CRL</t>
  </si>
  <si>
    <t>F-4762 LILA FRONTIER</t>
  </si>
  <si>
    <t>POLYOL 1127</t>
  </si>
  <si>
    <t>F-4763 LILA FRONTIER</t>
  </si>
  <si>
    <t>POLYLOL 0434</t>
  </si>
  <si>
    <t>F-4722 SC MERCURY</t>
  </si>
  <si>
    <t>PROPIONIC ACID</t>
  </si>
  <si>
    <t>METHANOL</t>
  </si>
  <si>
    <t xml:space="preserve"> PK MARIT -CHER LIFE (LOCAL)</t>
  </si>
  <si>
    <t>EXUBERANT STAR -WINCHEM (LOCAL)</t>
  </si>
  <si>
    <t>F-4724 JBU ONYX</t>
  </si>
  <si>
    <t>F-4658 SG PEGASUS</t>
  </si>
  <si>
    <t>F-4723 JBU ONYX</t>
  </si>
  <si>
    <t>F-4812 AL SHAFFIAH</t>
  </si>
  <si>
    <t>KAKINADA</t>
  </si>
  <si>
    <t>MAHATHI</t>
  </si>
  <si>
    <t>F-4563 FG ROTTERDAM</t>
  </si>
  <si>
    <t>F-4615 MARITIME SUZANNE</t>
  </si>
  <si>
    <t>F-4681 JBU ONYX</t>
  </si>
  <si>
    <t>GRAND TOTAL</t>
  </si>
  <si>
    <t>STOCK REPORT 17-05-2023</t>
  </si>
  <si>
    <t>QY</t>
  </si>
  <si>
    <t>F-4682 BOW TITANIUM</t>
  </si>
  <si>
    <t>F-4565 CHEMROUTE OASIS</t>
  </si>
  <si>
    <t>F-4575 CHEMROUTE OASIS</t>
  </si>
  <si>
    <t>F-3637 DS COUGAR</t>
  </si>
  <si>
    <t>F-4602 SINAR MALAHAYATI</t>
  </si>
  <si>
    <t>F-4617 SINAR MALAHAYATI</t>
  </si>
  <si>
    <t>F-4684 ORCHID AMERICAS</t>
  </si>
  <si>
    <t>F-4756 SAVER1</t>
  </si>
  <si>
    <t>F-4706A BAY YASU</t>
  </si>
  <si>
    <t>F-4655 EVA GOLD</t>
  </si>
  <si>
    <t>F-4655A EVA GOLD</t>
  </si>
  <si>
    <t>F-4741 SC TAIPEI</t>
  </si>
  <si>
    <t>F-4488A HAFNIA SKY</t>
  </si>
  <si>
    <t>F-4742 SC TAIPEI</t>
  </si>
  <si>
    <t>F-4797A ASIAN LILAC</t>
  </si>
  <si>
    <t>F-4653B WADI BANI KHALID</t>
  </si>
  <si>
    <t>F-4620 LILA ACE</t>
  </si>
  <si>
    <t>F-4695 ZHENGHE 5</t>
  </si>
  <si>
    <t>F-4503 BOW PLATINIUM</t>
  </si>
  <si>
    <t>F-4749 HAKUBA GALAXY</t>
  </si>
  <si>
    <t>F-4501 SINAR MALAHAYATI</t>
  </si>
  <si>
    <t>F-4672 SEA DELTA</t>
  </si>
  <si>
    <t>F-4671 BAY SPIRIT</t>
  </si>
  <si>
    <t>F-4678 BAY SPIRIT</t>
  </si>
  <si>
    <t>F-4718 SKY RUNNER</t>
  </si>
  <si>
    <t>F-4740 CHEMROAD ORCHID</t>
  </si>
  <si>
    <t>F-4740A CHEMROAD ORCHID</t>
  </si>
  <si>
    <t>F-4746 CHEMROAD ORCHID</t>
  </si>
  <si>
    <t>F-4760 CHEMROAD ORCHID</t>
  </si>
  <si>
    <t>F-4809 BUSHAN HOPE</t>
  </si>
  <si>
    <t>F-4556 FAIRCHEM INTEGRITY-L</t>
  </si>
  <si>
    <t>F-4556 FAIRCHEM INTEGRITY-C</t>
  </si>
  <si>
    <t>F-4556A FAIRCHEM INTEGRITY-C</t>
  </si>
  <si>
    <t>F-4702 CHEM HOUSTON</t>
  </si>
  <si>
    <t>F-4702A CHEM HOUSTON</t>
  </si>
  <si>
    <t>F-4702B CHEM HOUSTON</t>
  </si>
  <si>
    <t>F-4715 SC TAIPEI</t>
  </si>
  <si>
    <t>F-4554 NCC MAHA</t>
  </si>
  <si>
    <t>F-4737 NCC NASMA</t>
  </si>
  <si>
    <t>F-4864 OCEAN HOPE</t>
  </si>
  <si>
    <t>F-4853A BAY SPIRIT</t>
  </si>
  <si>
    <t>F-4853 BAY SPIRIT</t>
  </si>
  <si>
    <t>F-4854 BAY SPIRIT</t>
  </si>
  <si>
    <t>F-4803A SEA HARVEST</t>
  </si>
  <si>
    <t>F-4839 SEA HARVEST</t>
  </si>
  <si>
    <t>F-4860 AMAGI GALAXY</t>
  </si>
  <si>
    <t>F-4855 BAY SPIRIT</t>
  </si>
  <si>
    <t>F-4857 DING HENG</t>
  </si>
  <si>
    <t>F-4837 DING HENG</t>
  </si>
  <si>
    <t xml:space="preserve">FSWAI </t>
  </si>
  <si>
    <t>PHYSICAL</t>
  </si>
  <si>
    <t>POLYLOL 0656</t>
  </si>
  <si>
    <t>SOPL</t>
  </si>
  <si>
    <t>CHENNAI</t>
  </si>
  <si>
    <t>ORTHO XYLENE</t>
  </si>
  <si>
    <t>MEG</t>
  </si>
  <si>
    <t>IBA</t>
  </si>
  <si>
    <t>NO OF DAYS OF STOCK</t>
  </si>
  <si>
    <t>VESSEL DATE</t>
  </si>
  <si>
    <t>IBAC</t>
  </si>
  <si>
    <t>BUTYL DI  GLYCOL</t>
  </si>
  <si>
    <t>SIDHE</t>
  </si>
  <si>
    <t>SIDHE PETROCHEMICAL - SC PETREL</t>
  </si>
  <si>
    <t>SIDHE PETROCHEMICAL - STOLT NORLAND</t>
  </si>
  <si>
    <t>AHIR + FSWAI</t>
  </si>
  <si>
    <t>SIDHE PETRO STOLT INTEGRITY</t>
  </si>
  <si>
    <t>2-ETHYLHEXANOL</t>
  </si>
  <si>
    <t>F-6070 BOW TRAJECTORY</t>
  </si>
  <si>
    <t>CYCLOHEXANE</t>
  </si>
  <si>
    <t>F-6072 STOLT ENDURANCE</t>
  </si>
  <si>
    <t>F-6074 STOLT ENDURANCE</t>
  </si>
  <si>
    <t>RKT</t>
  </si>
  <si>
    <t>F-6163 BOW PANTHER</t>
  </si>
  <si>
    <t>F-6094 DDELPHINUS</t>
  </si>
  <si>
    <t xml:space="preserve">MIX XYLENE </t>
  </si>
  <si>
    <t>KESAR + FSWAI</t>
  </si>
  <si>
    <t>F-6161 FPMC 28</t>
  </si>
  <si>
    <t>F-6097A HAEIN HOPE</t>
  </si>
  <si>
    <t>F-6143A SEA HARVEST</t>
  </si>
  <si>
    <t>F-6146 BOW ODYSSEY</t>
  </si>
  <si>
    <t>F-6181 CNC RICH</t>
  </si>
  <si>
    <t>F-6126 NO. 03 OCEAN PIONEER</t>
  </si>
  <si>
    <t>F-6145 MARITIME VALOR</t>
  </si>
  <si>
    <t>F-6176 NO.6 OCEAN PIONEER</t>
  </si>
  <si>
    <t>F-6233 BOW TRIBUTE</t>
  </si>
  <si>
    <t>F-6188 SOUTHERN WOLF</t>
  </si>
  <si>
    <t>SIDHE MARITIME COMITY</t>
  </si>
  <si>
    <t xml:space="preserve">MIX XYLENE ISOMER GR </t>
  </si>
  <si>
    <t>F-6243 BOW ENDEAVOR</t>
  </si>
  <si>
    <t>F-6215 EASTERLY BEECH GALAXY</t>
  </si>
  <si>
    <t>F-6196 ASIAN PIONEER</t>
  </si>
  <si>
    <t>F-6238 DM JADE</t>
  </si>
  <si>
    <t>F-6225 DS OCEAN</t>
  </si>
  <si>
    <t>F-6231 BOW COUGAR</t>
  </si>
  <si>
    <t>SPL-301A DS COUGAR</t>
  </si>
  <si>
    <t>F-6263 MC GAEA</t>
  </si>
  <si>
    <t>F-6251 EASTERLY EAGLE</t>
  </si>
  <si>
    <t>F-6230 BOW COUGAR</t>
  </si>
  <si>
    <t>F-6226 PRABHU PARVATI</t>
  </si>
  <si>
    <t>F-6252 AL AMERAT</t>
  </si>
  <si>
    <t xml:space="preserve">F-6267 SOLAR AILENE </t>
  </si>
  <si>
    <t>F-6280 WOOJIN ELVIS</t>
  </si>
  <si>
    <t>AHIR+KESAR</t>
  </si>
  <si>
    <t>SPL-319 CHEMROAD SIRIUS</t>
  </si>
  <si>
    <t>F-6254 ORIENTAL COSMOS</t>
  </si>
  <si>
    <t>OTR QTY</t>
  </si>
  <si>
    <t>SPL-320 CHEMROAD SIRIUS</t>
  </si>
  <si>
    <t>SPL-321 CHEMROAD SIRIUS SOLVENT</t>
  </si>
  <si>
    <t>SPL-322 CHEMROAD SIRIUS</t>
  </si>
  <si>
    <t>F-6259 CT BRIGHT</t>
  </si>
  <si>
    <t>AHIR+KESAR+FSWAI</t>
  </si>
  <si>
    <t>F-6316 TG CRAB</t>
  </si>
  <si>
    <t>F-6273 DM CONDOR</t>
  </si>
  <si>
    <t>F-6271 SONGA NEPTUNE</t>
  </si>
  <si>
    <t>F-6291 GLEN COVE</t>
  </si>
  <si>
    <t>F-6320A KAMUI GALAXY</t>
  </si>
  <si>
    <t>GBL (SELORD)</t>
  </si>
  <si>
    <t>F-6301 OSHAIRIJ</t>
  </si>
  <si>
    <t>F-6284 SONGA NEPTUNE</t>
  </si>
  <si>
    <t>F-6270 BRAVONEA</t>
  </si>
  <si>
    <t>MIXED HEPTANE</t>
  </si>
  <si>
    <t>F-6279 LISBON</t>
  </si>
  <si>
    <t>F-6272 LISBON</t>
  </si>
  <si>
    <t>SPL-334 DM CONDOR</t>
  </si>
  <si>
    <t>F-6302 YONG CHANG SHUN HANG</t>
  </si>
  <si>
    <t>F-6303 STOLT MAPLE</t>
  </si>
  <si>
    <t>SPL-318A CHEMOCEAN LEO</t>
  </si>
  <si>
    <t>F-6329 SOUTHERN CETACEA</t>
  </si>
  <si>
    <t>F-6310 DAMSGAARD</t>
  </si>
  <si>
    <t>F-6309 BOW COUGAR</t>
  </si>
  <si>
    <t>SPL-313 BOW EXCELLENCE</t>
  </si>
  <si>
    <t>SPL-316 CHEMOCEAN LEO</t>
  </si>
  <si>
    <t>F-6274 BOW LIND</t>
  </si>
  <si>
    <t>F-6297 OCEAN JUPITER</t>
  </si>
  <si>
    <t>SPL-317 MARITIME AMITY</t>
  </si>
  <si>
    <t>AHIR+FSWAI+CRL</t>
  </si>
  <si>
    <t>SIDHGUN</t>
  </si>
  <si>
    <t>F-6321  PVT LYRA</t>
  </si>
  <si>
    <t>SPL-357 HANYU FREESIA</t>
  </si>
  <si>
    <t>SPL-358 HANYU FREESIA</t>
  </si>
  <si>
    <t>SPL-360 HANYU FREESIA</t>
  </si>
  <si>
    <t>F-6307 CHEMROAD QUEST</t>
  </si>
  <si>
    <t>F-6308 CHEMROAD QUEST</t>
  </si>
  <si>
    <t>F-6311 BOW COUGAR</t>
  </si>
  <si>
    <t>GBL+SEALORD</t>
  </si>
  <si>
    <t>SEALORD</t>
  </si>
  <si>
    <t>F-6346 CHEMROAD QUEST</t>
  </si>
  <si>
    <t>PIPAVA</t>
  </si>
  <si>
    <t>T-233 STOLT MAPLE 1425mt ISOMAR</t>
  </si>
  <si>
    <t>T-235 Stolt Maple 476.893mt ISOMAR</t>
  </si>
  <si>
    <t>T-236 Stolt Maple 523.107mt SOLVENT</t>
  </si>
  <si>
    <t>T-230 STOLT MAPLE- 1,275.926 mt</t>
  </si>
  <si>
    <t>T-234 Chemroad Sirius 1000mt</t>
  </si>
  <si>
    <t>F-6355 CELSIUS MIDDLEFART</t>
  </si>
  <si>
    <t>SEALORD+GBL</t>
  </si>
  <si>
    <t>F-6356 CELSIUS MIDDLEFART</t>
  </si>
  <si>
    <t>F-6357 CELSIUS MIDDLEFART</t>
  </si>
  <si>
    <t>F-6334 AL AMERAT</t>
  </si>
  <si>
    <t>F-6317 GINGA JAGUAR</t>
  </si>
  <si>
    <t>F-6333 GINGA JAGUAR</t>
  </si>
  <si>
    <t>F-6348 SHAN BANG</t>
  </si>
  <si>
    <t>STPL-4 STENA PROGRESSIVE</t>
  </si>
  <si>
    <t>STPL-5 STENA PROGRESSIVE</t>
  </si>
  <si>
    <t>SPL-388 STENA PROGRESSIVE</t>
  </si>
  <si>
    <t>T-200mt KLJ PETROPLAST 24-3-26</t>
  </si>
  <si>
    <t>F-6377 SOUTHERN QUOKKA</t>
  </si>
  <si>
    <t>T- 500MT PARAS CHEIRLIFE 18-03-2026</t>
  </si>
  <si>
    <t>STPL-6 MARITIME AMITY</t>
  </si>
  <si>
    <t>T-237 BOW TRAJECTORY</t>
  </si>
  <si>
    <t>F-6385 JBU OPAL</t>
  </si>
  <si>
    <t>F-6323 CARIBBEAN 1</t>
  </si>
  <si>
    <t>F-6371 CARIBBEAN 1</t>
  </si>
  <si>
    <t>LOCAL PURCHASE TRICON ENERGY</t>
  </si>
  <si>
    <t>PHENOL-M</t>
  </si>
  <si>
    <t>F-6382 CT BRIGHT</t>
  </si>
  <si>
    <t>F-6370 SFL ARUBA</t>
  </si>
  <si>
    <t>F-6374 CNC RICH</t>
  </si>
  <si>
    <t>F-6338 STOLT BETULA</t>
  </si>
  <si>
    <t>F-6352 EVA HANSA</t>
  </si>
  <si>
    <t>F-6353 EVA HANSA</t>
  </si>
  <si>
    <t>F-6378 SFL ARUBA</t>
  </si>
  <si>
    <t>F-6350 SFL ARUBA</t>
  </si>
  <si>
    <t>F-6366 SFL ARUBA</t>
  </si>
  <si>
    <t>STPL-12 SFL ARUBA</t>
  </si>
  <si>
    <t>F-6344 MC HERA</t>
  </si>
  <si>
    <t>F-6364 GOODAL</t>
  </si>
  <si>
    <t>F-6365 GOODAL</t>
  </si>
  <si>
    <t>F-6395 GOODAL</t>
  </si>
  <si>
    <t>RKT+AHIR</t>
  </si>
  <si>
    <t>F-6375 KOREA CHEMI</t>
  </si>
  <si>
    <t>F-6373 DM CONDOR</t>
  </si>
  <si>
    <t>F-6381 JASMINE TRADER</t>
  </si>
  <si>
    <t>F-6351 MARITIME GRACIOUS</t>
  </si>
  <si>
    <t>STPL-13 BOW NEON</t>
  </si>
  <si>
    <t>STPL-10 GC BERYL</t>
  </si>
  <si>
    <t>AHIR+CRL</t>
  </si>
  <si>
    <t>STPL-11 CHEMROAD ZENITH</t>
  </si>
  <si>
    <t>F-6383 CHEMROAD ZENITH</t>
  </si>
  <si>
    <t>F-6349 YONG CHANG SHUN HANG</t>
  </si>
  <si>
    <t>STPL-8 BOW TRIBUTE</t>
  </si>
  <si>
    <t>T-240 TOW UJIN (BOW TRIBUTE) FY26-27- 100000093</t>
  </si>
  <si>
    <t>L-0 KRLGUJGST2627-005 NITI CHEM FY26-27- 100000095</t>
  </si>
  <si>
    <t>L-0 KRLGUJGST2627-007 UJIN FY26-27- 100000096</t>
  </si>
  <si>
    <t>L-0 KRLGUJGST2627-006 DRJ PETRO FY26-27-</t>
  </si>
  <si>
    <t>AHIR+FSWAI</t>
  </si>
  <si>
    <t xml:space="preserve">F-6401 STOLT ARGON </t>
  </si>
  <si>
    <t>F-6335 BOW TRIUMPH</t>
  </si>
  <si>
    <t>SPL-371 BOW TRIUMPH</t>
  </si>
  <si>
    <t>L- GST-PO NO.11 KHUSHBU FY26-27- 100000108</t>
  </si>
  <si>
    <t>T-244 TOW SANJAY Vsl SC AMBER FY26-27- 100000109</t>
  </si>
  <si>
    <t>T-245 TOW SANJAY Vsl SFL ARUBA FY26-27- 100000111</t>
  </si>
  <si>
    <t>T-246 TOW SANJAY Vsl SC AMBER FY26-27- 100000110</t>
  </si>
  <si>
    <t>T-241 TOW KUNJAL Vsl GINGA JAGUAR FY26-27- 100000113</t>
  </si>
  <si>
    <t>L- GST-PO NO.08 SATISH CHEMICAL FY26-27- 100000100</t>
  </si>
  <si>
    <t>L- GST-PO NO.10 SATISH CHEMICAL FY26-27- 100000107</t>
  </si>
  <si>
    <t>T-242 TOW YUG Vsl GINGA JAGUAR FY26-27- 100000106</t>
  </si>
  <si>
    <t>T-243 TOW SANJAY Vsl EVA HANSA FY26-27- 100000112</t>
  </si>
  <si>
    <t>STPL-14 NO. 5 OCEAN PIONEER</t>
  </si>
  <si>
    <t>STPL-17 SLOGEN</t>
  </si>
  <si>
    <t>L-0 KRLGUJGST2627-009 TEGRAL FY26-27- 100000104</t>
  </si>
  <si>
    <t>STOCK REPORT 27-05-2026</t>
  </si>
  <si>
    <t>AVG SALE PRICE</t>
  </si>
  <si>
    <t>KRL</t>
  </si>
  <si>
    <t>COMPANY</t>
  </si>
  <si>
    <t>PURCHASE PRICE  MT (INR)</t>
  </si>
  <si>
    <t>F</t>
  </si>
  <si>
    <t>BOW</t>
  </si>
  <si>
    <t>ENDEAVOR</t>
  </si>
  <si>
    <t>TG</t>
  </si>
  <si>
    <t>CRAB</t>
  </si>
  <si>
    <t>YONG</t>
  </si>
  <si>
    <t>CHANG</t>
  </si>
  <si>
    <t>SHUN</t>
  </si>
  <si>
    <t>HANG</t>
  </si>
  <si>
    <t>PVT</t>
  </si>
  <si>
    <t>LYRA</t>
  </si>
  <si>
    <t>PANTHER</t>
  </si>
  <si>
    <t>6143A</t>
  </si>
  <si>
    <t>SEA</t>
  </si>
  <si>
    <t>HARVEST</t>
  </si>
  <si>
    <t>6320A</t>
  </si>
  <si>
    <t>KAMUI</t>
  </si>
  <si>
    <t>GALAXY</t>
  </si>
  <si>
    <t>SOUTHERN</t>
  </si>
  <si>
    <t>QUOKKA</t>
  </si>
  <si>
    <t>GOODAL</t>
  </si>
  <si>
    <t>STPL</t>
  </si>
  <si>
    <t>GC</t>
  </si>
  <si>
    <t>BERYL</t>
  </si>
  <si>
    <t>JASMINE</t>
  </si>
  <si>
    <t>TRADER</t>
  </si>
  <si>
    <t>T</t>
  </si>
  <si>
    <t>200mt</t>
  </si>
  <si>
    <t>KLJ</t>
  </si>
  <si>
    <t>PETROPLAST</t>
  </si>
  <si>
    <t>CT</t>
  </si>
  <si>
    <t>BRIGHT</t>
  </si>
  <si>
    <t>CNC</t>
  </si>
  <si>
    <t>RICH</t>
  </si>
  <si>
    <t>CELSIUS</t>
  </si>
  <si>
    <t>MIDDLEFART</t>
  </si>
  <si>
    <t>SPL</t>
  </si>
  <si>
    <t>HANYU</t>
  </si>
  <si>
    <t>FREESIA</t>
  </si>
  <si>
    <t>301A</t>
  </si>
  <si>
    <t>DS</t>
  </si>
  <si>
    <t>COUGAR</t>
  </si>
  <si>
    <t>STOLT</t>
  </si>
  <si>
    <t>ENDURANCE</t>
  </si>
  <si>
    <t>PETRO</t>
  </si>
  <si>
    <t>INTEGRITY</t>
  </si>
  <si>
    <t>TRAJECTORY</t>
  </si>
  <si>
    <t>6097A</t>
  </si>
  <si>
    <t>HAEIN</t>
  </si>
  <si>
    <t>HOPE</t>
  </si>
  <si>
    <t>TRIBUTE</t>
  </si>
  <si>
    <t>NO.</t>
  </si>
  <si>
    <t>OCEAN</t>
  </si>
  <si>
    <t>PIONEER</t>
  </si>
  <si>
    <t>NO.6</t>
  </si>
  <si>
    <t>CARIBBEAN</t>
  </si>
  <si>
    <t>SFL</t>
  </si>
  <si>
    <t>ARUBA</t>
  </si>
  <si>
    <t>DM</t>
  </si>
  <si>
    <t>CONDOR</t>
  </si>
  <si>
    <t>TRIUMPH</t>
  </si>
  <si>
    <t>TOW</t>
  </si>
  <si>
    <t>UJIN</t>
  </si>
  <si>
    <t>(BOW</t>
  </si>
  <si>
    <t>TRIBUTE)</t>
  </si>
  <si>
    <t>FY26</t>
  </si>
  <si>
    <t>LISBON</t>
  </si>
  <si>
    <t>LIND</t>
  </si>
  <si>
    <t>ARGON</t>
  </si>
  <si>
    <t>PETROCHEMICAL</t>
  </si>
  <si>
    <t>SC</t>
  </si>
  <si>
    <t>PETREL</t>
  </si>
  <si>
    <t>NORLAND</t>
  </si>
  <si>
    <t>CHEMROAD</t>
  </si>
  <si>
    <t>ZENITH</t>
  </si>
  <si>
    <t>JADE</t>
  </si>
  <si>
    <t>ODYSSEY</t>
  </si>
  <si>
    <t>BRAVONEA</t>
  </si>
  <si>
    <t>MAPLE</t>
  </si>
  <si>
    <t>mt</t>
  </si>
  <si>
    <t>Chemroad</t>
  </si>
  <si>
    <t>Sirius</t>
  </si>
  <si>
    <t>1000mt</t>
  </si>
  <si>
    <t>MC</t>
  </si>
  <si>
    <t>HERA</t>
  </si>
  <si>
    <t>SIRIUS</t>
  </si>
  <si>
    <t>MARITIME</t>
  </si>
  <si>
    <t>AMITY</t>
  </si>
  <si>
    <t>QUEST</t>
  </si>
  <si>
    <t>318A</t>
  </si>
  <si>
    <t>CHEMOCEAN</t>
  </si>
  <si>
    <t>LEO</t>
  </si>
  <si>
    <t>EVA</t>
  </si>
  <si>
    <t>HANSA</t>
  </si>
  <si>
    <t>JUPITER</t>
  </si>
  <si>
    <t>NEON</t>
  </si>
  <si>
    <t>EASTERLY</t>
  </si>
  <si>
    <t>BEECH</t>
  </si>
  <si>
    <t>BETULA</t>
  </si>
  <si>
    <t>FPMC</t>
  </si>
  <si>
    <t>OSHAIRIJ</t>
  </si>
  <si>
    <t>KOREA</t>
  </si>
  <si>
    <t>CHEMI</t>
  </si>
  <si>
    <t>GRACIOUS</t>
  </si>
  <si>
    <t>COMITY</t>
  </si>
  <si>
    <t>EXCELLENCE</t>
  </si>
  <si>
    <t>STENA</t>
  </si>
  <si>
    <t>PROGRESSIVE</t>
  </si>
  <si>
    <t>GINGA</t>
  </si>
  <si>
    <t>JAGUAR</t>
  </si>
  <si>
    <t>YUG</t>
  </si>
  <si>
    <t>Vsl</t>
  </si>
  <si>
    <t>SANJAY</t>
  </si>
  <si>
    <t>L</t>
  </si>
  <si>
    <t>KRLGUJGST2627</t>
  </si>
  <si>
    <t>TEGRAL</t>
  </si>
  <si>
    <t>GST</t>
  </si>
  <si>
    <t>PO</t>
  </si>
  <si>
    <t>NO.08</t>
  </si>
  <si>
    <t>SATISH</t>
  </si>
  <si>
    <t>CHEMICAL</t>
  </si>
  <si>
    <t>NO.10</t>
  </si>
  <si>
    <t>DDELPHINUS</t>
  </si>
  <si>
    <t>VALOR</t>
  </si>
  <si>
    <t>WOLF</t>
  </si>
  <si>
    <t>PRABHU</t>
  </si>
  <si>
    <t>PARVATI</t>
  </si>
  <si>
    <t>1425mt</t>
  </si>
  <si>
    <t>ISOMAR</t>
  </si>
  <si>
    <t>Stolt</t>
  </si>
  <si>
    <t>Maple</t>
  </si>
  <si>
    <t>476.893mt</t>
  </si>
  <si>
    <t>523.107mt</t>
  </si>
  <si>
    <t>SOLVENT</t>
  </si>
  <si>
    <t>NITI</t>
  </si>
  <si>
    <t>CHEM</t>
  </si>
  <si>
    <t>DRJ</t>
  </si>
  <si>
    <t>NO.11</t>
  </si>
  <si>
    <t>KHUSHBU</t>
  </si>
  <si>
    <t>KUNJAL</t>
  </si>
  <si>
    <t>AMBER</t>
  </si>
  <si>
    <t>LOCAL</t>
  </si>
  <si>
    <t>PURCHASE</t>
  </si>
  <si>
    <t>TRICON</t>
  </si>
  <si>
    <t>ENERGY</t>
  </si>
  <si>
    <t>SONGA</t>
  </si>
  <si>
    <t>NEPTUNE</t>
  </si>
  <si>
    <t>DAMSGAARD</t>
  </si>
  <si>
    <t>SLOGEN</t>
  </si>
  <si>
    <t>ORIENTAL</t>
  </si>
  <si>
    <t>COSMOS</t>
  </si>
  <si>
    <t>500MT</t>
  </si>
  <si>
    <t>PARAS</t>
  </si>
  <si>
    <t>CHEIRLIFE</t>
  </si>
  <si>
    <t>ASIAN</t>
  </si>
  <si>
    <t>WOOJIN</t>
  </si>
  <si>
    <t>ELVIS</t>
  </si>
  <si>
    <t>SHAN</t>
  </si>
  <si>
    <t>BANG</t>
  </si>
  <si>
    <t>AL</t>
  </si>
  <si>
    <t>AMERAT</t>
  </si>
  <si>
    <t>GLEN</t>
  </si>
  <si>
    <t>COVE</t>
  </si>
  <si>
    <t>JBU</t>
  </si>
  <si>
    <t>OPAL</t>
  </si>
  <si>
    <t>SOLAR</t>
  </si>
  <si>
    <t>AILENE</t>
  </si>
  <si>
    <t>CETACEA</t>
  </si>
  <si>
    <t>GAEA</t>
  </si>
  <si>
    <t>EAGLE</t>
  </si>
  <si>
    <t>FD</t>
  </si>
  <si>
    <t>ST</t>
  </si>
  <si>
    <t>MARKET PRICE MT (INR)</t>
  </si>
  <si>
    <t>AVG SALE PRICE MT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</si>
</sst>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8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8"/>
      <color theme="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0" fontId="12" fillId="0" borderId="0"/>
    <xf numFmtId="43" fontId="10" fillId="0" borderId="0" applyFont="0" applyFill="0" applyBorder="0" applyAlignment="0" applyProtection="0"/>
    <xf numFmtId="0" fontId="13" fillId="0" borderId="0"/>
    <xf numFmtId="43" fontId="10" fillId="0" borderId="0" applyFont="0" applyFill="0" applyBorder="0" applyAlignment="0" applyProtection="0"/>
    <xf numFmtId="0" fontId="14" fillId="0" borderId="0"/>
    <xf numFmtId="43" fontId="16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11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4" fillId="0" borderId="8" xfId="0" applyNumberFormat="1" applyFont="1" applyBorder="1" applyAlignment="1">
      <alignment horizontal="center" wrapText="1"/>
    </xf>
    <xf numFmtId="164" fontId="4" fillId="0" borderId="8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8" xfId="0" applyBorder="1"/>
    <xf numFmtId="164" fontId="5" fillId="3" borderId="8" xfId="0" applyNumberFormat="1" applyFont="1" applyFill="1" applyBorder="1" applyAlignment="1">
      <alignment horizontal="center"/>
    </xf>
    <xf numFmtId="0" fontId="1" fillId="0" borderId="8" xfId="0" applyFont="1" applyBorder="1"/>
    <xf numFmtId="0" fontId="4" fillId="2" borderId="9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16" xfId="0" applyFont="1" applyBorder="1" applyAlignment="1">
      <alignment horizontal="center"/>
    </xf>
    <xf numFmtId="164" fontId="0" fillId="0" borderId="0" xfId="0" applyNumberFormat="1"/>
    <xf numFmtId="14" fontId="0" fillId="2" borderId="7" xfId="0" applyNumberFormat="1" applyFill="1" applyBorder="1" applyAlignment="1">
      <alignment horizontal="center"/>
    </xf>
    <xf numFmtId="164" fontId="5" fillId="2" borderId="8" xfId="0" applyNumberFormat="1" applyFont="1" applyFill="1" applyBorder="1" applyAlignment="1">
      <alignment horizontal="center"/>
    </xf>
    <xf numFmtId="0" fontId="1" fillId="2" borderId="8" xfId="0" applyFont="1" applyFill="1" applyBorder="1"/>
    <xf numFmtId="164" fontId="7" fillId="2" borderId="8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2" fontId="8" fillId="2" borderId="11" xfId="0" applyNumberFormat="1" applyFont="1" applyFill="1" applyBorder="1" applyAlignment="1">
      <alignment horizontal="center"/>
    </xf>
    <xf numFmtId="0" fontId="0" fillId="2" borderId="0" xfId="0" applyFill="1"/>
    <xf numFmtId="164" fontId="4" fillId="2" borderId="8" xfId="0" applyNumberFormat="1" applyFont="1" applyFill="1" applyBorder="1" applyAlignment="1">
      <alignment horizontal="center"/>
    </xf>
    <xf numFmtId="164" fontId="6" fillId="2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164" fontId="7" fillId="5" borderId="8" xfId="0" applyNumberFormat="1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14" fontId="0" fillId="5" borderId="7" xfId="0" applyNumberFormat="1" applyFill="1" applyBorder="1" applyAlignment="1">
      <alignment horizontal="center"/>
    </xf>
    <xf numFmtId="164" fontId="5" fillId="5" borderId="8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64" fontId="4" fillId="5" borderId="8" xfId="0" applyNumberFormat="1" applyFont="1" applyFill="1" applyBorder="1" applyAlignment="1">
      <alignment horizontal="center" wrapText="1"/>
    </xf>
    <xf numFmtId="14" fontId="4" fillId="0" borderId="6" xfId="0" applyNumberFormat="1" applyFont="1" applyBorder="1" applyAlignment="1">
      <alignment horizontal="center" wrapText="1"/>
    </xf>
    <xf numFmtId="14" fontId="9" fillId="6" borderId="3" xfId="0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0" fontId="7" fillId="5" borderId="18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2" fontId="8" fillId="0" borderId="20" xfId="0" applyNumberFormat="1" applyFont="1" applyBorder="1" applyAlignment="1">
      <alignment horizontal="center"/>
    </xf>
    <xf numFmtId="2" fontId="8" fillId="5" borderId="20" xfId="0" applyNumberFormat="1" applyFont="1" applyFill="1" applyBorder="1" applyAlignment="1">
      <alignment horizontal="center"/>
    </xf>
    <xf numFmtId="2" fontId="8" fillId="0" borderId="21" xfId="0" applyNumberFormat="1" applyFont="1" applyBorder="1" applyAlignment="1">
      <alignment horizontal="center"/>
    </xf>
    <xf numFmtId="164" fontId="7" fillId="6" borderId="8" xfId="0" applyNumberFormat="1" applyFont="1" applyFill="1" applyBorder="1" applyAlignment="1">
      <alignment horizontal="center"/>
    </xf>
    <xf numFmtId="14" fontId="0" fillId="4" borderId="7" xfId="0" applyNumberForma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4" fillId="4" borderId="8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164" fontId="5" fillId="4" borderId="8" xfId="0" applyNumberFormat="1" applyFont="1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164" fontId="6" fillId="4" borderId="8" xfId="0" applyNumberFormat="1" applyFont="1" applyFill="1" applyBorder="1" applyAlignment="1">
      <alignment horizontal="center"/>
    </xf>
    <xf numFmtId="14" fontId="0" fillId="6" borderId="7" xfId="0" applyNumberForma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4" fillId="6" borderId="8" xfId="0" applyNumberFormat="1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0" fillId="6" borderId="0" xfId="0" applyFill="1"/>
    <xf numFmtId="164" fontId="15" fillId="0" borderId="8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0" fontId="1" fillId="6" borderId="0" xfId="0" applyFont="1" applyFill="1"/>
    <xf numFmtId="164" fontId="7" fillId="0" borderId="0" xfId="0" applyNumberFormat="1" applyFont="1" applyAlignment="1">
      <alignment horizontal="center"/>
    </xf>
    <xf numFmtId="14" fontId="0" fillId="7" borderId="7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6" fillId="7" borderId="8" xfId="0" applyNumberFormat="1" applyFont="1" applyFill="1" applyBorder="1" applyAlignment="1">
      <alignment horizontal="center"/>
    </xf>
    <xf numFmtId="164" fontId="7" fillId="7" borderId="8" xfId="0" applyNumberFormat="1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7" fillId="7" borderId="18" xfId="0" applyFont="1" applyFill="1" applyBorder="1" applyAlignment="1">
      <alignment horizontal="center"/>
    </xf>
    <xf numFmtId="0" fontId="5" fillId="5" borderId="8" xfId="0" applyFont="1" applyFill="1" applyBorder="1"/>
    <xf numFmtId="164" fontId="0" fillId="0" borderId="0" xfId="0" applyNumberFormat="1" applyAlignment="1">
      <alignment horizontal="center"/>
    </xf>
    <xf numFmtId="164" fontId="4" fillId="7" borderId="8" xfId="0" applyNumberFormat="1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6" fillId="7" borderId="8" xfId="0" applyFont="1" applyFill="1" applyBorder="1" applyAlignment="1">
      <alignment horizontal="center"/>
    </xf>
    <xf numFmtId="4" fontId="0" fillId="6" borderId="0" xfId="0" applyNumberFormat="1" applyFill="1"/>
    <xf numFmtId="0" fontId="0" fillId="6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165" fontId="0" fillId="6" borderId="0" xfId="8" applyNumberFormat="1" applyFont="1" applyFill="1"/>
    <xf numFmtId="165" fontId="17" fillId="6" borderId="3" xfId="8" applyNumberFormat="1" applyFont="1" applyFill="1" applyBorder="1" applyAlignment="1">
      <alignment vertical="center"/>
    </xf>
    <xf numFmtId="165" fontId="6" fillId="0" borderId="6" xfId="8" applyNumberFormat="1" applyFont="1" applyBorder="1" applyAlignment="1">
      <alignment horizontal="center"/>
    </xf>
    <xf numFmtId="165" fontId="5" fillId="0" borderId="11" xfId="8" applyNumberFormat="1" applyFont="1" applyBorder="1" applyAlignment="1">
      <alignment horizontal="center"/>
    </xf>
    <xf numFmtId="165" fontId="5" fillId="6" borderId="0" xfId="8" applyNumberFormat="1" applyFont="1" applyFill="1"/>
    <xf numFmtId="165" fontId="6" fillId="0" borderId="0" xfId="8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9">
    <cellStyle name="Comma" xfId="8" builtinId="3"/>
    <cellStyle name="Comma 10" xfId="6" xr:uid="{00000000-0005-0000-0000-000000000000}"/>
    <cellStyle name="Comma 2" xfId="2" xr:uid="{00000000-0005-0000-0000-000001000000}"/>
    <cellStyle name="Comma 3" xfId="4" xr:uid="{00000000-0005-0000-0000-000002000000}"/>
    <cellStyle name="Normal" xfId="0" builtinId="0"/>
    <cellStyle name="Normal 2" xfId="1" xr:uid="{00000000-0005-0000-0000-000004000000}"/>
    <cellStyle name="Normal 3" xfId="3" xr:uid="{00000000-0005-0000-0000-000005000000}"/>
    <cellStyle name="Normal 4" xfId="5" xr:uid="{00000000-0005-0000-0000-000006000000}"/>
    <cellStyle name="Normal 5" xfId="7" xr:uid="{00000000-0005-0000-0000-000007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XEU210"/>
  <sheetViews>
    <sheetView topLeftCell="C1" zoomScale="80" zoomScaleNormal="80" workbookViewId="0">
      <pane ySplit="6" topLeftCell="A158" activePane="bottomLeft" state="frozen"/>
      <selection activeCell="E11" sqref="E11"/>
      <selection pane="bottomLeft" activeCell="I164" sqref="I164"/>
    </sheetView>
  </sheetViews>
  <sheetFormatPr defaultRowHeight="17.399999999999999" x14ac:dyDescent="0.35"/>
  <cols>
    <col min="1" max="1" width="16.109375" style="1" customWidth="1"/>
    <col min="2" max="2" width="38" bestFit="1" customWidth="1"/>
    <col min="3" max="3" width="24.5546875" customWidth="1"/>
    <col min="4" max="4" width="14.33203125" customWidth="1"/>
    <col min="5" max="5" width="17.6640625" style="1" customWidth="1"/>
    <col min="6" max="6" width="14.109375" style="2" customWidth="1"/>
    <col min="7" max="7" width="23.33203125" customWidth="1"/>
    <col min="8" max="8" width="20.33203125" customWidth="1"/>
    <col min="9" max="9" width="34.6640625" style="1" customWidth="1"/>
    <col min="10" max="10" width="17.88671875" style="1" customWidth="1"/>
    <col min="11" max="11" width="23.5546875" style="3" customWidth="1"/>
    <col min="12" max="12" width="31.33203125" customWidth="1"/>
    <col min="13" max="13" width="12.88671875" customWidth="1"/>
    <col min="14" max="14" width="12.6640625" customWidth="1"/>
  </cols>
  <sheetData>
    <row r="4" spans="1:14" ht="18" thickBot="1" x14ac:dyDescent="0.4"/>
    <row r="5" spans="1:14" ht="33" customHeight="1" thickBot="1" x14ac:dyDescent="0.35">
      <c r="A5" s="115" t="s">
        <v>172</v>
      </c>
      <c r="B5" s="116"/>
      <c r="C5" s="116"/>
      <c r="D5" s="116"/>
      <c r="E5" s="116"/>
      <c r="F5" s="116"/>
      <c r="G5" s="116"/>
      <c r="H5" s="116"/>
      <c r="I5" s="116"/>
      <c r="J5" s="117"/>
      <c r="K5" s="4"/>
    </row>
    <row r="6" spans="1:14" ht="36.6" thickBot="1" x14ac:dyDescent="0.4">
      <c r="A6" s="5" t="s">
        <v>0</v>
      </c>
      <c r="B6" s="6" t="s">
        <v>1</v>
      </c>
      <c r="C6" s="6" t="s">
        <v>2</v>
      </c>
      <c r="D6" s="6" t="s">
        <v>3</v>
      </c>
      <c r="E6" s="7" t="s">
        <v>4</v>
      </c>
      <c r="F6" s="7" t="s">
        <v>4</v>
      </c>
      <c r="G6" s="7" t="s">
        <v>5</v>
      </c>
      <c r="H6" s="7" t="s">
        <v>6</v>
      </c>
      <c r="I6" s="7" t="s">
        <v>7</v>
      </c>
      <c r="J6" s="8"/>
      <c r="K6" s="9" t="s">
        <v>8</v>
      </c>
      <c r="M6" s="55" t="s">
        <v>224</v>
      </c>
      <c r="N6" t="s">
        <v>173</v>
      </c>
    </row>
    <row r="7" spans="1:14" ht="18" x14ac:dyDescent="0.35">
      <c r="A7" s="10">
        <v>44893</v>
      </c>
      <c r="B7" s="11" t="s">
        <v>10</v>
      </c>
      <c r="C7" s="11" t="s">
        <v>11</v>
      </c>
      <c r="D7" s="11" t="s">
        <v>9</v>
      </c>
      <c r="E7" s="12">
        <v>5.6970000000001164</v>
      </c>
      <c r="F7" s="13"/>
      <c r="G7" s="14">
        <v>0</v>
      </c>
      <c r="H7" s="14">
        <v>5.6970000000001164</v>
      </c>
      <c r="I7" s="15" t="s">
        <v>12</v>
      </c>
      <c r="J7" s="16"/>
      <c r="K7" s="17">
        <v>473</v>
      </c>
      <c r="M7" t="e">
        <v>#N/A</v>
      </c>
      <c r="N7" t="e">
        <v>#N/A</v>
      </c>
    </row>
    <row r="8" spans="1:14" ht="18" x14ac:dyDescent="0.35">
      <c r="A8" s="10">
        <v>44964</v>
      </c>
      <c r="B8" s="11" t="s">
        <v>14</v>
      </c>
      <c r="C8" s="11" t="s">
        <v>11</v>
      </c>
      <c r="D8" s="11" t="s">
        <v>9</v>
      </c>
      <c r="E8" s="12">
        <f t="shared" ref="E8:E15" si="0">H8-G8</f>
        <v>0</v>
      </c>
      <c r="F8" s="13"/>
      <c r="G8" s="14">
        <f>322.189-37.75-166.01-103.19</f>
        <v>15.239000000000033</v>
      </c>
      <c r="H8" s="14">
        <f>322.189-37.75-166.01-103.19</f>
        <v>15.239000000000033</v>
      </c>
      <c r="I8" s="15" t="s">
        <v>15</v>
      </c>
      <c r="J8" s="16"/>
      <c r="K8" s="18">
        <v>435</v>
      </c>
      <c r="M8">
        <v>0</v>
      </c>
      <c r="N8">
        <v>2.8421709430404007E-13</v>
      </c>
    </row>
    <row r="9" spans="1:14" ht="18" x14ac:dyDescent="0.35">
      <c r="A9" s="10">
        <v>44992</v>
      </c>
      <c r="B9" s="11" t="s">
        <v>17</v>
      </c>
      <c r="C9" s="11" t="s">
        <v>11</v>
      </c>
      <c r="D9" s="11" t="s">
        <v>9</v>
      </c>
      <c r="E9" s="12">
        <f t="shared" si="0"/>
        <v>753.14100000000008</v>
      </c>
      <c r="F9" s="13"/>
      <c r="G9" s="14">
        <f>80+18+282-9.83</f>
        <v>370.17</v>
      </c>
      <c r="H9" s="14">
        <f>1392.151-69.52-132.92-56.57-9.83</f>
        <v>1123.3110000000001</v>
      </c>
      <c r="I9" s="15" t="s">
        <v>18</v>
      </c>
      <c r="J9" s="16"/>
      <c r="K9" s="18">
        <v>435.07498157175701</v>
      </c>
      <c r="M9">
        <v>353.94100000000003</v>
      </c>
      <c r="N9">
        <v>-32.848999999999933</v>
      </c>
    </row>
    <row r="10" spans="1:14" ht="18" x14ac:dyDescent="0.35">
      <c r="A10" s="10">
        <v>45007</v>
      </c>
      <c r="B10" s="11" t="s">
        <v>20</v>
      </c>
      <c r="C10" s="11" t="s">
        <v>11</v>
      </c>
      <c r="D10" s="11" t="s">
        <v>13</v>
      </c>
      <c r="E10" s="12">
        <f t="shared" si="0"/>
        <v>120.46399999999994</v>
      </c>
      <c r="F10" s="13"/>
      <c r="G10" s="14">
        <f>693.44-64.12-25.08-24.21-60.09+88-35.06</f>
        <v>572.87999999999988</v>
      </c>
      <c r="H10" s="14">
        <f>901.904-64.12-25.08-24.21-60.09-35.06</f>
        <v>693.34399999999982</v>
      </c>
      <c r="I10" s="15" t="s">
        <v>21</v>
      </c>
      <c r="J10" s="16"/>
      <c r="K10" s="18">
        <v>455.07895326310899</v>
      </c>
      <c r="M10">
        <v>205.05399999999986</v>
      </c>
      <c r="N10">
        <v>71.653999999999883</v>
      </c>
    </row>
    <row r="11" spans="1:14" ht="18" x14ac:dyDescent="0.35">
      <c r="A11" s="10">
        <v>45026</v>
      </c>
      <c r="B11" s="11" t="s">
        <v>22</v>
      </c>
      <c r="C11" s="11" t="s">
        <v>11</v>
      </c>
      <c r="D11" s="11" t="s">
        <v>13</v>
      </c>
      <c r="E11" s="12">
        <f t="shared" si="0"/>
        <v>848.58600000000001</v>
      </c>
      <c r="F11" s="13"/>
      <c r="G11" s="14">
        <v>200</v>
      </c>
      <c r="H11" s="14">
        <v>1048.586</v>
      </c>
      <c r="I11" s="15" t="s">
        <v>21</v>
      </c>
      <c r="J11" s="16"/>
      <c r="K11" s="18">
        <v>455.07995469010302</v>
      </c>
      <c r="M11">
        <v>848.58600000000001</v>
      </c>
      <c r="N11">
        <v>848.58600000000001</v>
      </c>
    </row>
    <row r="12" spans="1:14" ht="18" x14ac:dyDescent="0.35">
      <c r="A12" s="10">
        <v>44959</v>
      </c>
      <c r="B12" s="11" t="s">
        <v>174</v>
      </c>
      <c r="C12" s="11" t="s">
        <v>11</v>
      </c>
      <c r="D12" s="11" t="s">
        <v>16</v>
      </c>
      <c r="E12" s="12">
        <f t="shared" si="0"/>
        <v>123.40899999999998</v>
      </c>
      <c r="F12" s="13"/>
      <c r="G12" s="14">
        <f>105-24.84-7.11</f>
        <v>73.05</v>
      </c>
      <c r="H12" s="14">
        <f>228.409-24.84-7.11</f>
        <v>196.45899999999997</v>
      </c>
      <c r="I12" s="15" t="s">
        <v>23</v>
      </c>
      <c r="J12" s="16"/>
      <c r="K12" s="18">
        <v>441.98</v>
      </c>
      <c r="M12">
        <v>1.9309999999998126</v>
      </c>
      <c r="N12">
        <v>-52.34900000000016</v>
      </c>
    </row>
    <row r="13" spans="1:14" ht="18" x14ac:dyDescent="0.35">
      <c r="A13" s="10">
        <v>45004</v>
      </c>
      <c r="B13" s="11" t="s">
        <v>24</v>
      </c>
      <c r="C13" s="11" t="s">
        <v>11</v>
      </c>
      <c r="D13" s="11" t="s">
        <v>16</v>
      </c>
      <c r="E13" s="12">
        <f>H13-G13</f>
        <v>43.650999999999968</v>
      </c>
      <c r="F13" s="13"/>
      <c r="G13" s="14">
        <f>115.68-21.77</f>
        <v>93.910000000000011</v>
      </c>
      <c r="H13" s="14">
        <f>159.331-21.77</f>
        <v>137.56099999999998</v>
      </c>
      <c r="I13" s="15" t="s">
        <v>23</v>
      </c>
      <c r="J13" s="16"/>
      <c r="K13" s="18">
        <v>455.07914508269999</v>
      </c>
      <c r="M13">
        <v>117.81099999999992</v>
      </c>
      <c r="N13">
        <v>43.471000000000004</v>
      </c>
    </row>
    <row r="14" spans="1:14" ht="18" x14ac:dyDescent="0.35">
      <c r="A14" s="10">
        <v>45061</v>
      </c>
      <c r="B14" s="11" t="s">
        <v>213</v>
      </c>
      <c r="C14" s="11" t="s">
        <v>11</v>
      </c>
      <c r="D14" s="11" t="s">
        <v>16</v>
      </c>
      <c r="E14" s="12">
        <f>H14-G14</f>
        <v>43.650999999999968</v>
      </c>
      <c r="F14" s="13"/>
      <c r="G14" s="14">
        <f>115.68-21.77</f>
        <v>93.910000000000011</v>
      </c>
      <c r="H14" s="14">
        <f>159.331-21.77</f>
        <v>137.56099999999998</v>
      </c>
      <c r="I14" s="15" t="s">
        <v>23</v>
      </c>
      <c r="J14" s="16"/>
      <c r="K14" s="18">
        <v>455.07914508269999</v>
      </c>
      <c r="M14">
        <v>1000.042</v>
      </c>
      <c r="N14">
        <v>1000.0419999999999</v>
      </c>
    </row>
    <row r="15" spans="1:14" ht="18" x14ac:dyDescent="0.35">
      <c r="A15" s="10">
        <v>44855</v>
      </c>
      <c r="B15" s="11" t="s">
        <v>25</v>
      </c>
      <c r="C15" s="11" t="s">
        <v>11</v>
      </c>
      <c r="D15" s="11" t="s">
        <v>19</v>
      </c>
      <c r="E15" s="12">
        <f t="shared" si="0"/>
        <v>2.0150000000000001</v>
      </c>
      <c r="F15" s="13"/>
      <c r="G15" s="14">
        <v>0</v>
      </c>
      <c r="H15" s="14">
        <v>2.0150000000000001</v>
      </c>
      <c r="I15" s="15" t="s">
        <v>26</v>
      </c>
      <c r="J15" s="16"/>
      <c r="K15" s="18">
        <v>495</v>
      </c>
      <c r="M15">
        <v>2.055000000000291</v>
      </c>
      <c r="N15">
        <v>1.095000000000141</v>
      </c>
    </row>
    <row r="16" spans="1:14" ht="18" x14ac:dyDescent="0.35">
      <c r="A16" s="19"/>
      <c r="B16" s="13" t="s">
        <v>27</v>
      </c>
      <c r="C16" s="13"/>
      <c r="D16" s="13"/>
      <c r="E16" s="20">
        <f>SUBTOTAL(9,E7:E15)</f>
        <v>1940.6140000000003</v>
      </c>
      <c r="F16" s="21">
        <f>E16</f>
        <v>1940.6140000000003</v>
      </c>
      <c r="G16" s="20">
        <f>SUBTOTAL(9,G7:G15)</f>
        <v>1419.1590000000001</v>
      </c>
      <c r="H16" s="20">
        <f>SUBTOTAL(9,H7:H15)</f>
        <v>3359.7730000000001</v>
      </c>
      <c r="I16" s="15"/>
      <c r="J16" s="16"/>
      <c r="K16" s="18"/>
    </row>
    <row r="17" spans="1:14" ht="18" x14ac:dyDescent="0.35">
      <c r="A17" s="19"/>
      <c r="B17" s="13"/>
      <c r="C17" s="13"/>
      <c r="D17" s="13"/>
      <c r="E17" s="20"/>
      <c r="F17" s="21"/>
      <c r="G17" s="20"/>
      <c r="H17" s="20"/>
      <c r="I17" s="15"/>
      <c r="J17" s="16"/>
      <c r="K17" s="18"/>
    </row>
    <row r="18" spans="1:14" ht="18" x14ac:dyDescent="0.35">
      <c r="A18" s="10">
        <v>44893</v>
      </c>
      <c r="B18" s="11" t="s">
        <v>175</v>
      </c>
      <c r="C18" s="12" t="s">
        <v>28</v>
      </c>
      <c r="D18" s="12" t="s">
        <v>9</v>
      </c>
      <c r="E18" s="12">
        <f t="shared" ref="E18" si="1">H18-G18</f>
        <v>528.90800000000002</v>
      </c>
      <c r="F18" s="14"/>
      <c r="G18" s="22">
        <f>20</f>
        <v>20</v>
      </c>
      <c r="H18" s="22">
        <f>565.828-16.92</f>
        <v>548.90800000000002</v>
      </c>
      <c r="I18" s="15" t="s">
        <v>29</v>
      </c>
      <c r="J18" s="16"/>
      <c r="K18" s="18">
        <v>1290</v>
      </c>
      <c r="M18">
        <v>56.535999999999831</v>
      </c>
      <c r="N18">
        <v>36.215999999999951</v>
      </c>
    </row>
    <row r="19" spans="1:14" ht="18" x14ac:dyDescent="0.35">
      <c r="A19" s="10">
        <v>44893</v>
      </c>
      <c r="B19" s="11" t="s">
        <v>176</v>
      </c>
      <c r="C19" s="12" t="s">
        <v>28</v>
      </c>
      <c r="D19" s="12" t="s">
        <v>9</v>
      </c>
      <c r="E19" s="12">
        <f t="shared" ref="E19" si="2">H19-G19</f>
        <v>528.90800000000002</v>
      </c>
      <c r="F19" s="14"/>
      <c r="G19" s="22">
        <f>20</f>
        <v>20</v>
      </c>
      <c r="H19" s="22">
        <f>565.828-16.92</f>
        <v>548.90800000000002</v>
      </c>
      <c r="I19" s="15" t="s">
        <v>29</v>
      </c>
      <c r="J19" s="16"/>
      <c r="K19" s="18">
        <v>1290</v>
      </c>
      <c r="M19">
        <v>482.28800000000001</v>
      </c>
      <c r="N19">
        <v>482.28800000000001</v>
      </c>
    </row>
    <row r="20" spans="1:14" ht="18" x14ac:dyDescent="0.35">
      <c r="A20" s="10"/>
      <c r="B20" s="13" t="s">
        <v>27</v>
      </c>
      <c r="C20" s="12"/>
      <c r="D20" s="12"/>
      <c r="E20" s="20">
        <f>SUBTOTAL(9,E19:E19)</f>
        <v>528.90800000000002</v>
      </c>
      <c r="F20" s="21">
        <f>E20</f>
        <v>528.90800000000002</v>
      </c>
      <c r="G20" s="20">
        <f>SUBTOTAL(9,G19:G19)</f>
        <v>20</v>
      </c>
      <c r="H20" s="20">
        <f>SUBTOTAL(9,H19:H19)</f>
        <v>548.90800000000002</v>
      </c>
      <c r="I20" s="15"/>
      <c r="J20" s="16"/>
      <c r="K20" s="18"/>
    </row>
    <row r="21" spans="1:14" ht="18" x14ac:dyDescent="0.35">
      <c r="A21" s="19"/>
      <c r="B21" s="13"/>
      <c r="C21" s="13"/>
      <c r="D21" s="13"/>
      <c r="E21" s="13"/>
      <c r="F21" s="21"/>
      <c r="G21" s="20"/>
      <c r="H21" s="20"/>
      <c r="I21" s="15"/>
      <c r="J21" s="16"/>
      <c r="K21" s="18"/>
    </row>
    <row r="22" spans="1:14" ht="18" x14ac:dyDescent="0.35">
      <c r="A22" s="10">
        <v>44910</v>
      </c>
      <c r="B22" s="12" t="s">
        <v>30</v>
      </c>
      <c r="C22" s="12" t="s">
        <v>31</v>
      </c>
      <c r="D22" s="12" t="s">
        <v>9</v>
      </c>
      <c r="E22" s="12">
        <f t="shared" ref="E22:E24" si="3">H22-G22</f>
        <v>0</v>
      </c>
      <c r="F22" s="21"/>
      <c r="G22" s="22">
        <v>10.776999999999999</v>
      </c>
      <c r="H22" s="22">
        <v>10.776999999999999</v>
      </c>
      <c r="I22" s="15" t="s">
        <v>32</v>
      </c>
      <c r="J22" s="16"/>
      <c r="K22" s="18">
        <v>680.11914634146342</v>
      </c>
      <c r="M22">
        <v>-10.642999999999972</v>
      </c>
      <c r="N22">
        <v>-0.41299999999995407</v>
      </c>
    </row>
    <row r="23" spans="1:14" ht="18" x14ac:dyDescent="0.35">
      <c r="A23" s="10">
        <v>44847</v>
      </c>
      <c r="B23" s="12" t="s">
        <v>33</v>
      </c>
      <c r="C23" s="12" t="s">
        <v>31</v>
      </c>
      <c r="D23" s="12" t="s">
        <v>16</v>
      </c>
      <c r="E23" s="12">
        <f t="shared" si="3"/>
        <v>0</v>
      </c>
      <c r="F23" s="21"/>
      <c r="G23" s="22">
        <v>22.535</v>
      </c>
      <c r="H23" s="22">
        <v>22.535</v>
      </c>
      <c r="I23" s="15" t="s">
        <v>23</v>
      </c>
      <c r="J23" s="16"/>
      <c r="K23" s="18">
        <v>670</v>
      </c>
      <c r="M23">
        <v>23.591000000000065</v>
      </c>
      <c r="N23">
        <v>-0.73900000000003274</v>
      </c>
    </row>
    <row r="24" spans="1:14" ht="18" x14ac:dyDescent="0.35">
      <c r="A24" s="10">
        <v>44789</v>
      </c>
      <c r="B24" s="12" t="s">
        <v>34</v>
      </c>
      <c r="C24" s="12" t="s">
        <v>31</v>
      </c>
      <c r="D24" s="12" t="s">
        <v>19</v>
      </c>
      <c r="E24" s="12">
        <f t="shared" si="3"/>
        <v>0</v>
      </c>
      <c r="F24" s="21"/>
      <c r="G24" s="22">
        <v>2.1280000000000001</v>
      </c>
      <c r="H24" s="22">
        <v>2.1280000000000001</v>
      </c>
      <c r="I24" s="15" t="s">
        <v>19</v>
      </c>
      <c r="J24" s="16"/>
      <c r="K24" s="18">
        <v>762</v>
      </c>
      <c r="M24">
        <v>7.32000000000005</v>
      </c>
      <c r="N24">
        <v>0.43000000000006366</v>
      </c>
    </row>
    <row r="25" spans="1:14" ht="18" x14ac:dyDescent="0.35">
      <c r="A25" s="19"/>
      <c r="B25" s="13" t="s">
        <v>27</v>
      </c>
      <c r="C25" s="13"/>
      <c r="D25" s="13"/>
      <c r="E25" s="20">
        <f>SUBTOTAL(9,E22:E24)</f>
        <v>0</v>
      </c>
      <c r="F25" s="21">
        <f>E25</f>
        <v>0</v>
      </c>
      <c r="G25" s="20">
        <f>SUBTOTAL(9,G22:G24)</f>
        <v>35.44</v>
      </c>
      <c r="H25" s="20">
        <f>SUBTOTAL(9,H22:H24)</f>
        <v>35.44</v>
      </c>
      <c r="I25" s="15"/>
      <c r="J25" s="16"/>
      <c r="K25" s="18"/>
    </row>
    <row r="26" spans="1:14" ht="18" x14ac:dyDescent="0.35">
      <c r="A26" s="19"/>
      <c r="B26" s="23"/>
      <c r="C26" s="23"/>
      <c r="D26" s="23"/>
      <c r="E26" s="24"/>
      <c r="F26" s="24"/>
      <c r="G26" s="24"/>
      <c r="H26" s="23"/>
      <c r="I26" s="15"/>
      <c r="J26" s="16"/>
      <c r="K26" s="18"/>
    </row>
    <row r="27" spans="1:14" ht="18" x14ac:dyDescent="0.35">
      <c r="A27" s="10">
        <v>44400</v>
      </c>
      <c r="B27" s="11" t="s">
        <v>177</v>
      </c>
      <c r="C27" s="11" t="s">
        <v>35</v>
      </c>
      <c r="D27" s="11" t="s">
        <v>9</v>
      </c>
      <c r="E27" s="12">
        <f t="shared" ref="E27:E36" si="4">H27-G27</f>
        <v>2.4209999999999994</v>
      </c>
      <c r="F27" s="13"/>
      <c r="G27" s="22">
        <v>0</v>
      </c>
      <c r="H27" s="22">
        <v>2.4209999999999994</v>
      </c>
      <c r="I27" s="15" t="s">
        <v>36</v>
      </c>
      <c r="J27" s="16"/>
      <c r="K27" s="18">
        <v>2225</v>
      </c>
      <c r="M27">
        <v>2.4210000000000491</v>
      </c>
      <c r="N27">
        <v>-2.4440000000000204</v>
      </c>
    </row>
    <row r="28" spans="1:14" ht="18" x14ac:dyDescent="0.35">
      <c r="A28" s="10">
        <v>44696</v>
      </c>
      <c r="B28" s="11" t="s">
        <v>37</v>
      </c>
      <c r="C28" s="11" t="s">
        <v>35</v>
      </c>
      <c r="D28" s="11" t="s">
        <v>9</v>
      </c>
      <c r="E28" s="12">
        <f t="shared" si="4"/>
        <v>9.0749999999999993</v>
      </c>
      <c r="F28" s="13"/>
      <c r="G28" s="22">
        <v>0</v>
      </c>
      <c r="H28" s="22">
        <v>9.0749999999999993</v>
      </c>
      <c r="I28" s="15" t="s">
        <v>38</v>
      </c>
      <c r="J28" s="16"/>
      <c r="K28" s="18">
        <v>1710</v>
      </c>
      <c r="M28">
        <v>0</v>
      </c>
      <c r="N28">
        <v>-4.4408920985006262E-15</v>
      </c>
    </row>
    <row r="29" spans="1:14" ht="18" x14ac:dyDescent="0.35">
      <c r="A29" s="10">
        <v>44773</v>
      </c>
      <c r="B29" s="11" t="s">
        <v>39</v>
      </c>
      <c r="C29" s="11" t="s">
        <v>35</v>
      </c>
      <c r="D29" s="11" t="s">
        <v>9</v>
      </c>
      <c r="E29" s="12">
        <f t="shared" si="4"/>
        <v>490.36</v>
      </c>
      <c r="F29" s="13"/>
      <c r="G29" s="22">
        <v>0</v>
      </c>
      <c r="H29" s="22">
        <v>490.36</v>
      </c>
      <c r="I29" s="15" t="s">
        <v>40</v>
      </c>
      <c r="J29" s="25" t="s">
        <v>41</v>
      </c>
      <c r="K29" s="18">
        <v>1577</v>
      </c>
      <c r="M29" t="e">
        <v>#N/A</v>
      </c>
      <c r="N29" t="e">
        <v>#N/A</v>
      </c>
    </row>
    <row r="30" spans="1:14" ht="18" x14ac:dyDescent="0.35">
      <c r="A30" s="10">
        <v>44843</v>
      </c>
      <c r="B30" s="11" t="s">
        <v>42</v>
      </c>
      <c r="C30" s="11" t="s">
        <v>35</v>
      </c>
      <c r="D30" s="11" t="s">
        <v>9</v>
      </c>
      <c r="E30" s="12">
        <f t="shared" si="4"/>
        <v>0</v>
      </c>
      <c r="F30" s="13"/>
      <c r="G30" s="22">
        <f>171.643-26.12-26.4-20.02</f>
        <v>99.102999999999994</v>
      </c>
      <c r="H30" s="22">
        <f>171.643-26.12-26.4-20.02</f>
        <v>99.102999999999994</v>
      </c>
      <c r="I30" s="15" t="s">
        <v>40</v>
      </c>
      <c r="J30" s="16"/>
      <c r="K30" s="18">
        <v>1332</v>
      </c>
      <c r="M30">
        <v>89.240000000000123</v>
      </c>
      <c r="N30">
        <v>2.0799999999999272</v>
      </c>
    </row>
    <row r="31" spans="1:14" ht="18" x14ac:dyDescent="0.35">
      <c r="A31" s="10">
        <v>44884</v>
      </c>
      <c r="B31" s="11" t="s">
        <v>178</v>
      </c>
      <c r="C31" s="11" t="s">
        <v>35</v>
      </c>
      <c r="D31" s="11" t="s">
        <v>9</v>
      </c>
      <c r="E31" s="12">
        <f t="shared" ref="E31" si="5">H31-G31</f>
        <v>705.59799999999996</v>
      </c>
      <c r="F31" s="13"/>
      <c r="G31" s="22">
        <v>0</v>
      </c>
      <c r="H31" s="22">
        <v>705.59799999999996</v>
      </c>
      <c r="I31" s="15" t="s">
        <v>40</v>
      </c>
      <c r="J31" s="16"/>
      <c r="K31" s="18">
        <v>1460</v>
      </c>
      <c r="M31">
        <v>594.01739999999995</v>
      </c>
      <c r="N31">
        <v>-4.9826000000000477</v>
      </c>
    </row>
    <row r="32" spans="1:14" ht="18" x14ac:dyDescent="0.35">
      <c r="A32" s="10">
        <v>44884</v>
      </c>
      <c r="B32" s="11" t="s">
        <v>179</v>
      </c>
      <c r="C32" s="11" t="s">
        <v>35</v>
      </c>
      <c r="D32" s="11" t="s">
        <v>9</v>
      </c>
      <c r="E32" s="12">
        <f t="shared" si="4"/>
        <v>705.59799999999996</v>
      </c>
      <c r="F32" s="13"/>
      <c r="G32" s="22">
        <v>0</v>
      </c>
      <c r="H32" s="22">
        <v>705.59799999999996</v>
      </c>
      <c r="I32" s="15" t="s">
        <v>40</v>
      </c>
      <c r="J32" s="16"/>
      <c r="K32" s="18">
        <v>1460</v>
      </c>
      <c r="M32">
        <v>710.5806</v>
      </c>
      <c r="N32">
        <v>628.58059999999989</v>
      </c>
    </row>
    <row r="33" spans="1:14" ht="18" x14ac:dyDescent="0.35">
      <c r="A33" s="10">
        <v>44962</v>
      </c>
      <c r="B33" s="11" t="s">
        <v>180</v>
      </c>
      <c r="C33" s="11" t="s">
        <v>35</v>
      </c>
      <c r="D33" s="11" t="s">
        <v>9</v>
      </c>
      <c r="E33" s="12">
        <f t="shared" si="4"/>
        <v>0</v>
      </c>
      <c r="F33" s="13"/>
      <c r="G33" s="22">
        <f>265+33.707</f>
        <v>298.70699999999999</v>
      </c>
      <c r="H33" s="22">
        <v>298.70699999999999</v>
      </c>
      <c r="I33" s="15" t="s">
        <v>40</v>
      </c>
      <c r="J33" s="16"/>
      <c r="K33" s="18">
        <v>1375</v>
      </c>
      <c r="M33">
        <v>298.70699999999999</v>
      </c>
      <c r="N33">
        <v>298.70699999999999</v>
      </c>
    </row>
    <row r="34" spans="1:14" ht="18" x14ac:dyDescent="0.35">
      <c r="A34" s="10">
        <v>44971</v>
      </c>
      <c r="B34" s="11" t="s">
        <v>181</v>
      </c>
      <c r="C34" s="11" t="s">
        <v>35</v>
      </c>
      <c r="D34" s="11" t="s">
        <v>9</v>
      </c>
      <c r="E34" s="12">
        <f t="shared" si="4"/>
        <v>0</v>
      </c>
      <c r="F34" s="13"/>
      <c r="G34" s="22">
        <f>369.602-15.26-71.12-28.11</f>
        <v>255.11199999999997</v>
      </c>
      <c r="H34" s="22">
        <f>369.602-15.26-71.12-28.11</f>
        <v>255.11199999999997</v>
      </c>
      <c r="I34" s="15" t="s">
        <v>43</v>
      </c>
      <c r="J34" s="16"/>
      <c r="K34" s="18">
        <v>1366.65</v>
      </c>
      <c r="M34">
        <v>172.87200000000018</v>
      </c>
      <c r="N34">
        <v>-23.277999999999793</v>
      </c>
    </row>
    <row r="35" spans="1:14" ht="18" x14ac:dyDescent="0.35">
      <c r="A35" s="10">
        <v>45004</v>
      </c>
      <c r="B35" s="11" t="s">
        <v>44</v>
      </c>
      <c r="C35" s="11" t="s">
        <v>35</v>
      </c>
      <c r="D35" s="11" t="s">
        <v>9</v>
      </c>
      <c r="E35" s="12">
        <f t="shared" si="4"/>
        <v>1772.7069999999999</v>
      </c>
      <c r="F35" s="13"/>
      <c r="G35" s="22">
        <f>27+140+200</f>
        <v>367</v>
      </c>
      <c r="H35" s="22">
        <v>2139.7069999999999</v>
      </c>
      <c r="I35" s="15" t="s">
        <v>45</v>
      </c>
      <c r="J35" s="16"/>
      <c r="K35" s="18">
        <v>780.63691570676497</v>
      </c>
      <c r="M35">
        <v>2132.9670000000001</v>
      </c>
      <c r="N35">
        <v>1494.2669999999998</v>
      </c>
    </row>
    <row r="36" spans="1:14" ht="18" x14ac:dyDescent="0.35">
      <c r="A36" s="10">
        <v>45034</v>
      </c>
      <c r="B36" s="11" t="s">
        <v>182</v>
      </c>
      <c r="C36" s="11" t="s">
        <v>35</v>
      </c>
      <c r="D36" s="11" t="s">
        <v>9</v>
      </c>
      <c r="E36" s="12">
        <f t="shared" si="4"/>
        <v>297.28300000000002</v>
      </c>
      <c r="F36" s="13"/>
      <c r="G36" s="22">
        <v>0</v>
      </c>
      <c r="H36" s="22">
        <v>297.28300000000002</v>
      </c>
      <c r="I36" s="15" t="s">
        <v>29</v>
      </c>
      <c r="J36" s="16"/>
      <c r="K36" s="18"/>
      <c r="M36">
        <v>297.28300000000002</v>
      </c>
      <c r="N36">
        <v>297.28300000000002</v>
      </c>
    </row>
    <row r="37" spans="1:14" ht="18" x14ac:dyDescent="0.35">
      <c r="A37" s="19"/>
      <c r="B37" s="26" t="s">
        <v>27</v>
      </c>
      <c r="C37" s="11"/>
      <c r="D37" s="11"/>
      <c r="E37" s="20">
        <f>SUBTOTAL(9,E27:E36)</f>
        <v>3983.0419999999999</v>
      </c>
      <c r="F37" s="21">
        <f>E37</f>
        <v>3983.0419999999999</v>
      </c>
      <c r="G37" s="20">
        <f>SUBTOTAL(9,G27:G36)</f>
        <v>1019.922</v>
      </c>
      <c r="H37" s="20">
        <f>SUBTOTAL(9,H27:H36)</f>
        <v>5002.9639999999999</v>
      </c>
      <c r="I37" s="15"/>
      <c r="J37" s="16"/>
      <c r="K37" s="18"/>
    </row>
    <row r="38" spans="1:14" ht="18" x14ac:dyDescent="0.35">
      <c r="A38" s="19"/>
      <c r="B38" s="26"/>
      <c r="C38" s="11"/>
      <c r="D38" s="11"/>
      <c r="E38" s="13"/>
      <c r="F38" s="13"/>
      <c r="G38" s="13"/>
      <c r="H38" s="27"/>
      <c r="I38" s="15"/>
      <c r="J38" s="16"/>
      <c r="K38" s="18"/>
    </row>
    <row r="39" spans="1:14" ht="18" x14ac:dyDescent="0.35">
      <c r="A39" s="10">
        <v>44904</v>
      </c>
      <c r="B39" s="11" t="s">
        <v>183</v>
      </c>
      <c r="C39" s="11" t="s">
        <v>46</v>
      </c>
      <c r="D39" s="11" t="s">
        <v>9</v>
      </c>
      <c r="E39" s="12">
        <f t="shared" ref="E39:E48" si="6">H39-G39</f>
        <v>0</v>
      </c>
      <c r="F39" s="13"/>
      <c r="G39" s="22">
        <v>3.1539999999999999</v>
      </c>
      <c r="H39" s="22">
        <v>3.1539999999999999</v>
      </c>
      <c r="I39" s="15" t="s">
        <v>47</v>
      </c>
      <c r="J39" s="16"/>
      <c r="K39" s="18">
        <v>970.16994580646303</v>
      </c>
      <c r="M39">
        <v>10.041999999999916</v>
      </c>
      <c r="N39">
        <v>10.042000000000144</v>
      </c>
    </row>
    <row r="40" spans="1:14" ht="18" x14ac:dyDescent="0.35">
      <c r="A40" s="10">
        <v>44904</v>
      </c>
      <c r="B40" s="11" t="s">
        <v>184</v>
      </c>
      <c r="C40" s="11" t="s">
        <v>46</v>
      </c>
      <c r="D40" s="11" t="s">
        <v>9</v>
      </c>
      <c r="E40" s="12">
        <f t="shared" ref="E40" si="7">H40-G40</f>
        <v>0</v>
      </c>
      <c r="F40" s="13"/>
      <c r="G40" s="22">
        <v>3.1539999999999999</v>
      </c>
      <c r="H40" s="22">
        <v>3.1539999999999999</v>
      </c>
      <c r="I40" s="15" t="s">
        <v>47</v>
      </c>
      <c r="J40" s="16"/>
      <c r="K40" s="18">
        <v>970.16994580646303</v>
      </c>
      <c r="M40">
        <v>3.1559999999999491</v>
      </c>
      <c r="N40">
        <v>3.1559999999994943</v>
      </c>
    </row>
    <row r="41" spans="1:14" ht="18" x14ac:dyDescent="0.35">
      <c r="A41" s="10">
        <v>44911</v>
      </c>
      <c r="B41" s="11" t="s">
        <v>48</v>
      </c>
      <c r="C41" s="11" t="s">
        <v>46</v>
      </c>
      <c r="D41" s="11" t="s">
        <v>9</v>
      </c>
      <c r="E41" s="12">
        <f t="shared" si="6"/>
        <v>27.477</v>
      </c>
      <c r="F41" s="13"/>
      <c r="G41" s="22">
        <v>15.52</v>
      </c>
      <c r="H41" s="22">
        <v>42.997</v>
      </c>
      <c r="I41" s="15" t="s">
        <v>29</v>
      </c>
      <c r="J41" s="16"/>
      <c r="K41" s="18">
        <v>920.16353236038913</v>
      </c>
      <c r="M41">
        <v>0.29300000000012005</v>
      </c>
      <c r="N41">
        <v>-1.3799999999999457</v>
      </c>
    </row>
    <row r="42" spans="1:14" ht="18" x14ac:dyDescent="0.35">
      <c r="A42" s="10">
        <v>44978</v>
      </c>
      <c r="B42" s="11" t="s">
        <v>185</v>
      </c>
      <c r="C42" s="11" t="s">
        <v>46</v>
      </c>
      <c r="D42" s="11" t="s">
        <v>9</v>
      </c>
      <c r="E42" s="12">
        <f t="shared" si="6"/>
        <v>0</v>
      </c>
      <c r="F42" s="13"/>
      <c r="G42" s="22">
        <f>285.963-27.53-44.66-16.08</f>
        <v>197.69299999999998</v>
      </c>
      <c r="H42" s="22">
        <f>285.963-27.53-44.66-16.08</f>
        <v>197.69299999999998</v>
      </c>
      <c r="I42" s="15" t="s">
        <v>18</v>
      </c>
      <c r="J42" s="16"/>
      <c r="K42" s="18">
        <v>1015.17464507461</v>
      </c>
      <c r="M42">
        <v>33.633000000000493</v>
      </c>
      <c r="N42">
        <v>-50.766999999999825</v>
      </c>
    </row>
    <row r="43" spans="1:14" ht="18" x14ac:dyDescent="0.35">
      <c r="A43" s="10">
        <v>45009</v>
      </c>
      <c r="B43" s="11" t="s">
        <v>49</v>
      </c>
      <c r="C43" s="11" t="s">
        <v>46</v>
      </c>
      <c r="D43" s="11" t="s">
        <v>9</v>
      </c>
      <c r="E43" s="12">
        <f t="shared" si="6"/>
        <v>0</v>
      </c>
      <c r="F43" s="13"/>
      <c r="G43" s="22">
        <f>80+51+21+50+20+224+25-107+200+21+22-24.77+25-42.77-39.44-94.18+113.735-38.54-41.69-49.23-22.04-38.76-47.64</f>
        <v>306.6749999999999</v>
      </c>
      <c r="H43" s="22">
        <f>80+51+21+50+20+224+25-107+200+21+22-24.77+25-42.77-39.44-94.18+113.735-38.54-41.69-49.23-22.04-38.76-47.64</f>
        <v>306.6749999999999</v>
      </c>
      <c r="I43" s="15" t="s">
        <v>18</v>
      </c>
      <c r="J43" s="16"/>
      <c r="K43" s="18">
        <v>1030.17871517803</v>
      </c>
      <c r="M43">
        <v>103.99500000000012</v>
      </c>
      <c r="N43">
        <v>-4.1749999999999545</v>
      </c>
    </row>
    <row r="44" spans="1:14" ht="18" x14ac:dyDescent="0.35">
      <c r="A44" s="10">
        <v>45034</v>
      </c>
      <c r="B44" s="11" t="s">
        <v>50</v>
      </c>
      <c r="C44" s="11" t="s">
        <v>46</v>
      </c>
      <c r="D44" s="11" t="s">
        <v>9</v>
      </c>
      <c r="E44" s="12">
        <f t="shared" ref="E44" si="8">H44-G44</f>
        <v>248.90699999999998</v>
      </c>
      <c r="F44" s="13"/>
      <c r="G44" s="22">
        <v>65</v>
      </c>
      <c r="H44" s="22">
        <v>313.90699999999998</v>
      </c>
      <c r="I44" s="15" t="s">
        <v>18</v>
      </c>
      <c r="J44" s="16"/>
      <c r="K44" s="18"/>
      <c r="M44">
        <v>134.80699999999999</v>
      </c>
      <c r="N44">
        <v>-318.15299999999996</v>
      </c>
    </row>
    <row r="45" spans="1:14" ht="18" x14ac:dyDescent="0.35">
      <c r="A45" s="10">
        <v>45060</v>
      </c>
      <c r="B45" s="11" t="s">
        <v>214</v>
      </c>
      <c r="C45" s="11" t="s">
        <v>46</v>
      </c>
      <c r="D45" s="11" t="s">
        <v>9</v>
      </c>
      <c r="E45" s="12">
        <f t="shared" si="6"/>
        <v>248.90699999999998</v>
      </c>
      <c r="F45" s="13"/>
      <c r="G45" s="22">
        <v>65</v>
      </c>
      <c r="H45" s="22">
        <v>313.90699999999998</v>
      </c>
      <c r="I45" s="15" t="s">
        <v>223</v>
      </c>
      <c r="J45" s="16"/>
      <c r="K45" s="18"/>
      <c r="M45">
        <v>999.16300000000001</v>
      </c>
      <c r="N45">
        <v>999.16300000000001</v>
      </c>
    </row>
    <row r="46" spans="1:14" ht="18" x14ac:dyDescent="0.35">
      <c r="A46" s="10">
        <v>44941</v>
      </c>
      <c r="B46" s="11" t="s">
        <v>51</v>
      </c>
      <c r="C46" s="11" t="s">
        <v>46</v>
      </c>
      <c r="D46" s="11" t="s">
        <v>19</v>
      </c>
      <c r="E46" s="12">
        <f t="shared" si="6"/>
        <v>0</v>
      </c>
      <c r="F46" s="13"/>
      <c r="G46" s="22">
        <v>19.75</v>
      </c>
      <c r="H46" s="22">
        <v>19.75</v>
      </c>
      <c r="I46" s="15" t="s">
        <v>26</v>
      </c>
      <c r="J46" s="16"/>
      <c r="K46" s="18">
        <v>974.57917791423142</v>
      </c>
      <c r="M46">
        <v>0</v>
      </c>
      <c r="N46">
        <v>4.5474735088646412E-13</v>
      </c>
    </row>
    <row r="47" spans="1:14" ht="18" x14ac:dyDescent="0.35">
      <c r="A47" s="10">
        <v>45004</v>
      </c>
      <c r="B47" s="11" t="s">
        <v>52</v>
      </c>
      <c r="C47" s="11" t="s">
        <v>46</v>
      </c>
      <c r="D47" s="11" t="s">
        <v>19</v>
      </c>
      <c r="E47" s="28">
        <f t="shared" ref="E47" si="9">H47-G47</f>
        <v>-114.53300000000002</v>
      </c>
      <c r="F47" s="13"/>
      <c r="G47" s="22">
        <f>341+15+25-14.94+30</f>
        <v>396.06</v>
      </c>
      <c r="H47" s="22">
        <f>296.467-14.94</f>
        <v>281.52699999999999</v>
      </c>
      <c r="I47" s="15" t="s">
        <v>26</v>
      </c>
      <c r="J47" s="16"/>
      <c r="K47" s="18">
        <v>1030.17914864454</v>
      </c>
      <c r="M47">
        <v>4.7170000000000982</v>
      </c>
      <c r="N47">
        <v>-101.21999999999986</v>
      </c>
    </row>
    <row r="48" spans="1:14" ht="18" x14ac:dyDescent="0.35">
      <c r="A48" s="10">
        <v>45055</v>
      </c>
      <c r="B48" s="11" t="s">
        <v>215</v>
      </c>
      <c r="C48" s="11" t="s">
        <v>46</v>
      </c>
      <c r="D48" s="11" t="s">
        <v>19</v>
      </c>
      <c r="E48" s="28">
        <f t="shared" si="6"/>
        <v>-114.53300000000002</v>
      </c>
      <c r="F48" s="13"/>
      <c r="G48" s="22">
        <f>341+15+25-14.94+30</f>
        <v>396.06</v>
      </c>
      <c r="H48" s="22">
        <f>296.467-14.94</f>
        <v>281.52699999999999</v>
      </c>
      <c r="I48" s="15" t="s">
        <v>26</v>
      </c>
      <c r="J48" s="16"/>
      <c r="K48" s="18">
        <v>1030.17914864454</v>
      </c>
      <c r="M48">
        <v>977.11</v>
      </c>
      <c r="N48">
        <v>945.40699999999993</v>
      </c>
    </row>
    <row r="49" spans="1:14" ht="20.25" customHeight="1" x14ac:dyDescent="0.35">
      <c r="A49" s="19"/>
      <c r="B49" s="26" t="s">
        <v>27</v>
      </c>
      <c r="C49" s="11"/>
      <c r="D49" s="11"/>
      <c r="E49" s="20">
        <f>SUBTOTAL(9,E39:E48)</f>
        <v>296.22499999999991</v>
      </c>
      <c r="F49" s="21">
        <f>E49</f>
        <v>296.22499999999991</v>
      </c>
      <c r="G49" s="20">
        <f>SUBTOTAL(9,G39:G48)</f>
        <v>1468.0659999999998</v>
      </c>
      <c r="H49" s="20">
        <f>SUBTOTAL(9,H39:H48)</f>
        <v>1764.2909999999999</v>
      </c>
      <c r="I49" s="15"/>
      <c r="J49" s="16"/>
      <c r="K49" s="18"/>
    </row>
    <row r="50" spans="1:14" ht="18" x14ac:dyDescent="0.35">
      <c r="A50" s="19"/>
      <c r="B50" s="26"/>
      <c r="C50" s="11"/>
      <c r="D50" s="11"/>
      <c r="E50" s="13"/>
      <c r="F50" s="21"/>
      <c r="G50" s="20"/>
      <c r="H50" s="20"/>
      <c r="I50" s="15"/>
      <c r="J50" s="16"/>
      <c r="K50" s="18"/>
    </row>
    <row r="51" spans="1:14" ht="18" x14ac:dyDescent="0.35">
      <c r="A51" s="10">
        <v>44839</v>
      </c>
      <c r="B51" s="11" t="s">
        <v>186</v>
      </c>
      <c r="C51" s="11" t="s">
        <v>53</v>
      </c>
      <c r="D51" s="11" t="s">
        <v>9</v>
      </c>
      <c r="E51" s="12">
        <f t="shared" ref="E51:E56" si="10">H51-G51</f>
        <v>4.3049999999999997</v>
      </c>
      <c r="F51" s="21"/>
      <c r="G51" s="22">
        <v>0</v>
      </c>
      <c r="H51" s="22">
        <v>4.3049999999999997</v>
      </c>
      <c r="I51" s="15" t="s">
        <v>47</v>
      </c>
      <c r="J51" s="16"/>
      <c r="K51" s="18">
        <v>851.14810627318195</v>
      </c>
      <c r="M51">
        <v>4.305000000000291</v>
      </c>
      <c r="N51">
        <v>-17.374999999999091</v>
      </c>
    </row>
    <row r="52" spans="1:14" ht="18" x14ac:dyDescent="0.35">
      <c r="A52" s="10">
        <v>44978</v>
      </c>
      <c r="B52" s="11" t="s">
        <v>187</v>
      </c>
      <c r="C52" s="11" t="s">
        <v>53</v>
      </c>
      <c r="D52" s="11" t="s">
        <v>9</v>
      </c>
      <c r="E52" s="12">
        <f t="shared" si="10"/>
        <v>667.32299999999998</v>
      </c>
      <c r="F52" s="21"/>
      <c r="G52" s="22">
        <f>71+44-16.86+51-51.07-51.38</f>
        <v>46.689999999999991</v>
      </c>
      <c r="H52" s="22">
        <f>833.323-16.86-51.07-51.38</f>
        <v>714.01299999999992</v>
      </c>
      <c r="I52" s="15" t="s">
        <v>29</v>
      </c>
      <c r="J52" s="16"/>
      <c r="K52" s="18">
        <v>1000.1720589981708</v>
      </c>
      <c r="M52">
        <v>648.23300000000017</v>
      </c>
      <c r="N52">
        <v>464.23300000000063</v>
      </c>
    </row>
    <row r="53" spans="1:14" ht="18" x14ac:dyDescent="0.35">
      <c r="A53" s="10">
        <v>45009</v>
      </c>
      <c r="B53" s="11" t="s">
        <v>188</v>
      </c>
      <c r="C53" s="11" t="s">
        <v>53</v>
      </c>
      <c r="D53" s="11" t="s">
        <v>9</v>
      </c>
      <c r="E53" s="12">
        <f t="shared" si="10"/>
        <v>1066.547</v>
      </c>
      <c r="F53" s="21"/>
      <c r="G53" s="22">
        <v>500</v>
      </c>
      <c r="H53" s="22">
        <v>1566.547</v>
      </c>
      <c r="I53" s="15" t="s">
        <v>54</v>
      </c>
      <c r="J53" s="16"/>
      <c r="K53" s="18">
        <v>1030.1787151780288</v>
      </c>
      <c r="M53">
        <v>1566.547</v>
      </c>
      <c r="N53">
        <v>1566.547</v>
      </c>
    </row>
    <row r="54" spans="1:14" ht="18" x14ac:dyDescent="0.35">
      <c r="A54" s="10">
        <v>45034</v>
      </c>
      <c r="B54" s="11" t="s">
        <v>55</v>
      </c>
      <c r="C54" s="11" t="s">
        <v>53</v>
      </c>
      <c r="D54" s="11" t="s">
        <v>9</v>
      </c>
      <c r="E54" s="12">
        <f t="shared" si="10"/>
        <v>731.40499999999997</v>
      </c>
      <c r="F54" s="21"/>
      <c r="G54" s="22">
        <v>0</v>
      </c>
      <c r="H54" s="22">
        <v>731.40499999999997</v>
      </c>
      <c r="I54" s="15" t="s">
        <v>54</v>
      </c>
      <c r="J54" s="16"/>
      <c r="K54" s="18"/>
      <c r="M54">
        <v>731.40499999999997</v>
      </c>
      <c r="N54">
        <v>731.40499999999997</v>
      </c>
    </row>
    <row r="55" spans="1:14" ht="18" x14ac:dyDescent="0.35">
      <c r="A55" s="10">
        <v>45021</v>
      </c>
      <c r="B55" s="11" t="s">
        <v>56</v>
      </c>
      <c r="C55" s="11" t="s">
        <v>53</v>
      </c>
      <c r="D55" s="11" t="s">
        <v>13</v>
      </c>
      <c r="E55" s="12">
        <f t="shared" si="10"/>
        <v>0</v>
      </c>
      <c r="F55" s="21"/>
      <c r="G55" s="22">
        <f>504.115-22.96-45.89-22.96-8.19</f>
        <v>404.11500000000007</v>
      </c>
      <c r="H55" s="22">
        <f>504.115-22.96-45.89-22.96-8.19</f>
        <v>404.11500000000007</v>
      </c>
      <c r="I55" s="15" t="s">
        <v>13</v>
      </c>
      <c r="J55" s="16"/>
      <c r="K55" s="18"/>
      <c r="M55">
        <v>236.86500000000001</v>
      </c>
      <c r="N55">
        <v>0.43</v>
      </c>
    </row>
    <row r="56" spans="1:14" ht="18" x14ac:dyDescent="0.35">
      <c r="A56" s="10">
        <v>45029</v>
      </c>
      <c r="B56" s="11" t="s">
        <v>57</v>
      </c>
      <c r="C56" s="11" t="s">
        <v>53</v>
      </c>
      <c r="D56" s="11" t="s">
        <v>16</v>
      </c>
      <c r="E56" s="12">
        <f t="shared" si="10"/>
        <v>1097.454</v>
      </c>
      <c r="F56" s="21"/>
      <c r="G56" s="22">
        <f>57+10-16.04+10+30+25-29.04+53.5-18.47</f>
        <v>121.95000000000002</v>
      </c>
      <c r="H56" s="22">
        <f>1282.954-16.04-29.04-18.47</f>
        <v>1219.404</v>
      </c>
      <c r="I56" s="15" t="s">
        <v>23</v>
      </c>
      <c r="J56" s="16"/>
      <c r="K56" s="18">
        <v>971.25</v>
      </c>
      <c r="M56">
        <v>940.33400000000006</v>
      </c>
      <c r="N56">
        <v>785.67399999999998</v>
      </c>
    </row>
    <row r="57" spans="1:14" ht="18" x14ac:dyDescent="0.35">
      <c r="A57" s="19"/>
      <c r="B57" s="26" t="s">
        <v>27</v>
      </c>
      <c r="C57" s="11"/>
      <c r="D57" s="11"/>
      <c r="E57" s="20">
        <f>SUBTOTAL(9,E51:E56)</f>
        <v>3567.0339999999997</v>
      </c>
      <c r="F57" s="21">
        <f>E57</f>
        <v>3567.0339999999997</v>
      </c>
      <c r="G57" s="20">
        <f>SUBTOTAL(9,G51:G56)</f>
        <v>1072.7550000000001</v>
      </c>
      <c r="H57" s="20">
        <f>SUBTOTAL(9,H51:H56)</f>
        <v>4639.7889999999998</v>
      </c>
      <c r="I57" s="15"/>
      <c r="J57" s="16"/>
      <c r="K57" s="18"/>
    </row>
    <row r="58" spans="1:14" ht="18" x14ac:dyDescent="0.35">
      <c r="A58" s="19"/>
      <c r="B58" s="26"/>
      <c r="C58" s="11"/>
      <c r="D58" s="11"/>
      <c r="E58" s="13"/>
      <c r="F58" s="21"/>
      <c r="G58" s="20"/>
      <c r="H58" s="20"/>
      <c r="I58" s="15"/>
      <c r="J58" s="16"/>
      <c r="K58" s="18"/>
    </row>
    <row r="59" spans="1:14" ht="18" x14ac:dyDescent="0.35">
      <c r="A59" s="10">
        <v>44949</v>
      </c>
      <c r="B59" s="11" t="s">
        <v>189</v>
      </c>
      <c r="C59" s="11" t="s">
        <v>58</v>
      </c>
      <c r="D59" s="11" t="s">
        <v>9</v>
      </c>
      <c r="E59" s="12">
        <f t="shared" ref="E59:E64" si="11">H59-G59</f>
        <v>24.122</v>
      </c>
      <c r="F59" s="29"/>
      <c r="G59" s="22">
        <v>0</v>
      </c>
      <c r="H59" s="22">
        <f>53.042-28.92</f>
        <v>24.122</v>
      </c>
      <c r="I59" s="15" t="s">
        <v>40</v>
      </c>
      <c r="J59" s="16"/>
      <c r="K59" s="18">
        <v>825</v>
      </c>
      <c r="M59">
        <v>24.111999999999995</v>
      </c>
      <c r="N59">
        <v>24.111999999999995</v>
      </c>
    </row>
    <row r="60" spans="1:14" ht="18" x14ac:dyDescent="0.35">
      <c r="A60" s="10">
        <v>45004</v>
      </c>
      <c r="B60" s="11" t="s">
        <v>59</v>
      </c>
      <c r="C60" s="11" t="s">
        <v>58</v>
      </c>
      <c r="D60" s="11" t="s">
        <v>9</v>
      </c>
      <c r="E60" s="12">
        <f t="shared" ref="E60" si="12">H60-G60</f>
        <v>423.30700000000002</v>
      </c>
      <c r="F60" s="29"/>
      <c r="G60" s="22">
        <f>50-29.92-20.08</f>
        <v>0</v>
      </c>
      <c r="H60" s="22">
        <f>473.307-29.92-20.08</f>
        <v>423.30700000000002</v>
      </c>
      <c r="I60" s="15" t="s">
        <v>40</v>
      </c>
      <c r="J60" s="16"/>
      <c r="K60" s="18">
        <v>855</v>
      </c>
      <c r="M60">
        <v>423.30700000000002</v>
      </c>
      <c r="N60">
        <v>423.30700000000002</v>
      </c>
    </row>
    <row r="61" spans="1:14" ht="18" x14ac:dyDescent="0.35">
      <c r="A61" s="10">
        <v>45060</v>
      </c>
      <c r="B61" s="11" t="s">
        <v>220</v>
      </c>
      <c r="C61" s="11" t="s">
        <v>58</v>
      </c>
      <c r="D61" s="11" t="s">
        <v>9</v>
      </c>
      <c r="E61" s="12">
        <f t="shared" si="11"/>
        <v>423.30700000000002</v>
      </c>
      <c r="F61" s="29"/>
      <c r="G61" s="22">
        <f>50-29.92-20.08</f>
        <v>0</v>
      </c>
      <c r="H61" s="22">
        <f>473.307-29.92-20.08</f>
        <v>423.30700000000002</v>
      </c>
      <c r="I61" s="15" t="s">
        <v>47</v>
      </c>
      <c r="J61" s="16"/>
      <c r="K61" s="18">
        <v>855</v>
      </c>
      <c r="M61">
        <v>223.541</v>
      </c>
      <c r="N61">
        <v>223.541</v>
      </c>
    </row>
    <row r="62" spans="1:14" s="52" customFormat="1" ht="18" x14ac:dyDescent="0.35">
      <c r="A62" s="45"/>
      <c r="B62" s="31" t="s">
        <v>60</v>
      </c>
      <c r="C62" s="31" t="s">
        <v>58</v>
      </c>
      <c r="D62" s="31" t="s">
        <v>9</v>
      </c>
      <c r="E62" s="46">
        <f t="shared" si="11"/>
        <v>117.62</v>
      </c>
      <c r="F62" s="47"/>
      <c r="G62" s="48">
        <v>0</v>
      </c>
      <c r="H62" s="48">
        <v>117.62</v>
      </c>
      <c r="I62" s="49" t="s">
        <v>40</v>
      </c>
      <c r="J62" s="50"/>
      <c r="K62" s="51"/>
      <c r="M62" s="52" t="e">
        <v>#N/A</v>
      </c>
      <c r="N62" s="52" t="e">
        <v>#N/A</v>
      </c>
    </row>
    <row r="63" spans="1:14" ht="18" x14ac:dyDescent="0.35">
      <c r="A63" s="10">
        <v>45006</v>
      </c>
      <c r="B63" s="11" t="s">
        <v>61</v>
      </c>
      <c r="C63" s="11" t="s">
        <v>58</v>
      </c>
      <c r="D63" s="11" t="s">
        <v>13</v>
      </c>
      <c r="E63" s="12">
        <f t="shared" ref="E63" si="13">H63-G63</f>
        <v>141.67000000000002</v>
      </c>
      <c r="F63" s="29"/>
      <c r="G63" s="22">
        <f>25+20+24.5-17.691-1.489</f>
        <v>50.32</v>
      </c>
      <c r="H63" s="22">
        <f>236.961-4.19-23.09-17.691</f>
        <v>191.99</v>
      </c>
      <c r="I63" s="15" t="s">
        <v>21</v>
      </c>
      <c r="J63" s="16"/>
      <c r="K63" s="18">
        <v>925.00001999999995</v>
      </c>
      <c r="M63">
        <v>123.47000000000003</v>
      </c>
      <c r="N63">
        <v>55.470000000000027</v>
      </c>
    </row>
    <row r="64" spans="1:14" ht="18" x14ac:dyDescent="0.35">
      <c r="A64" s="10">
        <v>45052</v>
      </c>
      <c r="B64" s="11" t="s">
        <v>219</v>
      </c>
      <c r="C64" s="11" t="s">
        <v>58</v>
      </c>
      <c r="D64" s="11" t="s">
        <v>13</v>
      </c>
      <c r="E64" s="12">
        <f t="shared" si="11"/>
        <v>141.67000000000002</v>
      </c>
      <c r="F64" s="29"/>
      <c r="G64" s="22">
        <f>25+20+24.5-17.691-1.489</f>
        <v>50.32</v>
      </c>
      <c r="H64" s="22">
        <f>236.961-4.19-23.09-17.691</f>
        <v>191.99</v>
      </c>
      <c r="I64" s="15" t="s">
        <v>21</v>
      </c>
      <c r="J64" s="16"/>
      <c r="K64" s="18">
        <v>925.00001999999995</v>
      </c>
      <c r="M64">
        <v>286.29899999999998</v>
      </c>
      <c r="N64">
        <v>286.29899999999998</v>
      </c>
    </row>
    <row r="65" spans="1:14" ht="18" x14ac:dyDescent="0.35">
      <c r="A65" s="19"/>
      <c r="B65" s="26" t="s">
        <v>27</v>
      </c>
      <c r="C65" s="11"/>
      <c r="D65" s="11"/>
      <c r="E65" s="20">
        <f>SUBTOTAL(9,E59:E64)</f>
        <v>1271.6960000000001</v>
      </c>
      <c r="F65" s="21">
        <f>E65</f>
        <v>1271.6960000000001</v>
      </c>
      <c r="G65" s="20">
        <f>SUBTOTAL(9,G59:G64)</f>
        <v>100.64</v>
      </c>
      <c r="H65" s="20">
        <f>SUBTOTAL(9,H59:H64)</f>
        <v>1372.336</v>
      </c>
      <c r="I65" s="15"/>
      <c r="J65" s="16"/>
      <c r="K65" s="18"/>
    </row>
    <row r="66" spans="1:14" ht="18" x14ac:dyDescent="0.35">
      <c r="A66" s="19"/>
      <c r="B66" s="26"/>
      <c r="C66" s="11"/>
      <c r="D66" s="11"/>
      <c r="E66" s="13"/>
      <c r="F66" s="21"/>
      <c r="G66" s="13"/>
      <c r="H66" s="13"/>
      <c r="I66" s="15"/>
      <c r="J66" s="16"/>
      <c r="K66" s="18"/>
    </row>
    <row r="67" spans="1:14" ht="18" x14ac:dyDescent="0.35">
      <c r="A67" s="10">
        <v>44826</v>
      </c>
      <c r="B67" s="11" t="s">
        <v>62</v>
      </c>
      <c r="C67" s="11" t="s">
        <v>63</v>
      </c>
      <c r="D67" s="11" t="s">
        <v>9</v>
      </c>
      <c r="E67" s="12">
        <f>H67-G67</f>
        <v>116.05500000000001</v>
      </c>
      <c r="F67" s="21"/>
      <c r="G67" s="22">
        <v>18</v>
      </c>
      <c r="H67" s="22">
        <v>134.05500000000001</v>
      </c>
      <c r="I67" s="15" t="s">
        <v>29</v>
      </c>
      <c r="J67" s="16"/>
      <c r="K67" s="18">
        <v>1100.9074566164593</v>
      </c>
      <c r="M67">
        <v>116.29499999999996</v>
      </c>
      <c r="N67">
        <v>-83.705000000000041</v>
      </c>
    </row>
    <row r="68" spans="1:14" ht="18" x14ac:dyDescent="0.35">
      <c r="A68" s="10">
        <v>45004</v>
      </c>
      <c r="B68" s="11" t="s">
        <v>64</v>
      </c>
      <c r="C68" s="11" t="s">
        <v>63</v>
      </c>
      <c r="D68" s="11" t="s">
        <v>9</v>
      </c>
      <c r="E68" s="12">
        <f>H68-G68</f>
        <v>507.40800000000002</v>
      </c>
      <c r="F68" s="21"/>
      <c r="G68" s="22">
        <v>0</v>
      </c>
      <c r="H68" s="22">
        <v>507.40800000000002</v>
      </c>
      <c r="I68" s="15" t="s">
        <v>29</v>
      </c>
      <c r="J68" s="16"/>
      <c r="K68" s="18">
        <v>780.63691570676497</v>
      </c>
      <c r="M68">
        <v>507.40800000000002</v>
      </c>
      <c r="N68">
        <v>507.40800000000002</v>
      </c>
    </row>
    <row r="69" spans="1:14" ht="18" x14ac:dyDescent="0.35">
      <c r="A69" s="10"/>
      <c r="B69" s="26" t="s">
        <v>27</v>
      </c>
      <c r="C69" s="11"/>
      <c r="D69" s="11"/>
      <c r="E69" s="20">
        <f>SUBTOTAL(9,E67:E68)</f>
        <v>623.46299999999997</v>
      </c>
      <c r="F69" s="21">
        <f>E69</f>
        <v>623.46299999999997</v>
      </c>
      <c r="G69" s="20">
        <f>SUBTOTAL(9,G67:G68)</f>
        <v>18</v>
      </c>
      <c r="H69" s="20">
        <f>SUBTOTAL(9,H67:H68)</f>
        <v>641.46299999999997</v>
      </c>
      <c r="I69" s="15"/>
      <c r="J69" s="16"/>
      <c r="K69" s="18"/>
    </row>
    <row r="70" spans="1:14" ht="18" x14ac:dyDescent="0.35">
      <c r="A70" s="10"/>
      <c r="B70" s="11"/>
      <c r="C70" s="11"/>
      <c r="D70" s="11"/>
      <c r="E70" s="12"/>
      <c r="F70" s="21"/>
      <c r="G70" s="22"/>
      <c r="H70" s="22"/>
      <c r="I70" s="15"/>
      <c r="J70" s="16"/>
      <c r="K70" s="18"/>
    </row>
    <row r="71" spans="1:14" ht="18" x14ac:dyDescent="0.35">
      <c r="A71" s="10">
        <v>44869</v>
      </c>
      <c r="B71" s="11" t="s">
        <v>190</v>
      </c>
      <c r="C71" s="11" t="s">
        <v>65</v>
      </c>
      <c r="D71" s="11" t="s">
        <v>9</v>
      </c>
      <c r="E71" s="12">
        <f>H71-G71</f>
        <v>7.6079999999999997</v>
      </c>
      <c r="F71" s="21"/>
      <c r="G71" s="22">
        <v>0</v>
      </c>
      <c r="H71" s="22">
        <v>7.6079999999999997</v>
      </c>
      <c r="I71" s="15" t="s">
        <v>47</v>
      </c>
      <c r="J71" s="16"/>
      <c r="K71" s="18">
        <v>1180</v>
      </c>
      <c r="M71">
        <v>7.6079999999998336</v>
      </c>
      <c r="N71">
        <v>-0.44200000000000728</v>
      </c>
    </row>
    <row r="72" spans="1:14" ht="18" x14ac:dyDescent="0.35">
      <c r="A72" s="10"/>
      <c r="B72" s="26" t="s">
        <v>27</v>
      </c>
      <c r="C72" s="11"/>
      <c r="D72" s="11"/>
      <c r="E72" s="20">
        <f>SUBTOTAL(9,E71:E71)</f>
        <v>7.6079999999999997</v>
      </c>
      <c r="F72" s="21">
        <f>E72</f>
        <v>7.6079999999999997</v>
      </c>
      <c r="G72" s="20">
        <f>SUBTOTAL(9,G71:G71)</f>
        <v>0</v>
      </c>
      <c r="H72" s="20">
        <f>SUBTOTAL(9,H71:H71)</f>
        <v>7.6079999999999997</v>
      </c>
      <c r="I72" s="15"/>
      <c r="J72" s="16"/>
      <c r="K72" s="18"/>
    </row>
    <row r="73" spans="1:14" ht="18" x14ac:dyDescent="0.35">
      <c r="A73" s="19"/>
      <c r="B73" s="26"/>
      <c r="C73" s="11"/>
      <c r="D73" s="11"/>
      <c r="E73" s="13"/>
      <c r="F73" s="13"/>
      <c r="G73" s="13"/>
      <c r="H73" s="27"/>
      <c r="I73" s="15"/>
      <c r="J73" s="16"/>
      <c r="K73" s="18"/>
    </row>
    <row r="74" spans="1:14" ht="18" x14ac:dyDescent="0.35">
      <c r="A74" s="10">
        <v>44700</v>
      </c>
      <c r="B74" s="11" t="s">
        <v>66</v>
      </c>
      <c r="C74" s="11" t="s">
        <v>67</v>
      </c>
      <c r="D74" s="11" t="s">
        <v>9</v>
      </c>
      <c r="E74" s="12">
        <f t="shared" ref="E74:E82" si="14">H74-G74</f>
        <v>19.937000000000005</v>
      </c>
      <c r="F74" s="21"/>
      <c r="G74" s="22">
        <v>0</v>
      </c>
      <c r="H74" s="22">
        <f>79.757-24.54-25.7-9.58</f>
        <v>19.937000000000005</v>
      </c>
      <c r="I74" s="15" t="s">
        <v>29</v>
      </c>
      <c r="J74" s="16"/>
      <c r="K74" s="18">
        <v>2200</v>
      </c>
      <c r="M74">
        <v>19.936999999999443</v>
      </c>
      <c r="N74">
        <v>21.132000000000289</v>
      </c>
    </row>
    <row r="75" spans="1:14" s="52" customFormat="1" ht="18" x14ac:dyDescent="0.35">
      <c r="A75" s="45">
        <v>44705</v>
      </c>
      <c r="B75" s="31" t="s">
        <v>68</v>
      </c>
      <c r="C75" s="31" t="s">
        <v>67</v>
      </c>
      <c r="D75" s="31" t="s">
        <v>9</v>
      </c>
      <c r="E75" s="46">
        <f t="shared" si="14"/>
        <v>6.3780000000000001</v>
      </c>
      <c r="F75" s="53"/>
      <c r="G75" s="48">
        <v>0</v>
      </c>
      <c r="H75" s="48">
        <v>6.3780000000000001</v>
      </c>
      <c r="I75" s="49" t="s">
        <v>47</v>
      </c>
      <c r="J75" s="50"/>
      <c r="K75" s="51">
        <v>2300.400559704723</v>
      </c>
      <c r="M75" s="52" t="e">
        <v>#N/A</v>
      </c>
      <c r="N75" s="52" t="e">
        <v>#N/A</v>
      </c>
    </row>
    <row r="76" spans="1:14" ht="18" x14ac:dyDescent="0.35">
      <c r="A76" s="10">
        <v>44725</v>
      </c>
      <c r="B76" s="11" t="s">
        <v>69</v>
      </c>
      <c r="C76" s="11" t="s">
        <v>67</v>
      </c>
      <c r="D76" s="11" t="s">
        <v>9</v>
      </c>
      <c r="E76" s="12">
        <f t="shared" si="14"/>
        <v>314.18400000000003</v>
      </c>
      <c r="F76" s="21"/>
      <c r="G76" s="22">
        <f>30+21-24.58</f>
        <v>26.42</v>
      </c>
      <c r="H76" s="22">
        <f>375.204-10.02-24.58</f>
        <v>340.60400000000004</v>
      </c>
      <c r="I76" s="15" t="s">
        <v>70</v>
      </c>
      <c r="J76" s="16"/>
      <c r="K76" s="18">
        <v>2220.3866229603536</v>
      </c>
      <c r="M76">
        <v>200.44400000000007</v>
      </c>
      <c r="N76">
        <v>-40.315999999999917</v>
      </c>
    </row>
    <row r="77" spans="1:14" ht="18" x14ac:dyDescent="0.35">
      <c r="A77" s="10">
        <v>44736</v>
      </c>
      <c r="B77" s="11" t="s">
        <v>71</v>
      </c>
      <c r="C77" s="11" t="s">
        <v>67</v>
      </c>
      <c r="D77" s="11" t="s">
        <v>9</v>
      </c>
      <c r="E77" s="12">
        <f t="shared" si="14"/>
        <v>317.57000000000005</v>
      </c>
      <c r="F77" s="21"/>
      <c r="G77" s="22">
        <f>158.78-30.7</f>
        <v>128.08000000000001</v>
      </c>
      <c r="H77" s="22">
        <f>476.35-30.7</f>
        <v>445.65000000000003</v>
      </c>
      <c r="I77" s="15" t="s">
        <v>29</v>
      </c>
      <c r="J77" s="16"/>
      <c r="K77" s="18">
        <v>2351.9034198930826</v>
      </c>
      <c r="M77">
        <v>398.43000000000006</v>
      </c>
      <c r="N77">
        <v>241.90999999999997</v>
      </c>
    </row>
    <row r="78" spans="1:14" ht="18" x14ac:dyDescent="0.35">
      <c r="A78" s="10">
        <v>44747</v>
      </c>
      <c r="B78" s="11" t="s">
        <v>72</v>
      </c>
      <c r="C78" s="11" t="s">
        <v>67</v>
      </c>
      <c r="D78" s="11" t="s">
        <v>9</v>
      </c>
      <c r="E78" s="12">
        <f t="shared" si="14"/>
        <v>98.27000000000001</v>
      </c>
      <c r="F78" s="21"/>
      <c r="G78" s="22">
        <v>0</v>
      </c>
      <c r="H78" s="22">
        <f>127.95-29.68</f>
        <v>98.27000000000001</v>
      </c>
      <c r="I78" s="15" t="s">
        <v>29</v>
      </c>
      <c r="J78" s="16"/>
      <c r="K78" s="18">
        <v>2056.6737332548364</v>
      </c>
      <c r="M78">
        <v>48.429999999999893</v>
      </c>
      <c r="N78">
        <v>38.329999999999927</v>
      </c>
    </row>
    <row r="79" spans="1:14" ht="18" x14ac:dyDescent="0.35">
      <c r="A79" s="10">
        <v>44834</v>
      </c>
      <c r="B79" s="11" t="s">
        <v>73</v>
      </c>
      <c r="C79" s="11" t="s">
        <v>67</v>
      </c>
      <c r="D79" s="11" t="s">
        <v>9</v>
      </c>
      <c r="E79" s="12">
        <f t="shared" si="14"/>
        <v>1024.1690000000001</v>
      </c>
      <c r="F79" s="21"/>
      <c r="G79" s="22">
        <v>0</v>
      </c>
      <c r="H79" s="22">
        <v>1024.1690000000001</v>
      </c>
      <c r="I79" s="15" t="s">
        <v>70</v>
      </c>
      <c r="J79" s="16"/>
      <c r="K79" s="18">
        <v>2301.8649111652999</v>
      </c>
      <c r="M79">
        <v>1024.1690000000001</v>
      </c>
      <c r="N79">
        <v>1024.1690000000001</v>
      </c>
    </row>
    <row r="80" spans="1:14" ht="18" x14ac:dyDescent="0.35">
      <c r="A80" s="10">
        <v>45009</v>
      </c>
      <c r="B80" s="11" t="s">
        <v>74</v>
      </c>
      <c r="C80" s="11" t="s">
        <v>67</v>
      </c>
      <c r="D80" s="11" t="s">
        <v>9</v>
      </c>
      <c r="E80" s="12">
        <f t="shared" si="14"/>
        <v>0</v>
      </c>
      <c r="F80" s="21"/>
      <c r="G80" s="22">
        <f>30+128+250-24.02-26.08+55-29.34+12.371-29.14-24.56-45.7-29.9-49.28-12.056-28.6-21.14-20.78-71.26</f>
        <v>63.515000000000057</v>
      </c>
      <c r="H80" s="22">
        <f>30+128+250-24.02-26.08+55-29.34+12.371-29.14-24.56-45.7-29.9-49.28-12.056-28.6-21.14-20.78-71.26</f>
        <v>63.515000000000057</v>
      </c>
      <c r="I80" s="15" t="s">
        <v>29</v>
      </c>
      <c r="J80" s="16"/>
      <c r="K80" s="18">
        <v>1205.2090879478401</v>
      </c>
      <c r="M80">
        <v>63.514999999999986</v>
      </c>
      <c r="N80">
        <v>43.514999999999986</v>
      </c>
    </row>
    <row r="81" spans="1:14" ht="18" x14ac:dyDescent="0.35">
      <c r="A81" s="10">
        <v>45034</v>
      </c>
      <c r="B81" s="11" t="s">
        <v>75</v>
      </c>
      <c r="C81" s="11" t="s">
        <v>67</v>
      </c>
      <c r="D81" s="11" t="s">
        <v>9</v>
      </c>
      <c r="E81" s="12">
        <f t="shared" ref="E81" si="15">H81-G81</f>
        <v>0</v>
      </c>
      <c r="F81" s="21"/>
      <c r="G81" s="22">
        <f>30+101+25+25+60+73.143-29.84</f>
        <v>284.30300000000005</v>
      </c>
      <c r="H81" s="22">
        <f>30+101+25+25+60+73.143-29.84</f>
        <v>284.30300000000005</v>
      </c>
      <c r="I81" s="15" t="s">
        <v>29</v>
      </c>
      <c r="J81" s="16"/>
      <c r="K81" s="18"/>
      <c r="M81">
        <v>284.303</v>
      </c>
      <c r="N81">
        <v>254.14299999999997</v>
      </c>
    </row>
    <row r="82" spans="1:14" ht="18" x14ac:dyDescent="0.35">
      <c r="A82" s="10">
        <v>45055</v>
      </c>
      <c r="B82" s="11" t="s">
        <v>216</v>
      </c>
      <c r="C82" s="11" t="s">
        <v>67</v>
      </c>
      <c r="D82" s="11" t="s">
        <v>19</v>
      </c>
      <c r="E82" s="12">
        <f t="shared" si="14"/>
        <v>0</v>
      </c>
      <c r="F82" s="21"/>
      <c r="G82" s="22">
        <f>30+101+25+25+60+73.143-29.84</f>
        <v>284.30300000000005</v>
      </c>
      <c r="H82" s="22">
        <f>30+101+25+25+60+73.143-29.84</f>
        <v>284.30300000000005</v>
      </c>
      <c r="I82" s="15" t="s">
        <v>26</v>
      </c>
      <c r="J82" s="16"/>
      <c r="K82" s="18"/>
      <c r="M82">
        <v>971.14100000000008</v>
      </c>
      <c r="N82">
        <v>786.58100000000002</v>
      </c>
    </row>
    <row r="83" spans="1:14" ht="18" x14ac:dyDescent="0.35">
      <c r="A83" s="19"/>
      <c r="B83" s="26" t="s">
        <v>27</v>
      </c>
      <c r="C83" s="11"/>
      <c r="D83" s="11"/>
      <c r="E83" s="20">
        <f>SUBTOTAL(9,E74:E82)</f>
        <v>1780.5080000000003</v>
      </c>
      <c r="F83" s="21">
        <f>E83</f>
        <v>1780.5080000000003</v>
      </c>
      <c r="G83" s="20">
        <f>SUBTOTAL(9,G74:G82)</f>
        <v>786.62100000000009</v>
      </c>
      <c r="H83" s="20">
        <f>SUBTOTAL(9,H74:H82)</f>
        <v>2567.1290000000004</v>
      </c>
      <c r="I83" s="15"/>
      <c r="J83" s="16"/>
      <c r="K83" s="18"/>
    </row>
    <row r="84" spans="1:14" ht="18" x14ac:dyDescent="0.35">
      <c r="A84" s="19"/>
      <c r="B84" s="26"/>
      <c r="C84" s="11"/>
      <c r="D84" s="11"/>
      <c r="E84" s="20"/>
      <c r="F84" s="21"/>
      <c r="G84" s="20"/>
      <c r="H84" s="20"/>
      <c r="I84" s="15"/>
      <c r="J84" s="16"/>
      <c r="K84" s="18"/>
    </row>
    <row r="85" spans="1:14" ht="18" x14ac:dyDescent="0.35">
      <c r="A85" s="10">
        <v>44995</v>
      </c>
      <c r="B85" s="11" t="s">
        <v>76</v>
      </c>
      <c r="C85" s="11" t="s">
        <v>77</v>
      </c>
      <c r="D85" s="11" t="s">
        <v>9</v>
      </c>
      <c r="E85" s="12">
        <f>H85-G85</f>
        <v>431.67200000000014</v>
      </c>
      <c r="F85" s="21"/>
      <c r="G85" s="22">
        <f>202-25.31-24.11-13.9</f>
        <v>138.67999999999998</v>
      </c>
      <c r="H85" s="22">
        <f>633.672-25.31-24.11-13.9</f>
        <v>570.35200000000009</v>
      </c>
      <c r="I85" s="15" t="s">
        <v>78</v>
      </c>
      <c r="J85" s="16"/>
      <c r="K85" s="18">
        <v>1040.8825627624774</v>
      </c>
      <c r="M85">
        <v>376.71199999999999</v>
      </c>
      <c r="N85">
        <v>98.252000000000066</v>
      </c>
    </row>
    <row r="86" spans="1:14" ht="18" x14ac:dyDescent="0.35">
      <c r="A86" s="10"/>
      <c r="B86" s="26" t="s">
        <v>27</v>
      </c>
      <c r="C86" s="11"/>
      <c r="D86" s="11"/>
      <c r="E86" s="20">
        <f>SUBTOTAL(9,E85:E85)</f>
        <v>431.67200000000014</v>
      </c>
      <c r="F86" s="21">
        <f>E86</f>
        <v>431.67200000000014</v>
      </c>
      <c r="G86" s="20">
        <f>SUBTOTAL(9,G85:G85)</f>
        <v>138.67999999999998</v>
      </c>
      <c r="H86" s="20">
        <f>SUBTOTAL(9,H85:H85)</f>
        <v>570.35200000000009</v>
      </c>
      <c r="I86" s="15"/>
      <c r="J86" s="16"/>
      <c r="K86" s="18"/>
    </row>
    <row r="87" spans="1:14" ht="18" x14ac:dyDescent="0.35">
      <c r="A87" s="19"/>
      <c r="B87" s="26"/>
      <c r="C87" s="11"/>
      <c r="D87" s="11"/>
      <c r="E87" s="13"/>
      <c r="F87" s="21"/>
      <c r="G87" s="13"/>
      <c r="H87" s="27"/>
      <c r="I87" s="15"/>
      <c r="J87" s="16"/>
      <c r="K87" s="18"/>
    </row>
    <row r="88" spans="1:14" ht="18" x14ac:dyDescent="0.35">
      <c r="A88" s="10">
        <v>44749</v>
      </c>
      <c r="B88" s="11" t="s">
        <v>79</v>
      </c>
      <c r="C88" s="11" t="s">
        <v>80</v>
      </c>
      <c r="D88" s="11" t="s">
        <v>9</v>
      </c>
      <c r="E88" s="12">
        <f>H88-G88</f>
        <v>12.34</v>
      </c>
      <c r="F88" s="21"/>
      <c r="G88" s="22">
        <v>0</v>
      </c>
      <c r="H88" s="22">
        <v>12.34</v>
      </c>
      <c r="I88" s="15" t="s">
        <v>32</v>
      </c>
      <c r="J88" s="16"/>
      <c r="K88" s="18">
        <v>1875.2699932515579</v>
      </c>
      <c r="M88">
        <v>12.340000000000146</v>
      </c>
      <c r="N88">
        <v>11.31599999999986</v>
      </c>
    </row>
    <row r="89" spans="1:14" ht="18" x14ac:dyDescent="0.35">
      <c r="A89" s="10">
        <v>44979</v>
      </c>
      <c r="B89" s="11" t="s">
        <v>191</v>
      </c>
      <c r="C89" s="11" t="s">
        <v>80</v>
      </c>
      <c r="D89" s="11" t="s">
        <v>9</v>
      </c>
      <c r="E89" s="12">
        <f>H89-G89</f>
        <v>260.3309999999999</v>
      </c>
      <c r="F89" s="21"/>
      <c r="G89" s="22">
        <f>519.67-31.32-40.06+106-59.78-45.94-30.18</f>
        <v>418.39</v>
      </c>
      <c r="H89" s="22">
        <f>887.001-32.32-40.06-59.78-45.94-30.18</f>
        <v>678.72099999999989</v>
      </c>
      <c r="I89" s="15" t="s">
        <v>70</v>
      </c>
      <c r="J89" s="16"/>
      <c r="K89" s="18">
        <v>1245.0000025254401</v>
      </c>
      <c r="M89">
        <v>469.68100000000004</v>
      </c>
      <c r="N89">
        <v>217.88099999999986</v>
      </c>
    </row>
    <row r="90" spans="1:14" ht="18" x14ac:dyDescent="0.35">
      <c r="A90" s="19"/>
      <c r="B90" s="26" t="s">
        <v>27</v>
      </c>
      <c r="C90" s="11"/>
      <c r="D90" s="11"/>
      <c r="E90" s="20">
        <f>SUBTOTAL(9,E88:E89)</f>
        <v>272.67099999999988</v>
      </c>
      <c r="F90" s="21">
        <f>E90</f>
        <v>272.67099999999988</v>
      </c>
      <c r="G90" s="20">
        <f>SUBTOTAL(9,G88:G89)</f>
        <v>418.39</v>
      </c>
      <c r="H90" s="20">
        <f>SUBTOTAL(9,H88:H89)</f>
        <v>691.06099999999992</v>
      </c>
      <c r="I90" s="15"/>
      <c r="J90" s="16"/>
      <c r="K90" s="18"/>
    </row>
    <row r="91" spans="1:14" ht="18" x14ac:dyDescent="0.35">
      <c r="A91" s="19"/>
      <c r="B91" s="26"/>
      <c r="C91" s="11"/>
      <c r="D91" s="11"/>
      <c r="E91" s="13"/>
      <c r="F91" s="21"/>
      <c r="G91" s="20"/>
      <c r="H91" s="20"/>
      <c r="I91" s="15"/>
      <c r="J91" s="16"/>
      <c r="K91" s="18"/>
    </row>
    <row r="92" spans="1:14" ht="18" x14ac:dyDescent="0.35">
      <c r="A92" s="10">
        <v>45004</v>
      </c>
      <c r="B92" s="11" t="s">
        <v>81</v>
      </c>
      <c r="C92" s="11" t="s">
        <v>82</v>
      </c>
      <c r="D92" s="11" t="s">
        <v>9</v>
      </c>
      <c r="E92" s="12">
        <f>H92-G92</f>
        <v>530.10500000000002</v>
      </c>
      <c r="F92" s="13"/>
      <c r="G92" s="22">
        <f>217.15-87.39+21</f>
        <v>150.76</v>
      </c>
      <c r="H92" s="22">
        <f>768.255-87.39</f>
        <v>680.86500000000001</v>
      </c>
      <c r="I92" s="15" t="s">
        <v>47</v>
      </c>
      <c r="J92" s="16"/>
      <c r="K92" s="18">
        <v>920</v>
      </c>
      <c r="M92">
        <v>494.36399999999981</v>
      </c>
      <c r="N92">
        <v>362.11399999999981</v>
      </c>
    </row>
    <row r="93" spans="1:14" ht="18" x14ac:dyDescent="0.35">
      <c r="A93" s="10">
        <v>44865</v>
      </c>
      <c r="B93" s="11" t="s">
        <v>192</v>
      </c>
      <c r="C93" s="11" t="s">
        <v>82</v>
      </c>
      <c r="D93" s="11" t="s">
        <v>16</v>
      </c>
      <c r="E93" s="12">
        <f>H93-G93</f>
        <v>7.7069999999999936</v>
      </c>
      <c r="F93" s="13"/>
      <c r="G93" s="22">
        <f>65.67-15.58</f>
        <v>50.09</v>
      </c>
      <c r="H93" s="22">
        <f>73.377-15.58</f>
        <v>57.796999999999997</v>
      </c>
      <c r="I93" s="15" t="s">
        <v>23</v>
      </c>
      <c r="J93" s="16"/>
      <c r="K93" s="18">
        <v>1230</v>
      </c>
      <c r="M93">
        <v>60.245999999999981</v>
      </c>
      <c r="N93">
        <v>9.4759999999999991</v>
      </c>
    </row>
    <row r="94" spans="1:14" ht="18" x14ac:dyDescent="0.35">
      <c r="A94" s="10">
        <v>44997</v>
      </c>
      <c r="B94" s="11" t="s">
        <v>193</v>
      </c>
      <c r="C94" s="11" t="s">
        <v>82</v>
      </c>
      <c r="D94" s="11" t="s">
        <v>16</v>
      </c>
      <c r="E94" s="12">
        <f>H94-G94</f>
        <v>148.07999999999996</v>
      </c>
      <c r="F94" s="13"/>
      <c r="G94" s="22">
        <f>190.37+20+25-49.87-41.82-7.72</f>
        <v>135.96</v>
      </c>
      <c r="H94" s="22">
        <f>383.45-49.87-41.82-7.72</f>
        <v>284.03999999999996</v>
      </c>
      <c r="I94" s="15" t="s">
        <v>23</v>
      </c>
      <c r="J94" s="16"/>
      <c r="K94" s="18">
        <v>900</v>
      </c>
      <c r="M94">
        <v>228.66000000000003</v>
      </c>
      <c r="N94">
        <v>101.33499999999998</v>
      </c>
    </row>
    <row r="95" spans="1:14" s="52" customFormat="1" ht="18" x14ac:dyDescent="0.35">
      <c r="A95" s="45">
        <v>44834</v>
      </c>
      <c r="B95" s="31" t="s">
        <v>83</v>
      </c>
      <c r="C95" s="31" t="s">
        <v>82</v>
      </c>
      <c r="D95" s="31" t="s">
        <v>19</v>
      </c>
      <c r="E95" s="46">
        <f>H95-G95</f>
        <v>6.4969999999999999</v>
      </c>
      <c r="F95" s="54"/>
      <c r="G95" s="48">
        <v>0</v>
      </c>
      <c r="H95" s="48">
        <f>26.157-19.66</f>
        <v>6.4969999999999999</v>
      </c>
      <c r="I95" s="49" t="s">
        <v>19</v>
      </c>
      <c r="J95" s="50"/>
      <c r="K95" s="51">
        <v>930</v>
      </c>
      <c r="M95" s="52" t="e">
        <v>#N/A</v>
      </c>
      <c r="N95" s="52" t="e">
        <v>#N/A</v>
      </c>
    </row>
    <row r="96" spans="1:14" ht="18" x14ac:dyDescent="0.35">
      <c r="A96" s="19"/>
      <c r="B96" s="26" t="s">
        <v>27</v>
      </c>
      <c r="C96" s="11"/>
      <c r="D96" s="11"/>
      <c r="E96" s="20">
        <f>SUBTOTAL(9,E92:E95)</f>
        <v>692.3889999999999</v>
      </c>
      <c r="F96" s="21">
        <f>E96</f>
        <v>692.3889999999999</v>
      </c>
      <c r="G96" s="20">
        <f>SUBTOTAL(9,G92:G95)</f>
        <v>336.81</v>
      </c>
      <c r="H96" s="20">
        <f>SUBTOTAL(9,H92:H95)</f>
        <v>1029.1990000000001</v>
      </c>
      <c r="I96" s="15"/>
      <c r="J96" s="16"/>
      <c r="K96" s="18"/>
    </row>
    <row r="97" spans="1:14" ht="18" x14ac:dyDescent="0.35">
      <c r="A97" s="19"/>
      <c r="B97" s="11"/>
      <c r="C97" s="11"/>
      <c r="D97" s="11"/>
      <c r="E97" s="12"/>
      <c r="F97" s="13"/>
      <c r="G97" s="13"/>
      <c r="H97" s="27"/>
      <c r="I97" s="15"/>
      <c r="J97" s="16"/>
      <c r="K97" s="18"/>
    </row>
    <row r="98" spans="1:14" ht="18" x14ac:dyDescent="0.35">
      <c r="A98" s="10">
        <v>44884</v>
      </c>
      <c r="B98" s="11" t="s">
        <v>194</v>
      </c>
      <c r="C98" s="11" t="s">
        <v>84</v>
      </c>
      <c r="D98" s="11" t="s">
        <v>9</v>
      </c>
      <c r="E98" s="12">
        <f>H98-G98</f>
        <v>0</v>
      </c>
      <c r="F98" s="13"/>
      <c r="G98" s="22">
        <f>101.37-9.92-24.01</f>
        <v>67.44</v>
      </c>
      <c r="H98" s="22">
        <f>101.37-9.92-24.01</f>
        <v>67.44</v>
      </c>
      <c r="I98" s="15" t="s">
        <v>47</v>
      </c>
      <c r="J98" s="16"/>
      <c r="K98" s="18">
        <v>1100.19155162675</v>
      </c>
      <c r="M98">
        <v>47.880000000000337</v>
      </c>
      <c r="N98">
        <v>15.370000000000573</v>
      </c>
    </row>
    <row r="99" spans="1:14" ht="18" x14ac:dyDescent="0.35">
      <c r="A99" s="10">
        <v>45004</v>
      </c>
      <c r="B99" s="11" t="s">
        <v>85</v>
      </c>
      <c r="C99" s="11" t="s">
        <v>84</v>
      </c>
      <c r="D99" s="11" t="s">
        <v>9</v>
      </c>
      <c r="E99" s="12">
        <f>H99-G99</f>
        <v>727.03700000000003</v>
      </c>
      <c r="F99" s="13"/>
      <c r="G99" s="22">
        <f>195-19.28-26.83-31.87-25.28</f>
        <v>91.739999999999981</v>
      </c>
      <c r="H99" s="22">
        <f>922.037-19.28-26.83-31.87-25.28</f>
        <v>818.77700000000004</v>
      </c>
      <c r="I99" s="15" t="s">
        <v>47</v>
      </c>
      <c r="J99" s="16"/>
      <c r="K99" s="18">
        <v>920.76043398005095</v>
      </c>
      <c r="M99">
        <v>818.77700000000004</v>
      </c>
      <c r="N99">
        <v>732.05700000000002</v>
      </c>
    </row>
    <row r="100" spans="1:14" ht="18" x14ac:dyDescent="0.35">
      <c r="A100" s="10">
        <v>45038</v>
      </c>
      <c r="B100" s="11" t="s">
        <v>86</v>
      </c>
      <c r="C100" s="11" t="s">
        <v>84</v>
      </c>
      <c r="D100" s="11" t="s">
        <v>9</v>
      </c>
      <c r="E100" s="12">
        <f>H100-G100</f>
        <v>708.95899999999995</v>
      </c>
      <c r="F100" s="13"/>
      <c r="G100" s="22">
        <v>0</v>
      </c>
      <c r="H100" s="22">
        <v>708.95899999999995</v>
      </c>
      <c r="I100" s="15" t="s">
        <v>47</v>
      </c>
      <c r="J100" s="16"/>
      <c r="K100" s="18"/>
      <c r="M100">
        <v>708.95899999999995</v>
      </c>
      <c r="N100">
        <v>708.95899999999995</v>
      </c>
    </row>
    <row r="101" spans="1:14" ht="18" x14ac:dyDescent="0.35">
      <c r="A101" s="19"/>
      <c r="B101" s="26" t="s">
        <v>27</v>
      </c>
      <c r="C101" s="11"/>
      <c r="D101" s="11"/>
      <c r="E101" s="20">
        <f>SUBTOTAL(9,E98:E100)</f>
        <v>1435.9960000000001</v>
      </c>
      <c r="F101" s="21">
        <f>E101</f>
        <v>1435.9960000000001</v>
      </c>
      <c r="G101" s="20">
        <f>SUBTOTAL(9,G98:G100)</f>
        <v>159.17999999999998</v>
      </c>
      <c r="H101" s="20">
        <f>SUBTOTAL(9,H98:H100)</f>
        <v>1595.1759999999999</v>
      </c>
      <c r="I101" s="15"/>
      <c r="J101" s="16"/>
      <c r="K101" s="18"/>
    </row>
    <row r="102" spans="1:14" ht="18" x14ac:dyDescent="0.35">
      <c r="A102" s="19"/>
      <c r="B102" s="26"/>
      <c r="C102" s="11"/>
      <c r="D102" s="11"/>
      <c r="E102" s="13"/>
      <c r="F102" s="13"/>
      <c r="G102" s="13"/>
      <c r="H102" s="27"/>
      <c r="I102" s="15"/>
      <c r="J102" s="16"/>
      <c r="K102" s="18"/>
    </row>
    <row r="103" spans="1:14" ht="18" x14ac:dyDescent="0.35">
      <c r="A103" s="10">
        <v>44764</v>
      </c>
      <c r="B103" s="11" t="s">
        <v>87</v>
      </c>
      <c r="C103" s="11" t="s">
        <v>88</v>
      </c>
      <c r="D103" s="11" t="s">
        <v>9</v>
      </c>
      <c r="E103" s="12">
        <f t="shared" ref="E103:E109" si="16">H103-G103</f>
        <v>0.93899999999999995</v>
      </c>
      <c r="F103" s="13"/>
      <c r="G103" s="22">
        <v>0</v>
      </c>
      <c r="H103" s="22">
        <v>0.93899999999999995</v>
      </c>
      <c r="I103" s="15" t="s">
        <v>47</v>
      </c>
      <c r="J103" s="16"/>
      <c r="K103" s="18">
        <v>1331.45</v>
      </c>
      <c r="M103">
        <v>0.93900000000030559</v>
      </c>
      <c r="N103">
        <v>-7.7609999999995125</v>
      </c>
    </row>
    <row r="104" spans="1:14" ht="18" x14ac:dyDescent="0.35">
      <c r="A104" s="10">
        <v>44892</v>
      </c>
      <c r="B104" s="11" t="s">
        <v>89</v>
      </c>
      <c r="C104" s="11" t="s">
        <v>88</v>
      </c>
      <c r="D104" s="11" t="s">
        <v>9</v>
      </c>
      <c r="E104" s="12">
        <f t="shared" si="16"/>
        <v>0</v>
      </c>
      <c r="F104" s="13"/>
      <c r="G104" s="22">
        <v>26.97</v>
      </c>
      <c r="H104" s="22">
        <v>26.97</v>
      </c>
      <c r="I104" s="15" t="s">
        <v>90</v>
      </c>
      <c r="J104" s="16"/>
      <c r="K104" s="18">
        <v>1118.5375775311952</v>
      </c>
      <c r="M104">
        <v>3.2229999999999563</v>
      </c>
      <c r="N104">
        <v>-24.867000000000189</v>
      </c>
    </row>
    <row r="105" spans="1:14" ht="18" x14ac:dyDescent="0.35">
      <c r="A105" s="10">
        <v>44566</v>
      </c>
      <c r="B105" s="11" t="s">
        <v>91</v>
      </c>
      <c r="C105" s="11" t="s">
        <v>88</v>
      </c>
      <c r="D105" s="11" t="s">
        <v>9</v>
      </c>
      <c r="E105" s="12">
        <f t="shared" si="16"/>
        <v>0</v>
      </c>
      <c r="F105" s="13"/>
      <c r="G105" s="22">
        <v>121.423</v>
      </c>
      <c r="H105" s="22">
        <v>121.423</v>
      </c>
      <c r="I105" s="15" t="s">
        <v>29</v>
      </c>
      <c r="J105" s="16"/>
      <c r="K105" s="18">
        <v>1037.0283001737214</v>
      </c>
      <c r="M105">
        <v>0</v>
      </c>
      <c r="N105">
        <v>-7.3299999999999272</v>
      </c>
    </row>
    <row r="106" spans="1:14" ht="18" x14ac:dyDescent="0.35">
      <c r="A106" s="10">
        <v>44592</v>
      </c>
      <c r="B106" s="11" t="s">
        <v>195</v>
      </c>
      <c r="C106" s="11" t="s">
        <v>88</v>
      </c>
      <c r="D106" s="11" t="s">
        <v>9</v>
      </c>
      <c r="E106" s="12">
        <f>H106-G106</f>
        <v>0</v>
      </c>
      <c r="F106" s="13"/>
      <c r="G106" s="22">
        <f>180.553-28.01-47.51-49.49</f>
        <v>55.543000000000013</v>
      </c>
      <c r="H106" s="22">
        <f>180.553-28.01-47.51-49.49</f>
        <v>55.543000000000013</v>
      </c>
      <c r="I106" s="15" t="s">
        <v>92</v>
      </c>
      <c r="J106" s="16"/>
      <c r="K106" s="18">
        <v>913.43126017726286</v>
      </c>
      <c r="M106">
        <v>0</v>
      </c>
      <c r="N106">
        <v>-1.0400000000000063</v>
      </c>
    </row>
    <row r="107" spans="1:14" ht="18" x14ac:dyDescent="0.35">
      <c r="A107" s="10">
        <v>44976</v>
      </c>
      <c r="B107" s="11" t="s">
        <v>93</v>
      </c>
      <c r="C107" s="11" t="s">
        <v>88</v>
      </c>
      <c r="D107" s="11" t="s">
        <v>9</v>
      </c>
      <c r="E107" s="12">
        <f t="shared" si="16"/>
        <v>1703.5439999999999</v>
      </c>
      <c r="F107" s="13"/>
      <c r="G107" s="22">
        <f>270-19.75+216+100-52.53+20-37.89</f>
        <v>495.83000000000004</v>
      </c>
      <c r="H107" s="22">
        <f>2309.544-19.75-52.53-37.89</f>
        <v>2199.3739999999998</v>
      </c>
      <c r="I107" s="15" t="s">
        <v>29</v>
      </c>
      <c r="J107" s="16"/>
      <c r="K107" s="18">
        <v>954.97628278089473</v>
      </c>
      <c r="M107">
        <v>1800.3140000000001</v>
      </c>
      <c r="N107">
        <v>598.35399999999981</v>
      </c>
    </row>
    <row r="108" spans="1:14" ht="18" x14ac:dyDescent="0.35">
      <c r="A108" s="10">
        <v>44997</v>
      </c>
      <c r="B108" s="11" t="s">
        <v>94</v>
      </c>
      <c r="C108" s="11" t="s">
        <v>88</v>
      </c>
      <c r="D108" s="11" t="s">
        <v>9</v>
      </c>
      <c r="E108" s="12">
        <f t="shared" si="16"/>
        <v>675.46800000000007</v>
      </c>
      <c r="F108" s="13"/>
      <c r="G108" s="22">
        <f>100-16.86+160-19.9-13.92</f>
        <v>209.32</v>
      </c>
      <c r="H108" s="22">
        <f>918.608-19.9-13.92</f>
        <v>884.78800000000001</v>
      </c>
      <c r="I108" s="15" t="s">
        <v>32</v>
      </c>
      <c r="J108" s="16"/>
      <c r="K108" s="18">
        <v>1005.1251051089312</v>
      </c>
      <c r="M108">
        <v>692.55799999999999</v>
      </c>
      <c r="N108">
        <v>283.77799999999996</v>
      </c>
    </row>
    <row r="109" spans="1:14" ht="18" x14ac:dyDescent="0.35">
      <c r="A109" s="10">
        <v>44997</v>
      </c>
      <c r="B109" s="11" t="s">
        <v>94</v>
      </c>
      <c r="C109" s="11" t="s">
        <v>88</v>
      </c>
      <c r="D109" s="11" t="s">
        <v>9</v>
      </c>
      <c r="E109" s="12">
        <f t="shared" si="16"/>
        <v>1612.19</v>
      </c>
      <c r="F109" s="13"/>
      <c r="G109" s="22">
        <v>0</v>
      </c>
      <c r="H109" s="22">
        <v>1612.19</v>
      </c>
      <c r="I109" s="15" t="s">
        <v>95</v>
      </c>
      <c r="J109" s="16"/>
      <c r="K109" s="18">
        <v>1005.12510510893</v>
      </c>
      <c r="M109">
        <v>692.55799999999999</v>
      </c>
      <c r="N109">
        <v>283.77799999999996</v>
      </c>
    </row>
    <row r="110" spans="1:14" ht="18" x14ac:dyDescent="0.35">
      <c r="A110" s="10">
        <v>44935</v>
      </c>
      <c r="B110" s="11" t="s">
        <v>196</v>
      </c>
      <c r="C110" s="11" t="s">
        <v>88</v>
      </c>
      <c r="D110" s="11" t="s">
        <v>13</v>
      </c>
      <c r="E110" s="12">
        <f t="shared" ref="E110:E115" si="17">H110-G110</f>
        <v>0</v>
      </c>
      <c r="F110" s="13"/>
      <c r="G110" s="22">
        <f>236.648-24.9-24.96-15.93</f>
        <v>170.85799999999998</v>
      </c>
      <c r="H110" s="22">
        <f>236.648-24.9-24.96-15.93</f>
        <v>170.85799999999998</v>
      </c>
      <c r="I110" s="15" t="s">
        <v>21</v>
      </c>
      <c r="J110" s="16"/>
      <c r="K110" s="18">
        <v>870.27000343629402</v>
      </c>
      <c r="M110">
        <v>103.65899999999999</v>
      </c>
      <c r="N110">
        <v>74.49899999999991</v>
      </c>
    </row>
    <row r="111" spans="1:14" ht="18" x14ac:dyDescent="0.35">
      <c r="A111" s="10">
        <v>44935</v>
      </c>
      <c r="B111" s="11" t="s">
        <v>197</v>
      </c>
      <c r="C111" s="11" t="s">
        <v>88</v>
      </c>
      <c r="D111" s="11" t="s">
        <v>13</v>
      </c>
      <c r="E111" s="12">
        <f t="shared" si="17"/>
        <v>0</v>
      </c>
      <c r="F111" s="13"/>
      <c r="G111" s="22">
        <f>236.648-24.9-24.96-15.93</f>
        <v>170.85799999999998</v>
      </c>
      <c r="H111" s="22">
        <f>236.648-24.9-24.96-15.93</f>
        <v>170.85799999999998</v>
      </c>
      <c r="I111" s="15" t="s">
        <v>21</v>
      </c>
      <c r="J111" s="16"/>
      <c r="K111" s="18">
        <v>870.27000343629402</v>
      </c>
      <c r="M111">
        <v>38.735999999999422</v>
      </c>
      <c r="N111">
        <v>-74.184000000000424</v>
      </c>
    </row>
    <row r="112" spans="1:14" ht="18" x14ac:dyDescent="0.35">
      <c r="A112" s="10">
        <v>44927</v>
      </c>
      <c r="B112" s="11" t="s">
        <v>96</v>
      </c>
      <c r="C112" s="11" t="s">
        <v>88</v>
      </c>
      <c r="D112" s="11" t="s">
        <v>19</v>
      </c>
      <c r="E112" s="12">
        <f t="shared" si="17"/>
        <v>0</v>
      </c>
      <c r="F112" s="13"/>
      <c r="G112" s="22">
        <f>586.938-47.63-70.43-61.12</f>
        <v>407.75799999999998</v>
      </c>
      <c r="H112" s="22">
        <f>586.938-47.63-70.43-61.12</f>
        <v>407.75799999999998</v>
      </c>
      <c r="I112" s="15" t="s">
        <v>26</v>
      </c>
      <c r="J112" s="16"/>
      <c r="K112" s="18">
        <v>1037.0282893203669</v>
      </c>
      <c r="M112">
        <v>2.3620000000005348</v>
      </c>
      <c r="N112">
        <v>-397.2180000000003</v>
      </c>
    </row>
    <row r="113" spans="1:14" ht="18" x14ac:dyDescent="0.35">
      <c r="A113" s="10">
        <v>44964</v>
      </c>
      <c r="B113" s="11" t="s">
        <v>198</v>
      </c>
      <c r="C113" s="11" t="s">
        <v>88</v>
      </c>
      <c r="D113" s="11" t="s">
        <v>19</v>
      </c>
      <c r="E113" s="12">
        <f t="shared" si="17"/>
        <v>0</v>
      </c>
      <c r="F113" s="13"/>
      <c r="G113" s="22">
        <f>63+60+32+64.348</f>
        <v>219.34800000000001</v>
      </c>
      <c r="H113" s="22">
        <v>219.34800000000001</v>
      </c>
      <c r="I113" s="15" t="s">
        <v>26</v>
      </c>
      <c r="J113" s="16"/>
      <c r="K113" s="18">
        <v>960.99903545431528</v>
      </c>
      <c r="M113">
        <v>43.601999999999862</v>
      </c>
      <c r="N113">
        <v>-106.32799999999997</v>
      </c>
    </row>
    <row r="114" spans="1:14" ht="18" x14ac:dyDescent="0.35">
      <c r="A114" s="10">
        <v>45020</v>
      </c>
      <c r="B114" s="11" t="s">
        <v>97</v>
      </c>
      <c r="C114" s="11" t="s">
        <v>88</v>
      </c>
      <c r="D114" s="11" t="s">
        <v>19</v>
      </c>
      <c r="E114" s="12">
        <f t="shared" si="17"/>
        <v>1683.819</v>
      </c>
      <c r="F114" s="13"/>
      <c r="G114" s="22">
        <f>87+145</f>
        <v>232</v>
      </c>
      <c r="H114" s="22">
        <v>1915.819</v>
      </c>
      <c r="I114" s="15" t="s">
        <v>26</v>
      </c>
      <c r="J114" s="16"/>
      <c r="K114" s="18">
        <v>1030</v>
      </c>
      <c r="M114">
        <v>1879.819</v>
      </c>
      <c r="N114">
        <v>1595.1289999999999</v>
      </c>
    </row>
    <row r="115" spans="1:14" ht="18" x14ac:dyDescent="0.35">
      <c r="A115" s="10">
        <v>45054</v>
      </c>
      <c r="B115" s="11" t="s">
        <v>222</v>
      </c>
      <c r="C115" s="11" t="s">
        <v>88</v>
      </c>
      <c r="D115" s="11" t="s">
        <v>166</v>
      </c>
      <c r="E115" s="12">
        <f t="shared" si="17"/>
        <v>1683.819</v>
      </c>
      <c r="F115" s="13"/>
      <c r="G115" s="22">
        <f>87+145</f>
        <v>232</v>
      </c>
      <c r="H115" s="22">
        <v>1915.819</v>
      </c>
      <c r="I115" s="15" t="s">
        <v>166</v>
      </c>
      <c r="J115" s="16"/>
      <c r="K115" s="18">
        <v>1030</v>
      </c>
      <c r="M115">
        <v>2445.7159999999999</v>
      </c>
      <c r="N115">
        <v>1795.3209999999999</v>
      </c>
    </row>
    <row r="116" spans="1:14" ht="18" x14ac:dyDescent="0.35">
      <c r="A116" s="19"/>
      <c r="B116" s="26" t="s">
        <v>27</v>
      </c>
      <c r="C116" s="11"/>
      <c r="D116" s="11"/>
      <c r="E116" s="20">
        <f>SUBTOTAL(9,E103:E115)</f>
        <v>7359.7790000000005</v>
      </c>
      <c r="F116" s="21">
        <f>E116</f>
        <v>7359.7790000000005</v>
      </c>
      <c r="G116" s="20">
        <f>SUBTOTAL(9,G103:G115)</f>
        <v>2341.9079999999999</v>
      </c>
      <c r="H116" s="20">
        <f>SUBTOTAL(9,H103:H115)</f>
        <v>9701.6869999999999</v>
      </c>
      <c r="I116" s="15"/>
      <c r="J116" s="16"/>
      <c r="K116" s="18"/>
    </row>
    <row r="117" spans="1:14" ht="18" x14ac:dyDescent="0.35">
      <c r="A117" s="19"/>
      <c r="B117" s="11"/>
      <c r="C117" s="11"/>
      <c r="D117" s="11"/>
      <c r="E117" s="12"/>
      <c r="F117" s="13"/>
      <c r="G117" s="13"/>
      <c r="H117" s="20"/>
      <c r="I117" s="15"/>
      <c r="J117" s="16"/>
      <c r="K117" s="18"/>
    </row>
    <row r="118" spans="1:14" ht="19.5" customHeight="1" x14ac:dyDescent="0.35">
      <c r="A118" s="10">
        <v>44966</v>
      </c>
      <c r="B118" s="11" t="s">
        <v>98</v>
      </c>
      <c r="C118" s="11" t="s">
        <v>99</v>
      </c>
      <c r="D118" s="11" t="s">
        <v>13</v>
      </c>
      <c r="E118" s="28">
        <f t="shared" ref="E118" si="18">H118-G118</f>
        <v>-24.771000000000065</v>
      </c>
      <c r="F118" s="21"/>
      <c r="G118" s="22">
        <v>50</v>
      </c>
      <c r="H118" s="22">
        <f>315.85+80-75.17+25-73.4-79.99+70-25.09-25.06-72.64-83.09-24.59+25+50-54.78+23.059-24.94-24.93</f>
        <v>25.228999999999935</v>
      </c>
      <c r="I118" s="15" t="s">
        <v>21</v>
      </c>
      <c r="J118" s="16"/>
      <c r="K118" s="18">
        <v>630.5353442094663</v>
      </c>
      <c r="M118">
        <v>25.228999999999814</v>
      </c>
      <c r="N118">
        <v>5.2190000000000509</v>
      </c>
    </row>
    <row r="119" spans="1:14" ht="19.5" customHeight="1" x14ac:dyDescent="0.35">
      <c r="A119" s="10">
        <v>45050</v>
      </c>
      <c r="B119" s="11" t="s">
        <v>217</v>
      </c>
      <c r="C119" s="11" t="s">
        <v>99</v>
      </c>
      <c r="D119" s="11" t="s">
        <v>13</v>
      </c>
      <c r="E119" s="28">
        <f t="shared" ref="E119" si="19">H119-G119</f>
        <v>-24.771000000000065</v>
      </c>
      <c r="F119" s="21"/>
      <c r="G119" s="22">
        <v>50</v>
      </c>
      <c r="H119" s="22">
        <f>315.85+80-75.17+25-73.4-79.99+70-25.09-25.06-72.64-83.09-24.59+25+50-54.78+23.059-24.94-24.93</f>
        <v>25.228999999999935</v>
      </c>
      <c r="I119" s="15" t="s">
        <v>21</v>
      </c>
      <c r="J119" s="16"/>
      <c r="K119" s="18">
        <v>630.5353442094663</v>
      </c>
      <c r="M119">
        <v>2.0800000000000978</v>
      </c>
      <c r="N119">
        <v>-129.0200000000001</v>
      </c>
    </row>
    <row r="120" spans="1:14" ht="19.5" customHeight="1" x14ac:dyDescent="0.35">
      <c r="A120" s="10">
        <v>45050</v>
      </c>
      <c r="B120" s="11" t="s">
        <v>218</v>
      </c>
      <c r="C120" s="11" t="s">
        <v>99</v>
      </c>
      <c r="D120" s="11" t="s">
        <v>13</v>
      </c>
      <c r="E120" s="28">
        <f t="shared" ref="E120" si="20">H120-G120</f>
        <v>-24.771000000000065</v>
      </c>
      <c r="F120" s="21"/>
      <c r="G120" s="22">
        <v>50</v>
      </c>
      <c r="H120" s="22">
        <f>315.85+80-75.17+25-73.4-79.99+70-25.09-25.06-72.64-83.09-24.59+25+50-54.78+23.059-24.94-24.93</f>
        <v>25.228999999999935</v>
      </c>
      <c r="I120" s="15" t="s">
        <v>21</v>
      </c>
      <c r="J120" s="16"/>
      <c r="K120" s="18">
        <v>630.5353442094663</v>
      </c>
      <c r="M120">
        <v>845.08300000000008</v>
      </c>
      <c r="N120">
        <v>526.77300000000002</v>
      </c>
    </row>
    <row r="121" spans="1:14" ht="19.5" customHeight="1" x14ac:dyDescent="0.35">
      <c r="A121" s="10"/>
      <c r="B121" s="26" t="s">
        <v>27</v>
      </c>
      <c r="C121" s="11"/>
      <c r="D121" s="11"/>
      <c r="E121" s="20">
        <f>SUBTOTAL(9,E120:E120)</f>
        <v>-24.771000000000065</v>
      </c>
      <c r="F121" s="21">
        <f>E121</f>
        <v>-24.771000000000065</v>
      </c>
      <c r="G121" s="20">
        <f>SUBTOTAL(9,G120:G120)</f>
        <v>50</v>
      </c>
      <c r="H121" s="20">
        <f>SUBTOTAL(9,H120:H120)</f>
        <v>25.228999999999935</v>
      </c>
      <c r="I121" s="15"/>
      <c r="J121" s="16"/>
      <c r="K121" s="18"/>
    </row>
    <row r="122" spans="1:14" ht="18" x14ac:dyDescent="0.35">
      <c r="A122" s="19"/>
      <c r="B122" s="26"/>
      <c r="C122" s="11"/>
      <c r="D122" s="11"/>
      <c r="E122" s="13"/>
      <c r="F122" s="13"/>
      <c r="G122" s="20"/>
      <c r="H122" s="20"/>
      <c r="I122" s="15"/>
      <c r="J122" s="16"/>
      <c r="K122" s="18"/>
    </row>
    <row r="123" spans="1:14" ht="18" x14ac:dyDescent="0.35">
      <c r="A123" s="10">
        <v>44997</v>
      </c>
      <c r="B123" s="11" t="s">
        <v>100</v>
      </c>
      <c r="C123" s="11" t="s">
        <v>101</v>
      </c>
      <c r="D123" s="11" t="s">
        <v>9</v>
      </c>
      <c r="E123" s="12">
        <f>H123-G123</f>
        <v>0</v>
      </c>
      <c r="F123" s="13"/>
      <c r="G123" s="22">
        <f>92.929-24.86-24.93</f>
        <v>43.139000000000003</v>
      </c>
      <c r="H123" s="22">
        <f>92.929-24.86-24.93</f>
        <v>43.139000000000003</v>
      </c>
      <c r="I123" s="15" t="s">
        <v>47</v>
      </c>
      <c r="J123" s="16"/>
      <c r="K123" s="18">
        <v>1120.1930576716391</v>
      </c>
      <c r="M123">
        <v>43.138999999999953</v>
      </c>
      <c r="N123">
        <v>-109.35099999999994</v>
      </c>
    </row>
    <row r="124" spans="1:14" s="52" customFormat="1" ht="18" x14ac:dyDescent="0.35">
      <c r="A124" s="45">
        <v>45018</v>
      </c>
      <c r="B124" s="31" t="s">
        <v>102</v>
      </c>
      <c r="C124" s="31" t="s">
        <v>101</v>
      </c>
      <c r="D124" s="31" t="s">
        <v>9</v>
      </c>
      <c r="E124" s="46">
        <f>H124-G124-50</f>
        <v>565.18500000000006</v>
      </c>
      <c r="F124" s="54"/>
      <c r="G124" s="48">
        <f>275+15-15-18.86-22.05+25-24.9-27.64</f>
        <v>206.54999999999995</v>
      </c>
      <c r="H124" s="48">
        <f>1026.455-31.27-9.83-24.68-30.85-14.64-18.86-22.05-24.9-27.64</f>
        <v>821.73500000000001</v>
      </c>
      <c r="I124" s="49" t="s">
        <v>47</v>
      </c>
      <c r="J124" s="30" t="s">
        <v>103</v>
      </c>
      <c r="K124" s="51"/>
      <c r="M124" s="52" t="e">
        <v>#N/A</v>
      </c>
      <c r="N124" s="52" t="e">
        <v>#N/A</v>
      </c>
    </row>
    <row r="125" spans="1:14" ht="18" x14ac:dyDescent="0.35">
      <c r="A125" s="19"/>
      <c r="B125" s="26" t="s">
        <v>27</v>
      </c>
      <c r="C125" s="11"/>
      <c r="D125" s="11"/>
      <c r="E125" s="20">
        <f>SUBTOTAL(9,E123:E124)</f>
        <v>565.18500000000006</v>
      </c>
      <c r="F125" s="21">
        <f>E125</f>
        <v>565.18500000000006</v>
      </c>
      <c r="G125" s="20">
        <f>SUBTOTAL(9,G123:G124)</f>
        <v>249.68899999999996</v>
      </c>
      <c r="H125" s="20">
        <f>SUBTOTAL(9,H123:H124)</f>
        <v>864.87400000000002</v>
      </c>
      <c r="I125" s="15"/>
      <c r="J125" s="16"/>
      <c r="K125" s="18"/>
    </row>
    <row r="126" spans="1:14" ht="18" x14ac:dyDescent="0.35">
      <c r="A126" s="19"/>
      <c r="B126" s="26"/>
      <c r="C126" s="11"/>
      <c r="D126" s="11"/>
      <c r="E126" s="13"/>
      <c r="F126" s="13"/>
      <c r="G126" s="13"/>
      <c r="H126" s="20"/>
      <c r="I126" s="15"/>
      <c r="J126" s="16"/>
      <c r="K126" s="18"/>
    </row>
    <row r="127" spans="1:14" ht="18" x14ac:dyDescent="0.35">
      <c r="A127" s="10">
        <v>44919</v>
      </c>
      <c r="B127" s="11" t="s">
        <v>104</v>
      </c>
      <c r="C127" s="11" t="s">
        <v>105</v>
      </c>
      <c r="D127" s="11" t="s">
        <v>9</v>
      </c>
      <c r="E127" s="12">
        <f>H127-G127</f>
        <v>0</v>
      </c>
      <c r="F127" s="21"/>
      <c r="G127" s="22">
        <v>127.99299999999999</v>
      </c>
      <c r="H127" s="22">
        <v>127.99299999999999</v>
      </c>
      <c r="I127" s="15" t="s">
        <v>47</v>
      </c>
      <c r="J127" s="16"/>
      <c r="K127" s="18">
        <v>1295.2259126271699</v>
      </c>
      <c r="M127">
        <v>20.188000000000102</v>
      </c>
      <c r="N127">
        <v>-33.652000000000044</v>
      </c>
    </row>
    <row r="128" spans="1:14" ht="18" x14ac:dyDescent="0.35">
      <c r="A128" s="10">
        <v>44943</v>
      </c>
      <c r="B128" s="11" t="s">
        <v>106</v>
      </c>
      <c r="C128" s="11" t="s">
        <v>105</v>
      </c>
      <c r="D128" s="11" t="s">
        <v>9</v>
      </c>
      <c r="E128" s="12">
        <f>H128-G128</f>
        <v>698.60799999999995</v>
      </c>
      <c r="F128" s="21"/>
      <c r="G128" s="22">
        <f>141+95-46.5-65.53-24.46</f>
        <v>99.509999999999991</v>
      </c>
      <c r="H128" s="22">
        <f>934.608-46.5-65.53-24.46</f>
        <v>798.11799999999994</v>
      </c>
      <c r="I128" s="15" t="s">
        <v>47</v>
      </c>
      <c r="J128" s="16"/>
      <c r="K128" s="18">
        <v>1210</v>
      </c>
      <c r="M128">
        <v>637.31799999999998</v>
      </c>
      <c r="N128">
        <v>428.04800000000012</v>
      </c>
    </row>
    <row r="129" spans="1:14" ht="18" x14ac:dyDescent="0.35">
      <c r="A129" s="10"/>
      <c r="B129" s="26" t="s">
        <v>27</v>
      </c>
      <c r="C129" s="11"/>
      <c r="D129" s="11"/>
      <c r="E129" s="20">
        <f>SUBTOTAL(9,E127:E128)</f>
        <v>698.60799999999995</v>
      </c>
      <c r="F129" s="21">
        <f>E129</f>
        <v>698.60799999999995</v>
      </c>
      <c r="G129" s="20">
        <f>SUBTOTAL(9,G127:G128)</f>
        <v>227.50299999999999</v>
      </c>
      <c r="H129" s="20">
        <f>SUBTOTAL(9,H127:H128)</f>
        <v>926.11099999999988</v>
      </c>
      <c r="I129" s="15"/>
      <c r="J129" s="16"/>
      <c r="K129" s="18"/>
    </row>
    <row r="130" spans="1:14" ht="18" x14ac:dyDescent="0.35">
      <c r="A130" s="19"/>
      <c r="B130" s="26"/>
      <c r="C130" s="11"/>
      <c r="D130" s="11"/>
      <c r="E130" s="13"/>
      <c r="F130" s="13"/>
      <c r="G130" s="13"/>
      <c r="H130" s="27"/>
      <c r="I130" s="15"/>
      <c r="J130" s="16"/>
      <c r="K130" s="18"/>
    </row>
    <row r="131" spans="1:14" ht="18" x14ac:dyDescent="0.35">
      <c r="A131" s="10">
        <v>44722</v>
      </c>
      <c r="B131" s="11" t="s">
        <v>107</v>
      </c>
      <c r="C131" s="11" t="s">
        <v>108</v>
      </c>
      <c r="D131" s="11" t="s">
        <v>9</v>
      </c>
      <c r="E131" s="12">
        <f>H131-G131</f>
        <v>1.159</v>
      </c>
      <c r="F131" s="13"/>
      <c r="G131" s="22">
        <v>0</v>
      </c>
      <c r="H131" s="22">
        <v>1.159</v>
      </c>
      <c r="I131" s="15" t="s">
        <v>109</v>
      </c>
      <c r="J131" s="16"/>
      <c r="K131" s="18">
        <v>1890</v>
      </c>
      <c r="M131">
        <v>1.1590000000001055</v>
      </c>
      <c r="N131">
        <v>2.3740000000001009</v>
      </c>
    </row>
    <row r="132" spans="1:14" ht="18" x14ac:dyDescent="0.35">
      <c r="A132" s="10">
        <v>44930</v>
      </c>
      <c r="B132" s="11" t="s">
        <v>110</v>
      </c>
      <c r="C132" s="11" t="s">
        <v>108</v>
      </c>
      <c r="D132" s="11" t="s">
        <v>13</v>
      </c>
      <c r="E132" s="12">
        <f>H132-G132</f>
        <v>109.333</v>
      </c>
      <c r="F132" s="13"/>
      <c r="G132" s="22">
        <f>202.96+84-24.9-23.42-21.06-22.59</f>
        <v>194.99000000000004</v>
      </c>
      <c r="H132" s="22">
        <f>396.293-24.9-23.42-21.06-22.59</f>
        <v>304.32300000000004</v>
      </c>
      <c r="I132" s="15" t="s">
        <v>21</v>
      </c>
      <c r="J132" s="16"/>
      <c r="K132" s="18">
        <v>1536.9055918352899</v>
      </c>
      <c r="M132">
        <v>244.01300000000026</v>
      </c>
      <c r="N132">
        <v>-14.797000000000025</v>
      </c>
    </row>
    <row r="133" spans="1:14" ht="18" x14ac:dyDescent="0.35">
      <c r="A133" s="10">
        <v>45005</v>
      </c>
      <c r="B133" s="11" t="s">
        <v>111</v>
      </c>
      <c r="C133" s="11" t="s">
        <v>108</v>
      </c>
      <c r="D133" s="11" t="s">
        <v>13</v>
      </c>
      <c r="E133" s="12">
        <f>H133-G133</f>
        <v>520.96699999999998</v>
      </c>
      <c r="F133" s="13"/>
      <c r="G133" s="22">
        <v>0</v>
      </c>
      <c r="H133" s="22">
        <v>520.96699999999998</v>
      </c>
      <c r="I133" s="15" t="s">
        <v>21</v>
      </c>
      <c r="J133" s="16"/>
      <c r="K133" s="18">
        <v>1403.23329522019</v>
      </c>
      <c r="M133">
        <v>498.50700000000001</v>
      </c>
      <c r="N133">
        <v>520.96699999999998</v>
      </c>
    </row>
    <row r="134" spans="1:14" ht="18" x14ac:dyDescent="0.35">
      <c r="A134" s="19"/>
      <c r="B134" s="26" t="s">
        <v>27</v>
      </c>
      <c r="C134" s="11"/>
      <c r="D134" s="11"/>
      <c r="E134" s="20">
        <f>SUBTOTAL(9,E131:E133)</f>
        <v>631.45899999999995</v>
      </c>
      <c r="F134" s="21">
        <f>E134</f>
        <v>631.45899999999995</v>
      </c>
      <c r="G134" s="20">
        <f>SUBTOTAL(9,G131:G133)</f>
        <v>194.99000000000004</v>
      </c>
      <c r="H134" s="20">
        <f>SUBTOTAL(9,H131:H133)</f>
        <v>826.44900000000007</v>
      </c>
      <c r="I134" s="15"/>
      <c r="J134" s="16"/>
      <c r="K134" s="18"/>
    </row>
    <row r="135" spans="1:14" ht="18" x14ac:dyDescent="0.35">
      <c r="A135" s="19"/>
      <c r="B135" s="26"/>
      <c r="C135" s="11"/>
      <c r="D135" s="11" t="s">
        <v>112</v>
      </c>
      <c r="E135" s="13"/>
      <c r="F135" s="13"/>
      <c r="G135" s="13"/>
      <c r="H135" s="27"/>
      <c r="I135" s="15"/>
      <c r="J135" s="16"/>
      <c r="K135" s="18"/>
    </row>
    <row r="136" spans="1:14" ht="18" x14ac:dyDescent="0.35">
      <c r="A136" s="10">
        <v>44969</v>
      </c>
      <c r="B136" s="11" t="s">
        <v>113</v>
      </c>
      <c r="C136" s="11" t="s">
        <v>114</v>
      </c>
      <c r="D136" s="11" t="s">
        <v>9</v>
      </c>
      <c r="E136" s="12">
        <f>H136-G136</f>
        <v>0</v>
      </c>
      <c r="F136" s="21"/>
      <c r="G136" s="22">
        <f>157+25-29.47+28-73.59+15.553-8.05-46.35</f>
        <v>68.092999999999989</v>
      </c>
      <c r="H136" s="22">
        <f>157+25-29.47+28-73.59+15.553-8.05-46.35</f>
        <v>68.092999999999989</v>
      </c>
      <c r="I136" s="15" t="s">
        <v>23</v>
      </c>
      <c r="J136" s="16"/>
      <c r="K136" s="18">
        <v>1192.5</v>
      </c>
      <c r="M136">
        <v>18.252999999999702</v>
      </c>
      <c r="N136">
        <v>-15.037000000000035</v>
      </c>
    </row>
    <row r="137" spans="1:14" s="52" customFormat="1" ht="18" x14ac:dyDescent="0.35">
      <c r="A137" s="45">
        <v>44988</v>
      </c>
      <c r="B137" s="31" t="s">
        <v>115</v>
      </c>
      <c r="C137" s="31" t="s">
        <v>114</v>
      </c>
      <c r="D137" s="31" t="s">
        <v>9</v>
      </c>
      <c r="E137" s="46">
        <f>H137-G137</f>
        <v>0</v>
      </c>
      <c r="F137" s="53"/>
      <c r="G137" s="48">
        <v>142.80500000000001</v>
      </c>
      <c r="H137" s="48">
        <v>142.80500000000001</v>
      </c>
      <c r="I137" s="49" t="s">
        <v>23</v>
      </c>
      <c r="J137" s="50"/>
      <c r="K137" s="51">
        <v>1113.50001746725</v>
      </c>
      <c r="M137" s="52" t="e">
        <v>#N/A</v>
      </c>
      <c r="N137" s="52">
        <v>42.50500000000001</v>
      </c>
    </row>
    <row r="138" spans="1:14" ht="18" x14ac:dyDescent="0.35">
      <c r="A138" s="10">
        <v>45041</v>
      </c>
      <c r="B138" s="11" t="s">
        <v>116</v>
      </c>
      <c r="C138" s="11" t="s">
        <v>114</v>
      </c>
      <c r="D138" s="11" t="s">
        <v>13</v>
      </c>
      <c r="E138" s="12">
        <f>H138-G138</f>
        <v>594.98399999999992</v>
      </c>
      <c r="F138" s="21"/>
      <c r="G138" s="22">
        <f>100+71+60-20.85+60+160-33.82</f>
        <v>396.33</v>
      </c>
      <c r="H138" s="22">
        <f>1045.984-20.85-33.82</f>
        <v>991.31399999999996</v>
      </c>
      <c r="I138" s="15" t="s">
        <v>21</v>
      </c>
      <c r="J138" s="16"/>
      <c r="K138" s="18"/>
      <c r="M138">
        <v>264.24400000000014</v>
      </c>
      <c r="N138">
        <v>-7.7559999999998581</v>
      </c>
    </row>
    <row r="139" spans="1:14" ht="18" x14ac:dyDescent="0.35">
      <c r="A139" s="10"/>
      <c r="B139" s="26" t="s">
        <v>27</v>
      </c>
      <c r="C139" s="11"/>
      <c r="D139" s="11"/>
      <c r="E139" s="20">
        <f>SUBTOTAL(9,E136:E138)</f>
        <v>594.98399999999992</v>
      </c>
      <c r="F139" s="21">
        <f>E139</f>
        <v>594.98399999999992</v>
      </c>
      <c r="G139" s="20">
        <f>SUBTOTAL(9,G136:G138)</f>
        <v>607.22799999999995</v>
      </c>
      <c r="H139" s="20">
        <f>SUBTOTAL(9,H136:H138)</f>
        <v>1202.212</v>
      </c>
      <c r="I139" s="15"/>
      <c r="J139" s="16"/>
      <c r="K139" s="18"/>
    </row>
    <row r="140" spans="1:14" ht="18" x14ac:dyDescent="0.35">
      <c r="A140" s="19"/>
      <c r="B140" s="26"/>
      <c r="C140" s="11"/>
      <c r="D140" s="11"/>
      <c r="E140" s="13"/>
      <c r="F140" s="13"/>
      <c r="G140" s="13"/>
      <c r="H140" s="27"/>
      <c r="I140" s="15"/>
      <c r="J140" s="16"/>
      <c r="K140" s="18"/>
    </row>
    <row r="141" spans="1:14" ht="18" x14ac:dyDescent="0.35">
      <c r="A141" s="10">
        <v>44904</v>
      </c>
      <c r="B141" s="11" t="s">
        <v>117</v>
      </c>
      <c r="C141" s="11" t="s">
        <v>118</v>
      </c>
      <c r="D141" s="11" t="s">
        <v>9</v>
      </c>
      <c r="E141" s="12">
        <f>H141-G141</f>
        <v>0</v>
      </c>
      <c r="F141" s="13"/>
      <c r="G141" s="22">
        <v>21.393999999999998</v>
      </c>
      <c r="H141" s="22">
        <v>21.393999999999998</v>
      </c>
      <c r="I141" s="15" t="s">
        <v>47</v>
      </c>
      <c r="J141" s="16"/>
      <c r="K141" s="18">
        <v>903.07</v>
      </c>
      <c r="M141">
        <v>21.503999999999678</v>
      </c>
      <c r="N141">
        <v>-5.6960000000000264</v>
      </c>
    </row>
    <row r="142" spans="1:14" s="52" customFormat="1" ht="18" x14ac:dyDescent="0.35">
      <c r="A142" s="45">
        <v>44989</v>
      </c>
      <c r="B142" s="31" t="s">
        <v>119</v>
      </c>
      <c r="C142" s="31" t="s">
        <v>118</v>
      </c>
      <c r="D142" s="31" t="s">
        <v>9</v>
      </c>
      <c r="E142" s="46">
        <f>H142-G142</f>
        <v>185.75800000000004</v>
      </c>
      <c r="F142" s="54"/>
      <c r="G142" s="48">
        <f>331.51-38.9-14.82-43.91+26+39-25.23</f>
        <v>273.64999999999998</v>
      </c>
      <c r="H142" s="48">
        <f>582.268-38.9-14.82-43.91-25.23</f>
        <v>459.40800000000002</v>
      </c>
      <c r="I142" s="49" t="s">
        <v>47</v>
      </c>
      <c r="J142" s="50"/>
      <c r="K142" s="51">
        <v>936.89</v>
      </c>
      <c r="M142" s="52">
        <v>181.09800000000007</v>
      </c>
      <c r="N142" s="52">
        <v>-223.16199999999981</v>
      </c>
    </row>
    <row r="143" spans="1:14" ht="18" x14ac:dyDescent="0.35">
      <c r="A143" s="10">
        <v>45036</v>
      </c>
      <c r="B143" s="11" t="s">
        <v>120</v>
      </c>
      <c r="C143" s="11" t="s">
        <v>118</v>
      </c>
      <c r="D143" s="11" t="s">
        <v>9</v>
      </c>
      <c r="E143" s="12">
        <f>H143-G143</f>
        <v>1061.152</v>
      </c>
      <c r="F143" s="13"/>
      <c r="G143" s="22">
        <v>0</v>
      </c>
      <c r="H143" s="22">
        <v>1061.152</v>
      </c>
      <c r="I143" s="15" t="s">
        <v>47</v>
      </c>
      <c r="J143" s="16"/>
      <c r="K143" s="18"/>
      <c r="M143">
        <v>1061.152</v>
      </c>
      <c r="N143">
        <v>1061.152</v>
      </c>
    </row>
    <row r="144" spans="1:14" ht="18" x14ac:dyDescent="0.35">
      <c r="A144" s="19"/>
      <c r="B144" s="26" t="s">
        <v>27</v>
      </c>
      <c r="C144" s="11"/>
      <c r="D144" s="11"/>
      <c r="E144" s="20">
        <f>SUBTOTAL(9,E141:E143)</f>
        <v>1246.9100000000001</v>
      </c>
      <c r="F144" s="21">
        <f>E144</f>
        <v>1246.9100000000001</v>
      </c>
      <c r="G144" s="20">
        <f>SUBTOTAL(9,G141:G143)</f>
        <v>295.04399999999998</v>
      </c>
      <c r="H144" s="20">
        <f>SUBTOTAL(9,H141:H143)</f>
        <v>1541.9540000000002</v>
      </c>
      <c r="I144" s="15"/>
      <c r="J144" s="16"/>
      <c r="K144" s="18"/>
    </row>
    <row r="145" spans="1:14" ht="18" x14ac:dyDescent="0.35">
      <c r="A145" s="19"/>
      <c r="B145" s="11"/>
      <c r="C145" s="11"/>
      <c r="D145" s="11"/>
      <c r="E145" s="13"/>
      <c r="F145" s="13"/>
      <c r="G145" s="13"/>
      <c r="H145" s="27"/>
      <c r="I145" s="15"/>
      <c r="J145" s="16"/>
      <c r="K145" s="18"/>
    </row>
    <row r="146" spans="1:14" ht="18" x14ac:dyDescent="0.35">
      <c r="A146" s="10">
        <v>44892</v>
      </c>
      <c r="B146" s="11" t="s">
        <v>121</v>
      </c>
      <c r="C146" s="11" t="s">
        <v>122</v>
      </c>
      <c r="D146" s="11" t="s">
        <v>9</v>
      </c>
      <c r="E146" s="12">
        <f t="shared" ref="E146:E151" si="21">H146-G146</f>
        <v>0</v>
      </c>
      <c r="F146" s="13"/>
      <c r="G146" s="22">
        <v>17.344000000000001</v>
      </c>
      <c r="H146" s="22">
        <v>17.344000000000001</v>
      </c>
      <c r="I146" s="15" t="s">
        <v>123</v>
      </c>
      <c r="J146" s="16"/>
      <c r="K146" s="18">
        <v>1130.0261544645684</v>
      </c>
      <c r="M146">
        <v>7.1659999999992579</v>
      </c>
      <c r="N146">
        <v>-113.59400000000051</v>
      </c>
    </row>
    <row r="147" spans="1:14" ht="18" x14ac:dyDescent="0.35">
      <c r="A147" s="10">
        <v>44566</v>
      </c>
      <c r="B147" s="11" t="s">
        <v>91</v>
      </c>
      <c r="C147" s="11" t="s">
        <v>122</v>
      </c>
      <c r="D147" s="11" t="s">
        <v>9</v>
      </c>
      <c r="E147" s="12">
        <f t="shared" si="21"/>
        <v>0</v>
      </c>
      <c r="F147" s="13"/>
      <c r="G147" s="22">
        <f>430.861-47.99-108.69-26.42-8.65</f>
        <v>239.11099999999996</v>
      </c>
      <c r="H147" s="22">
        <f>430.861-47.99-108.69-26.42-8.65</f>
        <v>239.11099999999996</v>
      </c>
      <c r="I147" s="15" t="s">
        <v>47</v>
      </c>
      <c r="J147" s="16"/>
      <c r="K147" s="18">
        <v>1037.0283001737214</v>
      </c>
      <c r="M147">
        <v>0</v>
      </c>
      <c r="N147">
        <v>-7.3299999999999272</v>
      </c>
    </row>
    <row r="148" spans="1:14" ht="18" x14ac:dyDescent="0.35">
      <c r="A148" s="10">
        <v>44976</v>
      </c>
      <c r="B148" s="11" t="s">
        <v>124</v>
      </c>
      <c r="C148" s="11" t="s">
        <v>122</v>
      </c>
      <c r="D148" s="11" t="s">
        <v>9</v>
      </c>
      <c r="E148" s="12">
        <f t="shared" si="21"/>
        <v>0</v>
      </c>
      <c r="F148" s="13"/>
      <c r="G148" s="22">
        <v>43.515000000000001</v>
      </c>
      <c r="H148" s="22">
        <v>43.515000000000001</v>
      </c>
      <c r="I148" s="15" t="s">
        <v>125</v>
      </c>
      <c r="J148" s="16"/>
      <c r="K148" s="18">
        <v>985.84867135170271</v>
      </c>
      <c r="M148">
        <v>14.536000000000058</v>
      </c>
      <c r="N148">
        <v>-107.52399999999989</v>
      </c>
    </row>
    <row r="149" spans="1:14" ht="18" x14ac:dyDescent="0.35">
      <c r="A149" s="10">
        <v>44997</v>
      </c>
      <c r="B149" s="11" t="s">
        <v>199</v>
      </c>
      <c r="C149" s="11" t="s">
        <v>122</v>
      </c>
      <c r="D149" s="11" t="s">
        <v>9</v>
      </c>
      <c r="E149" s="12">
        <f t="shared" ref="E149" si="22">H149-G149</f>
        <v>799.86000000000013</v>
      </c>
      <c r="F149" s="13"/>
      <c r="G149" s="22">
        <f>2102-54.7+20-35.94+75-38.14</f>
        <v>2068.2200000000003</v>
      </c>
      <c r="H149" s="22">
        <f>2996.86-54.7-35.94-38.14</f>
        <v>2868.0800000000004</v>
      </c>
      <c r="I149" s="15" t="s">
        <v>47</v>
      </c>
      <c r="J149" s="16"/>
      <c r="K149" s="18">
        <v>1023.11824649209</v>
      </c>
      <c r="M149">
        <v>574.23272425249172</v>
      </c>
      <c r="N149">
        <v>-324.31727574750812</v>
      </c>
    </row>
    <row r="150" spans="1:14" ht="18" x14ac:dyDescent="0.35">
      <c r="A150" s="10">
        <v>44997</v>
      </c>
      <c r="B150" s="11" t="s">
        <v>200</v>
      </c>
      <c r="C150" s="11" t="s">
        <v>122</v>
      </c>
      <c r="D150" s="11" t="s">
        <v>9</v>
      </c>
      <c r="E150" s="12">
        <f t="shared" si="21"/>
        <v>799.86000000000013</v>
      </c>
      <c r="F150" s="13"/>
      <c r="G150" s="22">
        <f>2102-54.7+20-35.94+75-38.14</f>
        <v>2068.2200000000003</v>
      </c>
      <c r="H150" s="22">
        <f>2996.86-54.7-35.94-38.14</f>
        <v>2868.0800000000004</v>
      </c>
      <c r="I150" s="15" t="s">
        <v>47</v>
      </c>
      <c r="J150" s="16"/>
      <c r="K150" s="18">
        <v>1023.11824649209</v>
      </c>
      <c r="M150">
        <v>1996.2472757475084</v>
      </c>
      <c r="N150">
        <v>1971.2472757475084</v>
      </c>
    </row>
    <row r="151" spans="1:14" ht="18" x14ac:dyDescent="0.35">
      <c r="A151" s="10">
        <v>45028</v>
      </c>
      <c r="B151" s="11" t="s">
        <v>126</v>
      </c>
      <c r="C151" s="11" t="s">
        <v>122</v>
      </c>
      <c r="D151" s="11" t="s">
        <v>9</v>
      </c>
      <c r="E151" s="12">
        <f t="shared" si="21"/>
        <v>523.26700000000005</v>
      </c>
      <c r="F151" s="13"/>
      <c r="G151" s="22">
        <v>0</v>
      </c>
      <c r="H151" s="22">
        <v>523.26700000000005</v>
      </c>
      <c r="I151" s="15" t="s">
        <v>32</v>
      </c>
      <c r="J151" s="16"/>
      <c r="K151" s="18">
        <v>1009.47</v>
      </c>
      <c r="M151">
        <v>523.26700000000005</v>
      </c>
      <c r="N151">
        <v>523.26700000000005</v>
      </c>
    </row>
    <row r="152" spans="1:14" ht="18" x14ac:dyDescent="0.35">
      <c r="A152" s="19"/>
      <c r="B152" s="26" t="s">
        <v>27</v>
      </c>
      <c r="C152" s="11"/>
      <c r="D152" s="11"/>
      <c r="E152" s="20">
        <f>SUBTOTAL(9,E146:E151)</f>
        <v>2122.9870000000001</v>
      </c>
      <c r="F152" s="21">
        <f>E152</f>
        <v>2122.9870000000001</v>
      </c>
      <c r="G152" s="20">
        <f>SUBTOTAL(9,G146:G151)</f>
        <v>4436.41</v>
      </c>
      <c r="H152" s="20">
        <f>SUBTOTAL(9,H146:H151)</f>
        <v>6559.3970000000008</v>
      </c>
      <c r="I152" s="15"/>
      <c r="J152" s="16"/>
      <c r="K152" s="18"/>
    </row>
    <row r="153" spans="1:14" ht="18" x14ac:dyDescent="0.35">
      <c r="A153" s="19"/>
      <c r="B153" s="26"/>
      <c r="C153" s="11"/>
      <c r="D153" s="11"/>
      <c r="E153" s="13"/>
      <c r="F153" s="13"/>
      <c r="G153" s="13"/>
      <c r="H153" s="27"/>
      <c r="I153" s="15"/>
      <c r="J153" s="16"/>
      <c r="K153" s="18"/>
    </row>
    <row r="154" spans="1:14" ht="18" x14ac:dyDescent="0.35">
      <c r="A154" s="10">
        <v>44993</v>
      </c>
      <c r="B154" s="11" t="s">
        <v>129</v>
      </c>
      <c r="C154" s="31" t="s">
        <v>127</v>
      </c>
      <c r="D154" s="11" t="s">
        <v>9</v>
      </c>
      <c r="E154" s="12">
        <f t="shared" ref="E154:E161" si="23">H154-G154</f>
        <v>0</v>
      </c>
      <c r="F154" s="13"/>
      <c r="G154" s="22">
        <f>100.894-23.42-25.1-49.38</f>
        <v>2.9939999999999998</v>
      </c>
      <c r="H154" s="22">
        <f>100.894-23.42-25.1-49.38</f>
        <v>2.9939999999999998</v>
      </c>
      <c r="I154" s="15" t="s">
        <v>130</v>
      </c>
      <c r="J154" s="16"/>
      <c r="K154" s="18">
        <v>1007.5023796576164</v>
      </c>
      <c r="M154">
        <v>0.31000000000005912</v>
      </c>
      <c r="N154">
        <v>-91.759999999999991</v>
      </c>
    </row>
    <row r="155" spans="1:14" ht="18" x14ac:dyDescent="0.35">
      <c r="A155" s="10">
        <v>44997</v>
      </c>
      <c r="B155" s="11" t="s">
        <v>201</v>
      </c>
      <c r="C155" s="31" t="s">
        <v>127</v>
      </c>
      <c r="D155" s="11" t="s">
        <v>9</v>
      </c>
      <c r="E155" s="12">
        <f t="shared" ref="E155" si="24">H155-G155</f>
        <v>1057.0990000000002</v>
      </c>
      <c r="F155" s="13"/>
      <c r="G155" s="22">
        <f>1020-190.4-17.98-29.79+95-23.12-22.36+24-59.13</f>
        <v>796.22</v>
      </c>
      <c r="H155" s="22">
        <f>2196.099-190.4-17.98-29.79-23.12-22.36-59.13</f>
        <v>1853.3190000000002</v>
      </c>
      <c r="I155" s="15" t="s">
        <v>131</v>
      </c>
      <c r="J155" s="16"/>
      <c r="K155" s="18">
        <v>1067.6300000000001</v>
      </c>
      <c r="M155">
        <v>972.65697182713143</v>
      </c>
      <c r="N155">
        <v>791.95397182713145</v>
      </c>
    </row>
    <row r="156" spans="1:14" ht="18" x14ac:dyDescent="0.35">
      <c r="A156" s="10">
        <v>44997</v>
      </c>
      <c r="B156" s="11" t="s">
        <v>202</v>
      </c>
      <c r="C156" s="31" t="s">
        <v>127</v>
      </c>
      <c r="D156" s="11" t="s">
        <v>9</v>
      </c>
      <c r="E156" s="12">
        <f t="shared" si="23"/>
        <v>1057.0990000000002</v>
      </c>
      <c r="F156" s="13"/>
      <c r="G156" s="22">
        <f>1020-190.4-17.98-29.79+95-23.12-22.36+24-59.13</f>
        <v>796.22</v>
      </c>
      <c r="H156" s="22">
        <f>2196.099-190.4-17.98-29.79-23.12-22.36-59.13</f>
        <v>1853.3190000000002</v>
      </c>
      <c r="I156" s="15" t="s">
        <v>131</v>
      </c>
      <c r="J156" s="16"/>
      <c r="K156" s="18">
        <v>1067.6300000000001</v>
      </c>
      <c r="M156">
        <v>0</v>
      </c>
      <c r="N156">
        <v>-371.25699999999949</v>
      </c>
    </row>
    <row r="157" spans="1:14" ht="18" x14ac:dyDescent="0.35">
      <c r="A157" s="10">
        <v>45028</v>
      </c>
      <c r="B157" s="11" t="s">
        <v>132</v>
      </c>
      <c r="C157" s="31" t="s">
        <v>127</v>
      </c>
      <c r="D157" s="11" t="s">
        <v>9</v>
      </c>
      <c r="E157" s="12">
        <f t="shared" si="23"/>
        <v>1929.873</v>
      </c>
      <c r="F157" s="13"/>
      <c r="G157" s="22">
        <v>0</v>
      </c>
      <c r="H157" s="22">
        <v>1929.873</v>
      </c>
      <c r="I157" s="15" t="s">
        <v>133</v>
      </c>
      <c r="J157" s="16"/>
      <c r="K157" s="18">
        <v>1078.829999</v>
      </c>
      <c r="M157">
        <v>1922.2450000000001</v>
      </c>
      <c r="N157">
        <v>1922.2450000000001</v>
      </c>
    </row>
    <row r="158" spans="1:14" ht="18" x14ac:dyDescent="0.35">
      <c r="A158" s="10">
        <v>44927</v>
      </c>
      <c r="B158" s="11" t="s">
        <v>134</v>
      </c>
      <c r="C158" s="11" t="s">
        <v>128</v>
      </c>
      <c r="D158" s="11" t="s">
        <v>19</v>
      </c>
      <c r="E158" s="12">
        <f t="shared" si="23"/>
        <v>0</v>
      </c>
      <c r="F158" s="13"/>
      <c r="G158" s="22">
        <f>119.548-19.81</f>
        <v>99.738</v>
      </c>
      <c r="H158" s="22">
        <f>119.548-19.81</f>
        <v>99.738</v>
      </c>
      <c r="I158" s="15" t="s">
        <v>26</v>
      </c>
      <c r="J158" s="16"/>
      <c r="K158" s="18">
        <v>1044.5195774148788</v>
      </c>
      <c r="M158">
        <v>80.158999999999878</v>
      </c>
      <c r="N158">
        <v>-0.32100000000014006</v>
      </c>
    </row>
    <row r="159" spans="1:14" ht="18" x14ac:dyDescent="0.35">
      <c r="A159" s="10">
        <v>45007</v>
      </c>
      <c r="B159" s="11" t="s">
        <v>203</v>
      </c>
      <c r="C159" s="11" t="s">
        <v>128</v>
      </c>
      <c r="D159" s="11" t="s">
        <v>19</v>
      </c>
      <c r="E159" s="12">
        <f t="shared" si="23"/>
        <v>60</v>
      </c>
      <c r="F159" s="13"/>
      <c r="G159" s="22">
        <f>758.638-60-91.54-9.61</f>
        <v>597.48800000000006</v>
      </c>
      <c r="H159" s="22">
        <f>758.638-91.54-9.61</f>
        <v>657.48800000000006</v>
      </c>
      <c r="I159" s="15" t="s">
        <v>26</v>
      </c>
      <c r="J159" s="16"/>
      <c r="K159" s="18">
        <v>1045</v>
      </c>
      <c r="M159">
        <v>477.12800000000004</v>
      </c>
      <c r="N159">
        <v>225.99800000000005</v>
      </c>
    </row>
    <row r="160" spans="1:14" ht="18" x14ac:dyDescent="0.35">
      <c r="A160" s="10">
        <v>44959</v>
      </c>
      <c r="B160" s="11" t="s">
        <v>135</v>
      </c>
      <c r="C160" s="31" t="s">
        <v>127</v>
      </c>
      <c r="D160" s="11" t="s">
        <v>136</v>
      </c>
      <c r="E160" s="28">
        <f t="shared" ref="E160" si="25">H160-G160</f>
        <v>-304.96100000000007</v>
      </c>
      <c r="F160" s="13"/>
      <c r="G160" s="22">
        <f>200+60+56-47.74+93-20.21+25+16-23.45</f>
        <v>358.6</v>
      </c>
      <c r="H160" s="22">
        <f>145.039-47.74-20.21-23.45</f>
        <v>53.638999999999967</v>
      </c>
      <c r="I160" s="15"/>
      <c r="J160" s="16"/>
      <c r="K160" s="18"/>
    </row>
    <row r="161" spans="1:14" ht="18" x14ac:dyDescent="0.35">
      <c r="A161" s="10">
        <v>45050</v>
      </c>
      <c r="B161" s="11" t="s">
        <v>221</v>
      </c>
      <c r="C161" s="11" t="s">
        <v>128</v>
      </c>
      <c r="D161" s="11" t="s">
        <v>136</v>
      </c>
      <c r="E161" s="28">
        <f t="shared" si="23"/>
        <v>-304.96100000000007</v>
      </c>
      <c r="F161" s="13"/>
      <c r="G161" s="22">
        <f>200+60+56-47.74+93-20.21+25+16-23.45</f>
        <v>358.6</v>
      </c>
      <c r="H161" s="22">
        <f>145.039-47.74-20.21-23.45</f>
        <v>53.638999999999967</v>
      </c>
      <c r="I161" s="15" t="s">
        <v>136</v>
      </c>
      <c r="J161" s="16"/>
      <c r="K161" s="18"/>
    </row>
    <row r="162" spans="1:14" ht="18" x14ac:dyDescent="0.35">
      <c r="A162" s="19"/>
      <c r="B162" s="26" t="s">
        <v>27</v>
      </c>
      <c r="C162" s="11"/>
      <c r="D162" s="11"/>
      <c r="E162" s="20">
        <f>SUBTOTAL(9,E154:E161)</f>
        <v>3494.1489999999994</v>
      </c>
      <c r="F162" s="21">
        <f>E162</f>
        <v>3494.1489999999994</v>
      </c>
      <c r="G162" s="20">
        <f>SUBTOTAL(9,G154:G161)</f>
        <v>3009.86</v>
      </c>
      <c r="H162" s="20">
        <f>SUBTOTAL(9,H154:H161)</f>
        <v>6504.0090000000018</v>
      </c>
      <c r="I162" s="15"/>
      <c r="J162" s="16"/>
      <c r="K162" s="18"/>
    </row>
    <row r="163" spans="1:14" ht="18" x14ac:dyDescent="0.35">
      <c r="A163" s="19"/>
      <c r="B163" s="26"/>
      <c r="C163" s="11"/>
      <c r="D163" s="11"/>
      <c r="E163" s="13"/>
      <c r="F163" s="21"/>
      <c r="G163" s="20"/>
      <c r="H163" s="20"/>
      <c r="I163" s="15"/>
      <c r="J163" s="16"/>
      <c r="K163" s="18"/>
    </row>
    <row r="164" spans="1:14" ht="18" x14ac:dyDescent="0.35">
      <c r="A164" s="10">
        <v>44903</v>
      </c>
      <c r="B164" s="11" t="s">
        <v>137</v>
      </c>
      <c r="C164" s="11" t="s">
        <v>138</v>
      </c>
      <c r="D164" s="11" t="s">
        <v>13</v>
      </c>
      <c r="E164" s="12">
        <f t="shared" ref="E164:E166" si="26">H164-G164</f>
        <v>317.96299999999991</v>
      </c>
      <c r="F164" s="21"/>
      <c r="G164" s="22">
        <f>242-16.87+17-20.85+21+118-16.83+40-40.85</f>
        <v>342.59999999999997</v>
      </c>
      <c r="H164" s="22">
        <f>755.963-16.87-20.85-16.83-40.85</f>
        <v>660.56299999999987</v>
      </c>
      <c r="I164" s="15" t="s">
        <v>21</v>
      </c>
      <c r="J164" s="16"/>
      <c r="K164" s="18">
        <v>1270</v>
      </c>
      <c r="M164">
        <v>426.04600000000005</v>
      </c>
      <c r="N164">
        <v>257.9129999999999</v>
      </c>
    </row>
    <row r="165" spans="1:14" s="52" customFormat="1" ht="18" x14ac:dyDescent="0.35">
      <c r="A165" s="45">
        <v>44958</v>
      </c>
      <c r="B165" s="31" t="s">
        <v>139</v>
      </c>
      <c r="C165" s="31" t="s">
        <v>138</v>
      </c>
      <c r="D165" s="31" t="s">
        <v>13</v>
      </c>
      <c r="E165" s="46">
        <f t="shared" si="26"/>
        <v>914.00199999999995</v>
      </c>
      <c r="F165" s="53"/>
      <c r="G165" s="48">
        <v>0</v>
      </c>
      <c r="H165" s="48">
        <v>914.00199999999995</v>
      </c>
      <c r="I165" s="49" t="s">
        <v>21</v>
      </c>
      <c r="J165" s="50"/>
      <c r="K165" s="51">
        <v>1135.2007723642</v>
      </c>
      <c r="M165" s="52">
        <v>914.00200000000007</v>
      </c>
      <c r="N165" s="52">
        <v>914.00199999999995</v>
      </c>
    </row>
    <row r="166" spans="1:14" ht="18" x14ac:dyDescent="0.35">
      <c r="A166" s="10">
        <v>44878</v>
      </c>
      <c r="B166" s="11" t="s">
        <v>140</v>
      </c>
      <c r="C166" s="11" t="s">
        <v>138</v>
      </c>
      <c r="D166" s="11" t="s">
        <v>19</v>
      </c>
      <c r="E166" s="12">
        <f t="shared" si="26"/>
        <v>0</v>
      </c>
      <c r="F166" s="21"/>
      <c r="G166" s="22">
        <f>54.361-15.55-20.1-16.33</f>
        <v>2.3809999999999931</v>
      </c>
      <c r="H166" s="22">
        <f>54.361-15.55-20.1-16.33</f>
        <v>2.3809999999999931</v>
      </c>
      <c r="I166" s="15" t="s">
        <v>26</v>
      </c>
      <c r="J166" s="16"/>
      <c r="K166" s="18">
        <v>1312.2284725536992</v>
      </c>
      <c r="M166">
        <v>1.0370000000004893</v>
      </c>
      <c r="N166">
        <v>1.0369999999998072</v>
      </c>
    </row>
    <row r="167" spans="1:14" ht="18" x14ac:dyDescent="0.35">
      <c r="A167" s="10"/>
      <c r="B167" s="26" t="s">
        <v>27</v>
      </c>
      <c r="C167" s="11"/>
      <c r="D167" s="11"/>
      <c r="E167" s="20">
        <f>SUBTOTAL(9,E164:E166)</f>
        <v>1231.9649999999999</v>
      </c>
      <c r="F167" s="21">
        <f>E167</f>
        <v>1231.9649999999999</v>
      </c>
      <c r="G167" s="20">
        <f>SUBTOTAL(9,G164:G166)</f>
        <v>344.98099999999994</v>
      </c>
      <c r="H167" s="20">
        <f>SUBTOTAL(9,H164:H166)</f>
        <v>1576.9459999999999</v>
      </c>
      <c r="I167" s="15"/>
      <c r="J167" s="16"/>
      <c r="K167" s="18"/>
    </row>
    <row r="168" spans="1:14" ht="18" x14ac:dyDescent="0.35">
      <c r="A168" s="19"/>
      <c r="B168" s="26"/>
      <c r="C168" s="11"/>
      <c r="D168" s="11"/>
      <c r="E168" s="13"/>
      <c r="F168" s="21"/>
      <c r="G168" s="20"/>
      <c r="H168" s="20"/>
      <c r="I168" s="15"/>
      <c r="J168" s="16"/>
      <c r="K168" s="18"/>
    </row>
    <row r="169" spans="1:14" ht="18" x14ac:dyDescent="0.35">
      <c r="A169" s="10">
        <v>44915</v>
      </c>
      <c r="B169" s="11" t="s">
        <v>204</v>
      </c>
      <c r="C169" s="11" t="s">
        <v>141</v>
      </c>
      <c r="D169" s="11" t="s">
        <v>9</v>
      </c>
      <c r="E169" s="12">
        <f t="shared" ref="E169:E175" si="27">H169-G169</f>
        <v>67.872</v>
      </c>
      <c r="F169" s="21"/>
      <c r="G169" s="22">
        <v>18.63</v>
      </c>
      <c r="H169" s="22">
        <v>86.501999999999995</v>
      </c>
      <c r="I169" s="15" t="s">
        <v>142</v>
      </c>
      <c r="J169" s="16"/>
      <c r="K169" s="18">
        <v>1245</v>
      </c>
      <c r="M169">
        <v>68.72400000000016</v>
      </c>
      <c r="N169">
        <v>67.052999999999884</v>
      </c>
    </row>
    <row r="170" spans="1:14" ht="18" x14ac:dyDescent="0.35">
      <c r="A170" s="10">
        <v>44915</v>
      </c>
      <c r="B170" s="11" t="s">
        <v>205</v>
      </c>
      <c r="C170" s="11" t="s">
        <v>141</v>
      </c>
      <c r="D170" s="11" t="s">
        <v>9</v>
      </c>
      <c r="E170" s="12">
        <f t="shared" si="27"/>
        <v>67.872</v>
      </c>
      <c r="F170" s="21"/>
      <c r="G170" s="22">
        <v>18.63</v>
      </c>
      <c r="H170" s="22">
        <v>86.501999999999995</v>
      </c>
      <c r="I170" s="15" t="s">
        <v>142</v>
      </c>
      <c r="J170" s="16"/>
      <c r="K170" s="18">
        <v>1245</v>
      </c>
      <c r="M170">
        <v>0</v>
      </c>
      <c r="N170">
        <v>-0.47900000000002585</v>
      </c>
    </row>
    <row r="171" spans="1:14" ht="18" x14ac:dyDescent="0.35">
      <c r="A171" s="10">
        <v>44915</v>
      </c>
      <c r="B171" s="11" t="s">
        <v>206</v>
      </c>
      <c r="C171" s="11" t="s">
        <v>141</v>
      </c>
      <c r="D171" s="11" t="s">
        <v>9</v>
      </c>
      <c r="E171" s="12">
        <f t="shared" ref="E171" si="28">H171-G171</f>
        <v>67.872</v>
      </c>
      <c r="F171" s="21"/>
      <c r="G171" s="22">
        <v>18.63</v>
      </c>
      <c r="H171" s="22">
        <v>86.501999999999995</v>
      </c>
      <c r="I171" s="15" t="s">
        <v>142</v>
      </c>
      <c r="J171" s="16"/>
      <c r="K171" s="18">
        <v>1245</v>
      </c>
      <c r="M171">
        <v>18.629999999999768</v>
      </c>
      <c r="N171">
        <v>0</v>
      </c>
    </row>
    <row r="172" spans="1:14" s="52" customFormat="1" ht="18" x14ac:dyDescent="0.35">
      <c r="A172" s="45">
        <v>44942</v>
      </c>
      <c r="B172" s="31" t="s">
        <v>143</v>
      </c>
      <c r="C172" s="31" t="s">
        <v>141</v>
      </c>
      <c r="D172" s="31" t="s">
        <v>9</v>
      </c>
      <c r="E172" s="46">
        <f t="shared" si="27"/>
        <v>4.202000000000055</v>
      </c>
      <c r="F172" s="53"/>
      <c r="G172" s="48">
        <v>52.787999999999982</v>
      </c>
      <c r="H172" s="48">
        <v>56.990000000000038</v>
      </c>
      <c r="I172" s="49" t="s">
        <v>142</v>
      </c>
      <c r="J172" s="32" t="s">
        <v>144</v>
      </c>
      <c r="K172" s="51"/>
      <c r="M172" s="52" t="e">
        <v>#N/A</v>
      </c>
      <c r="N172" s="52" t="e">
        <v>#N/A</v>
      </c>
    </row>
    <row r="173" spans="1:14" ht="18" x14ac:dyDescent="0.35">
      <c r="A173" s="10">
        <v>44999</v>
      </c>
      <c r="B173" s="11" t="s">
        <v>207</v>
      </c>
      <c r="C173" s="11" t="s">
        <v>141</v>
      </c>
      <c r="D173" s="11" t="s">
        <v>9</v>
      </c>
      <c r="E173" s="12">
        <f t="shared" si="27"/>
        <v>219.6690000000001</v>
      </c>
      <c r="F173" s="21"/>
      <c r="G173" s="22">
        <f>940-99.72-27.22-23.15-40.42</f>
        <v>749.49</v>
      </c>
      <c r="H173" s="22">
        <f>1159.669-99.72-27.22-23.15-40.42</f>
        <v>969.15900000000011</v>
      </c>
      <c r="I173" s="15" t="s">
        <v>142</v>
      </c>
      <c r="J173" s="16"/>
      <c r="K173" s="18">
        <v>1245</v>
      </c>
      <c r="M173">
        <v>467.59799999999996</v>
      </c>
      <c r="N173">
        <v>92.080999999999847</v>
      </c>
    </row>
    <row r="174" spans="1:14" ht="18" x14ac:dyDescent="0.35">
      <c r="A174" s="10">
        <v>44999</v>
      </c>
      <c r="B174" s="11" t="s">
        <v>208</v>
      </c>
      <c r="C174" s="11" t="s">
        <v>141</v>
      </c>
      <c r="D174" s="11" t="s">
        <v>9</v>
      </c>
      <c r="E174" s="12">
        <f t="shared" ref="E174" si="29">H174-G174</f>
        <v>219.6690000000001</v>
      </c>
      <c r="F174" s="21"/>
      <c r="G174" s="22">
        <f>940-99.72-27.22-23.15-40.42</f>
        <v>749.49</v>
      </c>
      <c r="H174" s="22">
        <f>1159.669-99.72-27.22-23.15-40.42</f>
        <v>969.15900000000011</v>
      </c>
      <c r="I174" s="15" t="s">
        <v>142</v>
      </c>
      <c r="J174" s="16"/>
      <c r="K174" s="18">
        <v>1245</v>
      </c>
      <c r="M174">
        <v>-5.1999999999907232E-2</v>
      </c>
      <c r="N174">
        <v>28.408000000000015</v>
      </c>
    </row>
    <row r="175" spans="1:14" ht="18" x14ac:dyDescent="0.35">
      <c r="A175" s="10">
        <v>44999</v>
      </c>
      <c r="B175" s="11" t="s">
        <v>209</v>
      </c>
      <c r="C175" s="11" t="s">
        <v>141</v>
      </c>
      <c r="D175" s="11" t="s">
        <v>9</v>
      </c>
      <c r="E175" s="12">
        <f t="shared" si="27"/>
        <v>219.6690000000001</v>
      </c>
      <c r="F175" s="21"/>
      <c r="G175" s="22">
        <f>940-99.72-27.22-23.15-40.42</f>
        <v>749.49</v>
      </c>
      <c r="H175" s="22">
        <f>1159.669-99.72-27.22-23.15-40.42</f>
        <v>969.15900000000011</v>
      </c>
      <c r="I175" s="15" t="s">
        <v>142</v>
      </c>
      <c r="J175" s="16"/>
      <c r="K175" s="18">
        <v>1245</v>
      </c>
      <c r="M175">
        <v>151.065</v>
      </c>
      <c r="N175">
        <v>114.565</v>
      </c>
    </row>
    <row r="176" spans="1:14" ht="18" x14ac:dyDescent="0.35">
      <c r="A176" s="10"/>
      <c r="B176" s="26" t="s">
        <v>27</v>
      </c>
      <c r="C176" s="11"/>
      <c r="D176" s="11"/>
      <c r="E176" s="20">
        <f>SUBTOTAL(9,E169:E175)</f>
        <v>866.82500000000027</v>
      </c>
      <c r="F176" s="21">
        <f>E176</f>
        <v>866.82500000000027</v>
      </c>
      <c r="G176" s="20">
        <f>SUBTOTAL(9,G169:G175)</f>
        <v>2357.1480000000001</v>
      </c>
      <c r="H176" s="20">
        <f>SUBTOTAL(9,H169:H175)</f>
        <v>3223.9730000000004</v>
      </c>
      <c r="I176" s="15"/>
      <c r="J176" s="16"/>
      <c r="K176" s="18"/>
    </row>
    <row r="177" spans="1:14" ht="18" x14ac:dyDescent="0.35">
      <c r="A177" s="10"/>
      <c r="B177" s="11"/>
      <c r="C177" s="11"/>
      <c r="D177" s="11"/>
      <c r="E177" s="12"/>
      <c r="F177" s="21"/>
      <c r="G177" s="20"/>
      <c r="H177" s="20"/>
      <c r="I177" s="15"/>
      <c r="J177" s="16"/>
      <c r="K177" s="18"/>
    </row>
    <row r="178" spans="1:14" ht="18" x14ac:dyDescent="0.35">
      <c r="A178" s="10">
        <v>44964</v>
      </c>
      <c r="B178" s="11" t="s">
        <v>145</v>
      </c>
      <c r="C178" s="11" t="s">
        <v>146</v>
      </c>
      <c r="D178" s="11" t="s">
        <v>9</v>
      </c>
      <c r="E178" s="12">
        <f>H178-G178</f>
        <v>0</v>
      </c>
      <c r="F178" s="21"/>
      <c r="G178" s="22">
        <f>70.707-15.16</f>
        <v>55.546999999999997</v>
      </c>
      <c r="H178" s="22">
        <f>70.707-15.16</f>
        <v>55.546999999999997</v>
      </c>
      <c r="I178" s="15" t="s">
        <v>47</v>
      </c>
      <c r="J178" s="16"/>
      <c r="K178" s="18">
        <v>1045</v>
      </c>
      <c r="M178">
        <v>26.400000000000006</v>
      </c>
      <c r="N178">
        <v>0.45300000000000296</v>
      </c>
    </row>
    <row r="179" spans="1:14" ht="18" x14ac:dyDescent="0.35">
      <c r="A179" s="10">
        <v>44978</v>
      </c>
      <c r="B179" s="11" t="s">
        <v>210</v>
      </c>
      <c r="C179" s="11" t="s">
        <v>146</v>
      </c>
      <c r="D179" s="11" t="s">
        <v>9</v>
      </c>
      <c r="E179" s="12">
        <f>H179-G179</f>
        <v>803.851</v>
      </c>
      <c r="F179" s="21"/>
      <c r="G179" s="22">
        <f>105-10.51+60-30.61</f>
        <v>123.88000000000001</v>
      </c>
      <c r="H179" s="22">
        <f>998.821-29.97-10.51-30.61</f>
        <v>927.73099999999999</v>
      </c>
      <c r="I179" s="15" t="s">
        <v>47</v>
      </c>
      <c r="J179" s="16"/>
      <c r="K179" s="18">
        <v>1120</v>
      </c>
      <c r="M179">
        <v>811.04100000000005</v>
      </c>
      <c r="N179">
        <v>779.49800000000005</v>
      </c>
    </row>
    <row r="180" spans="1:14" ht="18" x14ac:dyDescent="0.35">
      <c r="A180" s="10">
        <v>45018</v>
      </c>
      <c r="B180" s="11" t="s">
        <v>147</v>
      </c>
      <c r="C180" s="11" t="s">
        <v>146</v>
      </c>
      <c r="D180" s="11" t="s">
        <v>9</v>
      </c>
      <c r="E180" s="12">
        <f>H180-G180</f>
        <v>521.01599999999996</v>
      </c>
      <c r="F180" s="21"/>
      <c r="G180" s="22">
        <v>0</v>
      </c>
      <c r="H180" s="22">
        <v>521.01599999999996</v>
      </c>
      <c r="I180" s="15" t="s">
        <v>47</v>
      </c>
      <c r="J180" s="16"/>
      <c r="K180" s="18">
        <v>1050</v>
      </c>
      <c r="M180">
        <v>521.01599999999996</v>
      </c>
      <c r="N180">
        <v>400.93599999999998</v>
      </c>
    </row>
    <row r="181" spans="1:14" ht="18" x14ac:dyDescent="0.35">
      <c r="A181" s="10">
        <v>44905</v>
      </c>
      <c r="B181" s="11" t="s">
        <v>148</v>
      </c>
      <c r="C181" s="11" t="s">
        <v>146</v>
      </c>
      <c r="D181" s="11" t="s">
        <v>13</v>
      </c>
      <c r="E181" s="12">
        <f>H181-G181</f>
        <v>92.98599999999999</v>
      </c>
      <c r="F181" s="21"/>
      <c r="G181" s="22">
        <v>46</v>
      </c>
      <c r="H181" s="22">
        <v>138.98599999999999</v>
      </c>
      <c r="I181" s="15" t="s">
        <v>21</v>
      </c>
      <c r="J181" s="16"/>
      <c r="K181" s="18">
        <v>1100</v>
      </c>
      <c r="M181">
        <v>68.516000000000076</v>
      </c>
      <c r="N181">
        <v>24.933999999999969</v>
      </c>
    </row>
    <row r="182" spans="1:14" ht="18" x14ac:dyDescent="0.35">
      <c r="A182" s="10"/>
      <c r="B182" s="26" t="s">
        <v>27</v>
      </c>
      <c r="C182" s="11"/>
      <c r="D182" s="11"/>
      <c r="E182" s="20">
        <f>SUBTOTAL(9,E178:E181)</f>
        <v>1417.8530000000001</v>
      </c>
      <c r="F182" s="21">
        <f>E182</f>
        <v>1417.8530000000001</v>
      </c>
      <c r="G182" s="20">
        <f>SUBTOTAL(9,G178:G181)</f>
        <v>225.42700000000002</v>
      </c>
      <c r="H182" s="20">
        <f>SUBTOTAL(9,H178:H181)</f>
        <v>1643.2799999999997</v>
      </c>
      <c r="I182" s="15"/>
      <c r="J182" s="16"/>
      <c r="K182" s="18"/>
    </row>
    <row r="183" spans="1:14" ht="18" x14ac:dyDescent="0.35">
      <c r="A183" s="19"/>
      <c r="B183" s="11"/>
      <c r="C183" s="11"/>
      <c r="D183" s="11"/>
      <c r="E183" s="13"/>
      <c r="F183" s="13"/>
      <c r="G183" s="20"/>
      <c r="H183" s="20"/>
      <c r="I183" s="15"/>
      <c r="J183" s="16"/>
      <c r="K183" s="18"/>
    </row>
    <row r="184" spans="1:14" ht="18" x14ac:dyDescent="0.35">
      <c r="A184" s="10">
        <v>44876</v>
      </c>
      <c r="B184" s="11" t="s">
        <v>211</v>
      </c>
      <c r="C184" s="11" t="s">
        <v>149</v>
      </c>
      <c r="D184" s="11" t="s">
        <v>13</v>
      </c>
      <c r="E184" s="12">
        <f>H184-G184</f>
        <v>0</v>
      </c>
      <c r="F184" s="20"/>
      <c r="G184" s="22">
        <f>180.331-25.13-20.14-25.14-30.09-24.68</f>
        <v>55.150999999999975</v>
      </c>
      <c r="H184" s="22">
        <v>55.151000000000003</v>
      </c>
      <c r="I184" s="15" t="s">
        <v>21</v>
      </c>
      <c r="J184" s="16"/>
      <c r="K184" s="18">
        <v>350</v>
      </c>
      <c r="M184">
        <v>30.807999999999083</v>
      </c>
      <c r="N184">
        <v>20.647999999999456</v>
      </c>
    </row>
    <row r="185" spans="1:14" ht="18" x14ac:dyDescent="0.35">
      <c r="A185" s="10">
        <v>44995</v>
      </c>
      <c r="B185" s="11" t="s">
        <v>212</v>
      </c>
      <c r="C185" s="11" t="s">
        <v>149</v>
      </c>
      <c r="D185" s="11" t="s">
        <v>13</v>
      </c>
      <c r="E185" s="12">
        <f>H185-G185</f>
        <v>112.69600000000003</v>
      </c>
      <c r="F185" s="20"/>
      <c r="G185" s="22">
        <f>626.889+25-30.02+25-24.94-100-30.01+25</f>
        <v>516.91899999999998</v>
      </c>
      <c r="H185" s="22">
        <f>714.585-30.02-24.94-30.01</f>
        <v>629.61500000000001</v>
      </c>
      <c r="I185" s="15" t="s">
        <v>21</v>
      </c>
      <c r="J185" s="16"/>
      <c r="K185" s="18">
        <v>365</v>
      </c>
      <c r="M185">
        <v>573.64499999999998</v>
      </c>
      <c r="N185">
        <v>67.544999999999959</v>
      </c>
    </row>
    <row r="186" spans="1:14" ht="18" x14ac:dyDescent="0.35">
      <c r="A186" s="19"/>
      <c r="B186" s="26" t="s">
        <v>27</v>
      </c>
      <c r="C186" s="11"/>
      <c r="D186" s="11"/>
      <c r="E186" s="20">
        <f>SUBTOTAL(9,E184:E185)</f>
        <v>112.69600000000003</v>
      </c>
      <c r="F186" s="21">
        <f>E186</f>
        <v>112.69600000000003</v>
      </c>
      <c r="G186" s="20">
        <f>SUBTOTAL(9,G184:G185)</f>
        <v>572.06999999999994</v>
      </c>
      <c r="H186" s="20">
        <f>SUBTOTAL(9,H184:H185)</f>
        <v>684.76599999999996</v>
      </c>
      <c r="I186" s="15"/>
      <c r="J186" s="16"/>
      <c r="K186" s="18"/>
    </row>
    <row r="187" spans="1:14" ht="18" x14ac:dyDescent="0.35">
      <c r="A187" s="19"/>
      <c r="B187" s="26"/>
      <c r="C187" s="11"/>
      <c r="D187" s="11"/>
      <c r="E187" s="13"/>
      <c r="F187" s="21"/>
      <c r="G187" s="20"/>
      <c r="H187" s="20"/>
      <c r="I187" s="15"/>
      <c r="J187" s="16"/>
      <c r="K187" s="18"/>
    </row>
    <row r="188" spans="1:14" ht="18" x14ac:dyDescent="0.35">
      <c r="A188" s="10">
        <v>44968</v>
      </c>
      <c r="B188" s="11" t="s">
        <v>150</v>
      </c>
      <c r="C188" s="11" t="s">
        <v>151</v>
      </c>
      <c r="D188" s="11" t="s">
        <v>9</v>
      </c>
      <c r="E188" s="12">
        <f>H188-G188</f>
        <v>0</v>
      </c>
      <c r="F188" s="21"/>
      <c r="G188" s="22">
        <v>49.225000000000001</v>
      </c>
      <c r="H188" s="22">
        <v>49.225000000000001</v>
      </c>
      <c r="I188" s="15" t="s">
        <v>152</v>
      </c>
      <c r="J188" s="16"/>
      <c r="K188" s="18">
        <v>1050.893645464718</v>
      </c>
      <c r="M188">
        <v>1.376999999999839</v>
      </c>
      <c r="N188">
        <v>1.376999999999839</v>
      </c>
    </row>
    <row r="189" spans="1:14" ht="18" x14ac:dyDescent="0.35">
      <c r="A189" s="10">
        <v>44995</v>
      </c>
      <c r="B189" s="11" t="s">
        <v>153</v>
      </c>
      <c r="C189" s="11" t="s">
        <v>154</v>
      </c>
      <c r="D189" s="11" t="s">
        <v>9</v>
      </c>
      <c r="E189" s="12">
        <f>H189-G189</f>
        <v>275.28200000000004</v>
      </c>
      <c r="F189" s="21"/>
      <c r="G189" s="22">
        <f>94+25-25.3-49.52+50</f>
        <v>94.18</v>
      </c>
      <c r="H189" s="22">
        <f>469.872-25.59-25.3-49.52</f>
        <v>369.46200000000005</v>
      </c>
      <c r="I189" s="15" t="s">
        <v>152</v>
      </c>
      <c r="J189" s="16"/>
      <c r="K189" s="18">
        <v>1301.1066666436805</v>
      </c>
      <c r="M189">
        <v>341.02100000000002</v>
      </c>
      <c r="N189">
        <v>43.290999999999997</v>
      </c>
    </row>
    <row r="190" spans="1:14" ht="18" x14ac:dyDescent="0.35">
      <c r="A190" s="10">
        <v>44995</v>
      </c>
      <c r="B190" s="11" t="s">
        <v>155</v>
      </c>
      <c r="C190" s="11" t="s">
        <v>156</v>
      </c>
      <c r="D190" s="11" t="s">
        <v>9</v>
      </c>
      <c r="E190" s="12">
        <f>H190-G190</f>
        <v>403.75799999999998</v>
      </c>
      <c r="F190" s="21"/>
      <c r="G190" s="22">
        <f>47-23.54+25</f>
        <v>48.46</v>
      </c>
      <c r="H190" s="22">
        <f>475.758-23.54</f>
        <v>452.21799999999996</v>
      </c>
      <c r="I190" s="15" t="s">
        <v>152</v>
      </c>
      <c r="J190" s="16"/>
      <c r="K190" s="18">
        <v>1281.0868769669034</v>
      </c>
      <c r="M190">
        <v>352.00400000000002</v>
      </c>
      <c r="N190">
        <v>277.22399999999999</v>
      </c>
    </row>
    <row r="191" spans="1:14" ht="18" x14ac:dyDescent="0.35">
      <c r="A191" s="19"/>
      <c r="B191" s="26" t="s">
        <v>27</v>
      </c>
      <c r="C191" s="11"/>
      <c r="D191" s="11"/>
      <c r="E191" s="20">
        <f>SUBTOTAL(9,E188:E190)</f>
        <v>679.04</v>
      </c>
      <c r="F191" s="21">
        <f>E191</f>
        <v>679.04</v>
      </c>
      <c r="G191" s="20">
        <f>SUBTOTAL(9,G188:G190)</f>
        <v>191.86500000000001</v>
      </c>
      <c r="H191" s="20">
        <f>SUBTOTAL(9,H188:H190)</f>
        <v>870.90499999999997</v>
      </c>
      <c r="I191" s="15"/>
      <c r="J191" s="16"/>
      <c r="K191" s="18"/>
    </row>
    <row r="192" spans="1:14" ht="18" x14ac:dyDescent="0.35">
      <c r="A192" s="19"/>
      <c r="B192" s="26"/>
      <c r="C192" s="11"/>
      <c r="D192" s="11"/>
      <c r="E192" s="20"/>
      <c r="F192" s="21"/>
      <c r="G192" s="20"/>
      <c r="H192" s="20"/>
      <c r="I192" s="15"/>
      <c r="J192" s="16"/>
      <c r="K192" s="18"/>
    </row>
    <row r="193" spans="1:16375" ht="18" x14ac:dyDescent="0.35">
      <c r="A193" s="10">
        <v>45044</v>
      </c>
      <c r="B193" s="11" t="s">
        <v>157</v>
      </c>
      <c r="C193" s="11" t="s">
        <v>158</v>
      </c>
      <c r="D193" s="11" t="s">
        <v>9</v>
      </c>
      <c r="E193" s="12">
        <f>H193-G193</f>
        <v>959.30799999999999</v>
      </c>
      <c r="F193" s="21"/>
      <c r="G193" s="22">
        <v>60</v>
      </c>
      <c r="H193" s="22">
        <v>1019.308</v>
      </c>
      <c r="I193" s="15" t="s">
        <v>29</v>
      </c>
      <c r="J193" s="16"/>
      <c r="K193" s="18"/>
      <c r="M193">
        <v>1019.308</v>
      </c>
      <c r="N193">
        <v>839.30799999999999</v>
      </c>
    </row>
    <row r="194" spans="1:16375" ht="18" x14ac:dyDescent="0.35">
      <c r="A194" s="10"/>
      <c r="B194" s="13" t="s">
        <v>27</v>
      </c>
      <c r="C194" s="12"/>
      <c r="D194" s="12"/>
      <c r="E194" s="20">
        <f>SUBTOTAL(9,E193:E193)</f>
        <v>959.30799999999999</v>
      </c>
      <c r="F194" s="21">
        <f>E194</f>
        <v>959.30799999999999</v>
      </c>
      <c r="G194" s="20">
        <f>SUBTOTAL(9,G193:G193)</f>
        <v>60</v>
      </c>
      <c r="H194" s="20">
        <f>SUBTOTAL(9,H193:H193)</f>
        <v>1019.308</v>
      </c>
      <c r="I194" s="15"/>
      <c r="J194" s="16"/>
      <c r="K194" s="18"/>
    </row>
    <row r="195" spans="1:16375" ht="18" x14ac:dyDescent="0.35">
      <c r="A195" s="19"/>
      <c r="B195" s="26"/>
      <c r="C195" s="11"/>
      <c r="D195" s="11"/>
      <c r="E195" s="13"/>
      <c r="F195" s="13"/>
      <c r="G195" s="20"/>
      <c r="H195" s="20"/>
      <c r="I195" s="33"/>
      <c r="J195" s="34"/>
      <c r="K195" s="18"/>
    </row>
    <row r="196" spans="1:16375" s="52" customFormat="1" ht="18" x14ac:dyDescent="0.35">
      <c r="A196" s="45">
        <v>44936</v>
      </c>
      <c r="B196" s="31" t="s">
        <v>160</v>
      </c>
      <c r="C196" s="31" t="s">
        <v>159</v>
      </c>
      <c r="D196" s="31" t="s">
        <v>9</v>
      </c>
      <c r="E196" s="46">
        <f t="shared" ref="E196:E203" si="30">H196-G196</f>
        <v>0</v>
      </c>
      <c r="F196" s="54"/>
      <c r="G196" s="48">
        <f>30.29-29.76</f>
        <v>0.52999999999999758</v>
      </c>
      <c r="H196" s="48">
        <f>30.29-29.76</f>
        <v>0.52999999999999758</v>
      </c>
      <c r="I196" s="49" t="s">
        <v>47</v>
      </c>
      <c r="J196" s="25" t="s">
        <v>41</v>
      </c>
      <c r="K196" s="51"/>
      <c r="M196" s="52" t="e">
        <v>#N/A</v>
      </c>
      <c r="N196" s="52" t="e">
        <v>#N/A</v>
      </c>
    </row>
    <row r="197" spans="1:16375" s="52" customFormat="1" ht="18" x14ac:dyDescent="0.35">
      <c r="A197" s="45">
        <v>44976</v>
      </c>
      <c r="B197" s="31" t="s">
        <v>161</v>
      </c>
      <c r="C197" s="31" t="s">
        <v>159</v>
      </c>
      <c r="D197" s="31" t="s">
        <v>9</v>
      </c>
      <c r="E197" s="46">
        <f t="shared" si="30"/>
        <v>5</v>
      </c>
      <c r="F197" s="54"/>
      <c r="G197" s="48">
        <v>41.087000000003172</v>
      </c>
      <c r="H197" s="48">
        <v>46.087000000003172</v>
      </c>
      <c r="I197" s="49" t="s">
        <v>109</v>
      </c>
      <c r="J197" s="25" t="s">
        <v>41</v>
      </c>
      <c r="K197" s="51"/>
      <c r="M197" s="52" t="e">
        <v>#N/A</v>
      </c>
      <c r="N197" s="52" t="e">
        <v>#N/A</v>
      </c>
    </row>
    <row r="198" spans="1:16375" ht="18" x14ac:dyDescent="0.35">
      <c r="A198" s="10">
        <v>44976</v>
      </c>
      <c r="B198" s="11" t="s">
        <v>162</v>
      </c>
      <c r="C198" s="11" t="s">
        <v>159</v>
      </c>
      <c r="D198" s="11" t="s">
        <v>9</v>
      </c>
      <c r="E198" s="12">
        <f t="shared" si="30"/>
        <v>0</v>
      </c>
      <c r="F198" s="13"/>
      <c r="G198" s="22">
        <f>1200+110-348.94-104.83-24.3-51.67-137.87-160+200-51.04-15.04+210-208.42+85-37.24-89.4-50.72+121.417-69.78-44.36-82.86-52.14-40.94-18.24-18.74-15.68-18.8-19.08-37.96</f>
        <v>228.3670000000001</v>
      </c>
      <c r="H198" s="22">
        <f>1200+110-348.94-104.83-24.3-51.67-137.87-160+200-51.04-15.04+210-208.42+85-37.24-89.4-50.72+121.417-69.78-44.36-82.86-52.14-40.94-18.24-18.74-15.68-18.8-19.08-37.96</f>
        <v>228.3670000000001</v>
      </c>
      <c r="I198" s="15" t="s">
        <v>54</v>
      </c>
      <c r="J198" s="16"/>
      <c r="K198" s="18">
        <v>333.51277565329275</v>
      </c>
      <c r="M198">
        <v>97.381999999996879</v>
      </c>
      <c r="N198">
        <v>10.821999999999207</v>
      </c>
    </row>
    <row r="199" spans="1:16375" ht="18" x14ac:dyDescent="0.35">
      <c r="A199" s="10">
        <v>44918</v>
      </c>
      <c r="B199" s="11" t="s">
        <v>163</v>
      </c>
      <c r="C199" s="11" t="s">
        <v>159</v>
      </c>
      <c r="D199" s="11" t="s">
        <v>13</v>
      </c>
      <c r="E199" s="12">
        <f t="shared" si="30"/>
        <v>0</v>
      </c>
      <c r="F199" s="13"/>
      <c r="G199" s="22">
        <f>214.516-26.2-34.65-18.68-32.88-18.72-22.67</f>
        <v>60.715999999999994</v>
      </c>
      <c r="H199" s="22">
        <f>214.516-26.2-34.65-18.68-32.88-18.72-22.67</f>
        <v>60.715999999999994</v>
      </c>
      <c r="I199" s="15" t="s">
        <v>21</v>
      </c>
      <c r="J199" s="16"/>
      <c r="K199" s="18">
        <v>295</v>
      </c>
      <c r="M199">
        <v>22.642000000000735</v>
      </c>
      <c r="N199">
        <v>1.6320000000005166</v>
      </c>
    </row>
    <row r="200" spans="1:16375" ht="18" x14ac:dyDescent="0.35">
      <c r="A200" s="10">
        <v>44979</v>
      </c>
      <c r="B200" s="11" t="s">
        <v>164</v>
      </c>
      <c r="C200" s="11" t="s">
        <v>159</v>
      </c>
      <c r="D200" s="11" t="s">
        <v>13</v>
      </c>
      <c r="E200" s="12">
        <f t="shared" si="30"/>
        <v>0</v>
      </c>
      <c r="F200" s="13"/>
      <c r="G200" s="22">
        <f>411.634-18.56-14.96</f>
        <v>378.11400000000003</v>
      </c>
      <c r="H200" s="22">
        <f>411.634-18.56-14.96</f>
        <v>378.11400000000003</v>
      </c>
      <c r="I200" s="15" t="s">
        <v>21</v>
      </c>
      <c r="J200" s="16"/>
      <c r="K200" s="18">
        <v>293.92349430406506</v>
      </c>
      <c r="M200">
        <v>136.7610000000077</v>
      </c>
      <c r="N200">
        <v>11.831000000000131</v>
      </c>
    </row>
    <row r="201" spans="1:16375" ht="18" x14ac:dyDescent="0.35">
      <c r="A201" s="10">
        <v>45037</v>
      </c>
      <c r="B201" s="11" t="s">
        <v>165</v>
      </c>
      <c r="C201" s="11" t="s">
        <v>159</v>
      </c>
      <c r="D201" s="11" t="s">
        <v>166</v>
      </c>
      <c r="E201" s="12">
        <f t="shared" si="30"/>
        <v>2077.5010000000007</v>
      </c>
      <c r="F201" s="13"/>
      <c r="G201" s="22">
        <f>650+710+245+100-202.155+100-190.545+400-89.33+200-94.87+195-183.15</f>
        <v>1839.9499999999998</v>
      </c>
      <c r="H201" s="22">
        <f>4677.501-202.155-190.545-89.33-94.87-183.15</f>
        <v>3917.4510000000005</v>
      </c>
      <c r="I201" s="15" t="s">
        <v>167</v>
      </c>
      <c r="J201" s="16"/>
      <c r="K201" s="18"/>
      <c r="M201">
        <v>2760.6290000000004</v>
      </c>
      <c r="N201">
        <v>1081.4140000000002</v>
      </c>
    </row>
    <row r="202" spans="1:16375" ht="18" x14ac:dyDescent="0.35">
      <c r="A202" s="10">
        <v>44860</v>
      </c>
      <c r="B202" s="11" t="s">
        <v>168</v>
      </c>
      <c r="C202" s="11" t="s">
        <v>159</v>
      </c>
      <c r="D202" s="11" t="s">
        <v>16</v>
      </c>
      <c r="E202" s="12">
        <f t="shared" si="30"/>
        <v>0</v>
      </c>
      <c r="F202" s="13"/>
      <c r="G202" s="22">
        <f>20.335-19.16</f>
        <v>1.1750000000000007</v>
      </c>
      <c r="H202" s="22">
        <f>20.335-19.16</f>
        <v>1.1750000000000007</v>
      </c>
      <c r="I202" s="15" t="s">
        <v>23</v>
      </c>
      <c r="J202" s="16"/>
      <c r="K202" s="18">
        <v>333.51277565329275</v>
      </c>
      <c r="M202">
        <v>2.0649999999995998</v>
      </c>
      <c r="N202">
        <v>1.7349999999996726</v>
      </c>
    </row>
    <row r="203" spans="1:16375" ht="18" x14ac:dyDescent="0.35">
      <c r="A203" s="10">
        <v>44892</v>
      </c>
      <c r="B203" s="11" t="s">
        <v>169</v>
      </c>
      <c r="C203" s="11" t="s">
        <v>159</v>
      </c>
      <c r="D203" s="11" t="s">
        <v>16</v>
      </c>
      <c r="E203" s="12">
        <f t="shared" si="30"/>
        <v>0</v>
      </c>
      <c r="F203" s="13"/>
      <c r="G203" s="22">
        <f>432.911-20.56-74.57-27.66-18.15-71.08-53.42-60.32-20.06-81.02</f>
        <v>6.0710000000000122</v>
      </c>
      <c r="H203" s="22">
        <f>432.911-20.56-74.57-27.66-18.15-71.08-53.42-60.32-20.06-81.02</f>
        <v>6.0710000000000122</v>
      </c>
      <c r="I203" s="15" t="s">
        <v>23</v>
      </c>
      <c r="J203" s="16"/>
      <c r="K203" s="18">
        <v>317.2534669805915</v>
      </c>
      <c r="M203">
        <v>7.0559999999977663</v>
      </c>
      <c r="N203">
        <v>6.365999999999076</v>
      </c>
    </row>
    <row r="204" spans="1:16375" ht="18" x14ac:dyDescent="0.35">
      <c r="A204" s="10">
        <v>44944</v>
      </c>
      <c r="B204" s="11" t="s">
        <v>170</v>
      </c>
      <c r="C204" s="11" t="s">
        <v>159</v>
      </c>
      <c r="D204" s="11" t="s">
        <v>16</v>
      </c>
      <c r="E204" s="28">
        <f>H204-G204</f>
        <v>-298.92699999999979</v>
      </c>
      <c r="F204" s="13"/>
      <c r="G204" s="22">
        <f>2350.47-192.04-38.17-180.06-140.48-178.74-67.7-87.34+25-18.65+50-114.79-70.12-47.11+15-106.31-19.72+17-63.92-94.32-68.92-52.62-63.86-46.38+25-40.24-39.8-48.24-44.3-37.46+25-41.06-94.55-21.81</f>
        <v>488.75999999999988</v>
      </c>
      <c r="H204" s="22">
        <f>2208.543-192.04-38.17-180.06-140.48-178.74-67.7-87.34-18.65-114.79-70.12-47.11-106.31-19.72-63.92-94.32-68.92-52.62-63.86-46.38-40.24-39.8-48.24-44.3-37.46-41.06-94.55-21.81</f>
        <v>189.83300000000008</v>
      </c>
      <c r="I204" s="15" t="s">
        <v>23</v>
      </c>
      <c r="J204" s="16"/>
      <c r="K204" s="18">
        <v>286.80857439643006</v>
      </c>
      <c r="M204">
        <v>117.62300000000505</v>
      </c>
      <c r="N204">
        <v>-154.41699999999946</v>
      </c>
    </row>
    <row r="205" spans="1:16375" ht="18.600000000000001" thickBot="1" x14ac:dyDescent="0.4">
      <c r="A205" s="19"/>
      <c r="B205" s="26" t="s">
        <v>27</v>
      </c>
      <c r="C205" s="11"/>
      <c r="D205" s="11"/>
      <c r="E205" s="20">
        <f>SUBTOTAL(9,E196:E204)</f>
        <v>1783.574000000001</v>
      </c>
      <c r="F205" s="21">
        <f>E205</f>
        <v>1783.574000000001</v>
      </c>
      <c r="G205" s="20">
        <f>SUBTOTAL(9,G196:G204)</f>
        <v>3044.7700000000027</v>
      </c>
      <c r="H205" s="20">
        <f>SUBTOTAL(9,H196:H204)</f>
        <v>4828.3440000000046</v>
      </c>
      <c r="I205" s="33"/>
      <c r="J205" s="34"/>
      <c r="K205" s="35">
        <v>340.29989425974929</v>
      </c>
    </row>
    <row r="206" spans="1:16375" ht="18.600000000000001" thickBot="1" x14ac:dyDescent="0.4">
      <c r="A206" s="36"/>
      <c r="B206" s="37" t="s">
        <v>171</v>
      </c>
      <c r="C206" s="38"/>
      <c r="D206" s="38"/>
      <c r="E206" s="39"/>
      <c r="F206" s="40">
        <f>SUM(F7:F205)</f>
        <v>40572.377</v>
      </c>
      <c r="G206" s="40">
        <f>G205+G186+G182+G176+G162+G152+G144+G139+G134+G129+G125+G121+G116+G101+G96+G90+G86+G83+G72+G69+G65+G57+G49+G37+G25+G20+G16+G167+G191+G194</f>
        <v>25202.556</v>
      </c>
      <c r="H206" s="40">
        <f>H205+H186+H182+H176+H162+H152+H144+H139+H134+H129+H125+H121+H116+H101+H96+H90+H86+H83+H72+H69+H65+H57+H49+H37+H25+H20+H16+H167+H191+H194</f>
        <v>65824.933000000019</v>
      </c>
      <c r="I206" s="41"/>
      <c r="J206" s="42"/>
      <c r="K206" s="43"/>
    </row>
    <row r="207" spans="1:16375" s="1" customFormat="1" x14ac:dyDescent="0.35">
      <c r="B207"/>
      <c r="C207"/>
      <c r="D207"/>
      <c r="F207" s="2"/>
      <c r="G207"/>
      <c r="H207" s="44"/>
      <c r="K207" s="3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1" customFormat="1" x14ac:dyDescent="0.35">
      <c r="B208"/>
      <c r="C208"/>
      <c r="D208"/>
      <c r="F208" s="2"/>
      <c r="G208" s="44"/>
      <c r="H208" s="44"/>
      <c r="K208" s="3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5">
      <c r="B209"/>
      <c r="C209"/>
      <c r="D209"/>
      <c r="F209" s="2"/>
      <c r="G209"/>
      <c r="H209"/>
      <c r="K209" s="3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5">
      <c r="B210"/>
      <c r="C210"/>
      <c r="D210"/>
      <c r="F210" s="2"/>
      <c r="G210"/>
      <c r="H210"/>
      <c r="K210" s="3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 xr:uid="{00000000-0009-0000-0000-000000000000}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BI202"/>
  <sheetViews>
    <sheetView zoomScale="90" zoomScaleNormal="90" workbookViewId="0">
      <pane ySplit="2" topLeftCell="A137" activePane="bottomLeft" state="frozen"/>
      <selection pane="bottomLeft" activeCell="C194" sqref="C194"/>
    </sheetView>
  </sheetViews>
  <sheetFormatPr defaultColWidth="9.109375" defaultRowHeight="17.399999999999999" x14ac:dyDescent="0.35"/>
  <cols>
    <col min="1" max="1" width="13.5546875" style="86" customWidth="1"/>
    <col min="2" max="2" width="16.109375" style="1" customWidth="1"/>
    <col min="3" max="3" width="34" customWidth="1"/>
    <col min="4" max="4" width="25.6640625" customWidth="1"/>
    <col min="5" max="5" width="14.33203125" customWidth="1"/>
    <col min="6" max="6" width="17.6640625" style="1" customWidth="1"/>
    <col min="7" max="7" width="14.109375" style="2" customWidth="1"/>
    <col min="8" max="8" width="22.6640625" customWidth="1"/>
    <col min="9" max="10" width="20.33203125" customWidth="1"/>
    <col min="11" max="11" width="26.6640625" style="1" customWidth="1"/>
    <col min="12" max="12" width="18.44140625" style="1" bestFit="1" customWidth="1"/>
    <col min="13" max="13" width="24.6640625" style="1" bestFit="1" customWidth="1"/>
    <col min="14" max="15" width="29.6640625" style="3" customWidth="1"/>
    <col min="16" max="52" width="9.109375" style="86"/>
    <col min="53" max="53" width="13" style="107" customWidth="1"/>
    <col min="54" max="16383" width="9.109375" style="86"/>
    <col min="16384" max="16384" width="22.5546875" style="86" customWidth="1"/>
  </cols>
  <sheetData>
    <row r="1" spans="1:57" ht="33" customHeight="1" thickBot="1" x14ac:dyDescent="0.35">
      <c r="B1" s="115" t="s">
        <v>394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7"/>
      <c r="N1" s="63"/>
      <c r="O1" s="63"/>
    </row>
    <row r="2" spans="1:57" ht="36.6" thickBot="1" x14ac:dyDescent="0.4">
      <c r="A2" s="86" t="s">
        <v>569</v>
      </c>
      <c r="B2" s="5" t="s">
        <v>232</v>
      </c>
      <c r="C2" s="6" t="s">
        <v>1</v>
      </c>
      <c r="D2" s="6" t="s">
        <v>2</v>
      </c>
      <c r="E2" s="6" t="s">
        <v>3</v>
      </c>
      <c r="F2" s="7" t="s">
        <v>4</v>
      </c>
      <c r="G2" s="7" t="s">
        <v>4</v>
      </c>
      <c r="H2" s="7" t="s">
        <v>5</v>
      </c>
      <c r="I2" s="7" t="s">
        <v>6</v>
      </c>
      <c r="J2" s="7" t="s">
        <v>279</v>
      </c>
      <c r="K2" s="7" t="s">
        <v>7</v>
      </c>
      <c r="L2" s="64" t="s">
        <v>397</v>
      </c>
      <c r="M2" s="62" t="s">
        <v>231</v>
      </c>
      <c r="N2" s="9" t="s">
        <v>398</v>
      </c>
      <c r="O2" s="9" t="s">
        <v>395</v>
      </c>
    </row>
    <row r="3" spans="1:57" ht="18" hidden="1" x14ac:dyDescent="0.35">
      <c r="A3" s="86">
        <v>6243</v>
      </c>
      <c r="B3" s="10">
        <v>45983</v>
      </c>
      <c r="C3" s="80" t="s">
        <v>262</v>
      </c>
      <c r="D3" s="11" t="s">
        <v>11</v>
      </c>
      <c r="E3" s="11" t="s">
        <v>16</v>
      </c>
      <c r="F3" s="87">
        <v>0</v>
      </c>
      <c r="G3" s="13"/>
      <c r="H3" s="14">
        <f t="shared" ref="H3:H10" si="0">I3-F3</f>
        <v>0.14000000000000001</v>
      </c>
      <c r="I3" s="14">
        <v>0.14000000000000001</v>
      </c>
      <c r="J3" s="14">
        <v>1573.43</v>
      </c>
      <c r="K3" s="15" t="s">
        <v>23</v>
      </c>
      <c r="L3" s="65" t="s">
        <v>396</v>
      </c>
      <c r="M3" s="16">
        <f t="shared" ref="M3:M8" ca="1" si="1">TODAY()-B3</f>
        <v>188</v>
      </c>
      <c r="N3" s="18">
        <v>28549.62</v>
      </c>
      <c r="O3" s="18">
        <v>35.357999999999997</v>
      </c>
      <c r="AZ3" s="86" t="s">
        <v>399</v>
      </c>
      <c r="BA3" s="107">
        <v>6243</v>
      </c>
      <c r="BB3" s="86" t="s">
        <v>400</v>
      </c>
      <c r="BC3" s="86" t="s">
        <v>401</v>
      </c>
    </row>
    <row r="4" spans="1:57" ht="18" hidden="1" x14ac:dyDescent="0.35">
      <c r="A4" s="86">
        <v>6316</v>
      </c>
      <c r="B4" s="10">
        <v>46058</v>
      </c>
      <c r="C4" s="11" t="s">
        <v>285</v>
      </c>
      <c r="D4" s="11" t="s">
        <v>11</v>
      </c>
      <c r="E4" s="11" t="s">
        <v>16</v>
      </c>
      <c r="F4" s="12">
        <v>0</v>
      </c>
      <c r="G4" s="13"/>
      <c r="H4" s="14">
        <f t="shared" si="0"/>
        <v>2.87</v>
      </c>
      <c r="I4" s="14">
        <v>2.87</v>
      </c>
      <c r="J4" s="14">
        <v>1425</v>
      </c>
      <c r="K4" s="15" t="s">
        <v>23</v>
      </c>
      <c r="L4" s="65" t="s">
        <v>396</v>
      </c>
      <c r="M4" s="16">
        <f t="shared" ca="1" si="1"/>
        <v>113</v>
      </c>
      <c r="N4" s="18">
        <v>30212.812000000002</v>
      </c>
      <c r="O4" s="18">
        <v>38.762499999999996</v>
      </c>
      <c r="AZ4" s="86" t="s">
        <v>399</v>
      </c>
      <c r="BA4" s="107">
        <v>6316</v>
      </c>
      <c r="BB4" s="86" t="s">
        <v>402</v>
      </c>
      <c r="BC4" s="86" t="s">
        <v>403</v>
      </c>
    </row>
    <row r="5" spans="1:57" ht="18" hidden="1" x14ac:dyDescent="0.35">
      <c r="A5" s="86">
        <v>6302</v>
      </c>
      <c r="B5" s="10">
        <v>46074</v>
      </c>
      <c r="C5" s="11" t="s">
        <v>298</v>
      </c>
      <c r="D5" s="11" t="s">
        <v>11</v>
      </c>
      <c r="E5" s="11" t="s">
        <v>16</v>
      </c>
      <c r="F5" s="12">
        <v>0</v>
      </c>
      <c r="G5" s="13"/>
      <c r="H5" s="14">
        <f t="shared" si="0"/>
        <v>29.106999999999999</v>
      </c>
      <c r="I5" s="14">
        <v>29.106999999999999</v>
      </c>
      <c r="J5" s="14">
        <v>1362.808</v>
      </c>
      <c r="K5" s="15" t="s">
        <v>23</v>
      </c>
      <c r="L5" s="65" t="s">
        <v>396</v>
      </c>
      <c r="M5" s="16">
        <f t="shared" ca="1" si="1"/>
        <v>97</v>
      </c>
      <c r="N5" s="18">
        <v>36627.980999524509</v>
      </c>
      <c r="O5" s="18">
        <v>46.583333333333336</v>
      </c>
      <c r="AZ5" s="86" t="s">
        <v>399</v>
      </c>
      <c r="BA5" s="107">
        <v>6302</v>
      </c>
      <c r="BB5" s="86" t="s">
        <v>404</v>
      </c>
      <c r="BC5" s="86" t="s">
        <v>405</v>
      </c>
      <c r="BD5" s="86" t="s">
        <v>406</v>
      </c>
      <c r="BE5" s="86" t="s">
        <v>407</v>
      </c>
    </row>
    <row r="6" spans="1:57" ht="18" hidden="1" x14ac:dyDescent="0.35">
      <c r="A6" s="86">
        <v>6321</v>
      </c>
      <c r="B6" s="10">
        <v>46089</v>
      </c>
      <c r="C6" s="11" t="s">
        <v>311</v>
      </c>
      <c r="D6" s="11" t="s">
        <v>11</v>
      </c>
      <c r="E6" s="11" t="s">
        <v>16</v>
      </c>
      <c r="F6" s="12">
        <f>2002.368-50-21-100-100-50-417-120-25-170-50+245-20-20-875-20+484-45-10-25-30-96+30-155-20+25-96</f>
        <v>271.36799999999994</v>
      </c>
      <c r="G6" s="13"/>
      <c r="H6" s="14">
        <f t="shared" si="0"/>
        <v>372.54100000000005</v>
      </c>
      <c r="I6" s="14">
        <v>643.90899999999999</v>
      </c>
      <c r="J6" s="14">
        <v>2002.3679999999999</v>
      </c>
      <c r="K6" s="15" t="s">
        <v>23</v>
      </c>
      <c r="L6" s="65" t="s">
        <v>396</v>
      </c>
      <c r="M6" s="16">
        <f t="shared" ca="1" si="1"/>
        <v>82</v>
      </c>
      <c r="N6" s="18">
        <v>35873.199996204487</v>
      </c>
      <c r="O6" s="18">
        <v>54.988461538461543</v>
      </c>
      <c r="AZ6" s="86" t="s">
        <v>399</v>
      </c>
      <c r="BA6" s="107">
        <v>6321</v>
      </c>
      <c r="BB6" s="86" t="s">
        <v>408</v>
      </c>
      <c r="BC6" s="86" t="s">
        <v>409</v>
      </c>
    </row>
    <row r="7" spans="1:57" ht="18" hidden="1" x14ac:dyDescent="0.35">
      <c r="A7" s="86">
        <v>6163</v>
      </c>
      <c r="B7" s="10">
        <v>46281</v>
      </c>
      <c r="C7" s="11" t="s">
        <v>246</v>
      </c>
      <c r="D7" s="11" t="s">
        <v>11</v>
      </c>
      <c r="E7" s="11" t="s">
        <v>19</v>
      </c>
      <c r="F7" s="12">
        <v>0</v>
      </c>
      <c r="G7" s="13"/>
      <c r="H7" s="14">
        <f t="shared" si="0"/>
        <v>4.0000000000000001E-3</v>
      </c>
      <c r="I7" s="14">
        <v>4.0000000000000001E-3</v>
      </c>
      <c r="J7" s="14">
        <v>3902.732</v>
      </c>
      <c r="K7" s="15" t="s">
        <v>290</v>
      </c>
      <c r="L7" s="65" t="s">
        <v>396</v>
      </c>
      <c r="M7" s="16">
        <f t="shared" ca="1" si="1"/>
        <v>-110</v>
      </c>
      <c r="N7" s="18">
        <v>30523.41999843104</v>
      </c>
      <c r="O7" s="18">
        <v>33.197291666666665</v>
      </c>
      <c r="AZ7" s="86" t="s">
        <v>399</v>
      </c>
      <c r="BA7" s="107">
        <v>6163</v>
      </c>
      <c r="BB7" s="86" t="s">
        <v>400</v>
      </c>
      <c r="BC7" s="86" t="s">
        <v>410</v>
      </c>
    </row>
    <row r="8" spans="1:57" ht="18" hidden="1" x14ac:dyDescent="0.35">
      <c r="A8" s="86" t="s">
        <v>411</v>
      </c>
      <c r="B8" s="10">
        <v>45929</v>
      </c>
      <c r="C8" s="11" t="s">
        <v>252</v>
      </c>
      <c r="D8" s="11" t="s">
        <v>11</v>
      </c>
      <c r="E8" s="11" t="s">
        <v>19</v>
      </c>
      <c r="F8" s="12">
        <v>0</v>
      </c>
      <c r="G8" s="13"/>
      <c r="H8" s="14">
        <f t="shared" si="0"/>
        <v>0.54</v>
      </c>
      <c r="I8" s="14">
        <v>0.54</v>
      </c>
      <c r="J8" s="14">
        <v>995.53300000000002</v>
      </c>
      <c r="K8" s="15" t="s">
        <v>290</v>
      </c>
      <c r="L8" s="65" t="s">
        <v>396</v>
      </c>
      <c r="M8" s="16">
        <f t="shared" ca="1" si="1"/>
        <v>242</v>
      </c>
      <c r="N8" s="18">
        <v>31406.49249798763</v>
      </c>
      <c r="O8" s="18">
        <v>30.5</v>
      </c>
      <c r="AZ8" s="86" t="s">
        <v>399</v>
      </c>
      <c r="BA8" s="107" t="s">
        <v>411</v>
      </c>
      <c r="BB8" s="86" t="s">
        <v>412</v>
      </c>
      <c r="BC8" s="86" t="s">
        <v>413</v>
      </c>
    </row>
    <row r="9" spans="1:57" ht="18" hidden="1" x14ac:dyDescent="0.35">
      <c r="A9" s="86" t="s">
        <v>414</v>
      </c>
      <c r="B9" s="10">
        <v>46066</v>
      </c>
      <c r="C9" s="11" t="s">
        <v>289</v>
      </c>
      <c r="D9" s="11" t="s">
        <v>11</v>
      </c>
      <c r="E9" s="11" t="s">
        <v>19</v>
      </c>
      <c r="F9" s="12">
        <v>0</v>
      </c>
      <c r="G9" s="13"/>
      <c r="H9" s="14">
        <f t="shared" si="0"/>
        <v>22.387</v>
      </c>
      <c r="I9" s="14">
        <v>22.387</v>
      </c>
      <c r="J9" s="14">
        <v>950.01199999999994</v>
      </c>
      <c r="K9" s="15" t="s">
        <v>290</v>
      </c>
      <c r="L9" s="65" t="s">
        <v>396</v>
      </c>
      <c r="M9" s="16">
        <f t="shared" ref="M9:M10" ca="1" si="2">TODAY()-B9</f>
        <v>105</v>
      </c>
      <c r="N9" s="18">
        <v>32103.198496440051</v>
      </c>
      <c r="O9" s="18">
        <v>41.46153846153846</v>
      </c>
      <c r="AZ9" s="86" t="s">
        <v>399</v>
      </c>
      <c r="BA9" s="107" t="s">
        <v>414</v>
      </c>
      <c r="BB9" s="86" t="s">
        <v>415</v>
      </c>
      <c r="BC9" s="86" t="s">
        <v>416</v>
      </c>
    </row>
    <row r="10" spans="1:57" ht="18" hidden="1" x14ac:dyDescent="0.35">
      <c r="A10" s="86">
        <v>6377</v>
      </c>
      <c r="B10" s="10">
        <v>46118</v>
      </c>
      <c r="C10" s="11" t="s">
        <v>339</v>
      </c>
      <c r="D10" s="11" t="s">
        <v>11</v>
      </c>
      <c r="E10" s="11" t="s">
        <v>19</v>
      </c>
      <c r="F10" s="12">
        <f>1891.307-25-25-25</f>
        <v>1816.307</v>
      </c>
      <c r="G10" s="13"/>
      <c r="H10" s="14">
        <f t="shared" si="0"/>
        <v>26.650000000000091</v>
      </c>
      <c r="I10" s="14">
        <v>1842.9570000000001</v>
      </c>
      <c r="J10" s="14">
        <v>1891.307</v>
      </c>
      <c r="K10" s="15" t="s">
        <v>290</v>
      </c>
      <c r="L10" s="65" t="s">
        <v>396</v>
      </c>
      <c r="M10" s="16">
        <f t="shared" ca="1" si="2"/>
        <v>53</v>
      </c>
      <c r="N10" s="18">
        <v>41470</v>
      </c>
      <c r="O10" s="18">
        <v>48</v>
      </c>
      <c r="AZ10" s="86" t="s">
        <v>399</v>
      </c>
      <c r="BA10" s="107">
        <v>6377</v>
      </c>
      <c r="BB10" s="86" t="s">
        <v>417</v>
      </c>
      <c r="BC10" s="86" t="s">
        <v>418</v>
      </c>
    </row>
    <row r="11" spans="1:57" ht="18" hidden="1" x14ac:dyDescent="0.35">
      <c r="A11" s="86">
        <v>6395</v>
      </c>
      <c r="B11" s="10">
        <v>46136</v>
      </c>
      <c r="C11" s="11" t="s">
        <v>361</v>
      </c>
      <c r="D11" s="11" t="s">
        <v>11</v>
      </c>
      <c r="E11" s="11" t="s">
        <v>9</v>
      </c>
      <c r="F11" s="12">
        <f>1890.959-507.99-262-530-484-202-70+70+120</f>
        <v>24.969000000000051</v>
      </c>
      <c r="G11" s="13"/>
      <c r="H11" s="14">
        <f t="shared" ref="H11:H12" si="3">I11-F11</f>
        <v>66.533999999999949</v>
      </c>
      <c r="I11" s="14">
        <v>91.503</v>
      </c>
      <c r="J11" s="14">
        <v>1890.9590000000001</v>
      </c>
      <c r="K11" s="15" t="s">
        <v>362</v>
      </c>
      <c r="L11" s="65" t="s">
        <v>396</v>
      </c>
      <c r="M11" s="16">
        <f t="shared" ref="M11:M12" ca="1" si="4">TODAY()-B11</f>
        <v>35</v>
      </c>
      <c r="N11" s="18">
        <v>37847.972500000003</v>
      </c>
      <c r="O11" s="18">
        <v>48.333333333333336</v>
      </c>
      <c r="AZ11" s="86" t="s">
        <v>399</v>
      </c>
      <c r="BA11" s="107">
        <v>6395</v>
      </c>
      <c r="BB11" s="86" t="s">
        <v>419</v>
      </c>
    </row>
    <row r="12" spans="1:57" ht="18" x14ac:dyDescent="0.35">
      <c r="B12" s="91">
        <v>46141</v>
      </c>
      <c r="C12" s="92" t="s">
        <v>368</v>
      </c>
      <c r="D12" s="92" t="s">
        <v>11</v>
      </c>
      <c r="E12" s="92" t="s">
        <v>9</v>
      </c>
      <c r="F12" s="93">
        <f>1886.447-70-120-25</f>
        <v>1671.4469999999999</v>
      </c>
      <c r="G12" s="94"/>
      <c r="H12" s="95">
        <f t="shared" si="3"/>
        <v>35.810000000000173</v>
      </c>
      <c r="I12" s="95">
        <v>1707.2570000000001</v>
      </c>
      <c r="J12" s="95">
        <v>1886.4469999999999</v>
      </c>
      <c r="K12" s="96" t="s">
        <v>362</v>
      </c>
      <c r="L12" s="97" t="s">
        <v>310</v>
      </c>
      <c r="M12" s="101">
        <f t="shared" ca="1" si="4"/>
        <v>30</v>
      </c>
      <c r="N12" s="18"/>
      <c r="O12" s="18"/>
      <c r="AZ12" s="86" t="s">
        <v>420</v>
      </c>
      <c r="BA12" s="107">
        <v>10</v>
      </c>
      <c r="BB12" s="86" t="s">
        <v>421</v>
      </c>
      <c r="BC12" s="86" t="s">
        <v>422</v>
      </c>
    </row>
    <row r="13" spans="1:57" ht="18" hidden="1" x14ac:dyDescent="0.35">
      <c r="B13" s="19"/>
      <c r="C13" s="13" t="s">
        <v>27</v>
      </c>
      <c r="D13" s="13"/>
      <c r="E13" s="13"/>
      <c r="F13" s="20">
        <f>SUBTOTAL(9,F3:F12)</f>
        <v>1671.4469999999999</v>
      </c>
      <c r="G13" s="21">
        <f>F13</f>
        <v>1671.4469999999999</v>
      </c>
      <c r="H13" s="20">
        <f>SUBTOTAL(9,H3:H12)</f>
        <v>35.810000000000173</v>
      </c>
      <c r="I13" s="20">
        <f>SUBTOTAL(9,I3:I12)</f>
        <v>1707.2570000000001</v>
      </c>
      <c r="J13" s="20"/>
      <c r="K13" s="15"/>
      <c r="L13" s="65"/>
      <c r="M13" s="16"/>
      <c r="N13" s="18"/>
      <c r="O13" s="18"/>
      <c r="AZ13" s="86" t="s">
        <v>27</v>
      </c>
    </row>
    <row r="14" spans="1:57" ht="18" hidden="1" x14ac:dyDescent="0.35">
      <c r="B14" s="19"/>
      <c r="C14" s="13"/>
      <c r="D14" s="13"/>
      <c r="E14" s="13"/>
      <c r="F14" s="20"/>
      <c r="G14" s="21"/>
      <c r="H14" s="20"/>
      <c r="I14" s="20"/>
      <c r="J14" s="20"/>
      <c r="K14" s="15"/>
      <c r="L14" s="65"/>
      <c r="M14" s="16"/>
      <c r="N14" s="18"/>
      <c r="O14" s="18"/>
    </row>
    <row r="15" spans="1:57" ht="18" hidden="1" x14ac:dyDescent="0.35">
      <c r="A15" s="86">
        <v>6365</v>
      </c>
      <c r="B15" s="10">
        <v>46136</v>
      </c>
      <c r="C15" s="11" t="s">
        <v>360</v>
      </c>
      <c r="D15" s="11" t="s">
        <v>240</v>
      </c>
      <c r="E15" s="11" t="s">
        <v>9</v>
      </c>
      <c r="F15" s="12">
        <v>0</v>
      </c>
      <c r="G15" s="13"/>
      <c r="H15" s="14">
        <f t="shared" ref="H15:H17" si="5">I15-F15</f>
        <v>54.277000000000001</v>
      </c>
      <c r="I15" s="14">
        <v>54.277000000000001</v>
      </c>
      <c r="J15" s="14">
        <v>475</v>
      </c>
      <c r="K15" s="15" t="s">
        <v>32</v>
      </c>
      <c r="L15" s="65" t="s">
        <v>396</v>
      </c>
      <c r="M15" s="15">
        <f t="shared" ref="M15:M17" ca="1" si="6">TODAY()-B15</f>
        <v>35</v>
      </c>
      <c r="N15" s="18">
        <v>135178.45000000001</v>
      </c>
      <c r="O15" s="18">
        <v>145.29166666666666</v>
      </c>
      <c r="AZ15" s="86" t="s">
        <v>399</v>
      </c>
      <c r="BA15" s="107">
        <v>6365</v>
      </c>
      <c r="BB15" s="86" t="s">
        <v>419</v>
      </c>
    </row>
    <row r="16" spans="1:57" ht="18" hidden="1" x14ac:dyDescent="0.35">
      <c r="A16" s="86">
        <v>6381</v>
      </c>
      <c r="B16" s="10">
        <v>46142</v>
      </c>
      <c r="C16" s="11" t="s">
        <v>365</v>
      </c>
      <c r="D16" s="11" t="s">
        <v>240</v>
      </c>
      <c r="E16" s="11" t="s">
        <v>9</v>
      </c>
      <c r="F16" s="12">
        <f>953.922-75.801-71-25-20-40</f>
        <v>722.12099999999998</v>
      </c>
      <c r="G16" s="13"/>
      <c r="H16" s="14">
        <f t="shared" si="5"/>
        <v>46.571000000000026</v>
      </c>
      <c r="I16" s="14">
        <v>768.69200000000001</v>
      </c>
      <c r="J16" s="14">
        <v>953.92200000000003</v>
      </c>
      <c r="K16" s="15" t="s">
        <v>32</v>
      </c>
      <c r="L16" s="65" t="s">
        <v>396</v>
      </c>
      <c r="M16" s="15">
        <f t="shared" ca="1" si="6"/>
        <v>29</v>
      </c>
      <c r="N16" s="18">
        <v>138749.20000333976</v>
      </c>
      <c r="O16" s="18">
        <v>138.375</v>
      </c>
      <c r="AZ16" s="86" t="s">
        <v>399</v>
      </c>
      <c r="BA16" s="107">
        <v>6381</v>
      </c>
      <c r="BB16" s="86" t="s">
        <v>423</v>
      </c>
      <c r="BC16" s="86" t="s">
        <v>424</v>
      </c>
    </row>
    <row r="17" spans="1:58" ht="18" x14ac:dyDescent="0.35">
      <c r="B17" s="10">
        <v>46105</v>
      </c>
      <c r="C17" s="11" t="s">
        <v>338</v>
      </c>
      <c r="D17" s="11" t="s">
        <v>240</v>
      </c>
      <c r="E17" s="11" t="s">
        <v>13</v>
      </c>
      <c r="F17" s="12">
        <v>3.39</v>
      </c>
      <c r="G17" s="13"/>
      <c r="H17" s="14">
        <f t="shared" si="5"/>
        <v>1.6599999999999997</v>
      </c>
      <c r="I17" s="14">
        <v>5.05</v>
      </c>
      <c r="J17" s="14">
        <v>200</v>
      </c>
      <c r="K17" s="15" t="s">
        <v>21</v>
      </c>
      <c r="L17" s="65" t="s">
        <v>396</v>
      </c>
      <c r="M17" s="16">
        <f t="shared" ca="1" si="6"/>
        <v>66</v>
      </c>
      <c r="N17" s="18"/>
      <c r="O17" s="18"/>
      <c r="AZ17" s="86" t="s">
        <v>425</v>
      </c>
      <c r="BA17" s="107" t="s">
        <v>426</v>
      </c>
      <c r="BB17" s="86" t="s">
        <v>427</v>
      </c>
      <c r="BC17" s="86" t="s">
        <v>428</v>
      </c>
      <c r="BD17" s="86">
        <v>24</v>
      </c>
      <c r="BE17" s="86">
        <v>3</v>
      </c>
      <c r="BF17" s="86">
        <v>26</v>
      </c>
    </row>
    <row r="18" spans="1:58" ht="18" hidden="1" x14ac:dyDescent="0.35">
      <c r="B18" s="10"/>
      <c r="C18" s="13" t="s">
        <v>27</v>
      </c>
      <c r="D18" s="12"/>
      <c r="E18" s="12"/>
      <c r="F18" s="20">
        <f>SUBTOTAL(9,F15:F17)</f>
        <v>3.39</v>
      </c>
      <c r="G18" s="21">
        <f>F18</f>
        <v>3.39</v>
      </c>
      <c r="H18" s="20">
        <f>SUBTOTAL(9,H15:H17)</f>
        <v>1.6599999999999997</v>
      </c>
      <c r="I18" s="20">
        <f>SUBTOTAL(9,I15:I17)</f>
        <v>5.05</v>
      </c>
      <c r="J18" s="20"/>
      <c r="K18" s="15"/>
      <c r="L18" s="65"/>
      <c r="M18" s="16"/>
      <c r="N18" s="18"/>
      <c r="O18" s="18"/>
      <c r="AZ18" s="86" t="s">
        <v>27</v>
      </c>
    </row>
    <row r="19" spans="1:58" ht="18" hidden="1" x14ac:dyDescent="0.35">
      <c r="B19" s="19"/>
      <c r="C19" s="26"/>
      <c r="D19" s="12"/>
      <c r="E19" s="11"/>
      <c r="F19" s="13"/>
      <c r="G19" s="13"/>
      <c r="H19" s="13"/>
      <c r="I19" s="27"/>
      <c r="J19" s="27"/>
      <c r="K19" s="15"/>
      <c r="L19" s="65"/>
      <c r="M19" s="16"/>
      <c r="N19" s="18"/>
      <c r="O19" s="18"/>
    </row>
    <row r="20" spans="1:58" ht="18" hidden="1" x14ac:dyDescent="0.35">
      <c r="A20" s="86">
        <v>6259</v>
      </c>
      <c r="B20" s="10">
        <v>46051</v>
      </c>
      <c r="C20" s="11" t="s">
        <v>283</v>
      </c>
      <c r="D20" s="11" t="s">
        <v>46</v>
      </c>
      <c r="E20" s="11" t="s">
        <v>9</v>
      </c>
      <c r="F20" s="12">
        <v>0</v>
      </c>
      <c r="G20" s="13"/>
      <c r="H20" s="14">
        <f t="shared" ref="H20:H27" si="7">I20-F20</f>
        <v>24.3</v>
      </c>
      <c r="I20" s="14">
        <v>24.3</v>
      </c>
      <c r="J20" s="14">
        <v>1894.95</v>
      </c>
      <c r="K20" s="15" t="s">
        <v>32</v>
      </c>
      <c r="L20" s="65" t="s">
        <v>396</v>
      </c>
      <c r="M20" s="65">
        <f t="shared" ref="M20:M27" ca="1" si="8">TODAY()-B20</f>
        <v>120</v>
      </c>
      <c r="N20" s="18">
        <v>69118.005599531913</v>
      </c>
      <c r="O20" s="18">
        <v>97.307142857142864</v>
      </c>
      <c r="AZ20" s="86" t="s">
        <v>399</v>
      </c>
      <c r="BA20" s="107">
        <v>6259</v>
      </c>
      <c r="BB20" s="86" t="s">
        <v>429</v>
      </c>
      <c r="BC20" s="86" t="s">
        <v>430</v>
      </c>
    </row>
    <row r="21" spans="1:58" ht="18" hidden="1" x14ac:dyDescent="0.35">
      <c r="A21" s="86">
        <v>6382</v>
      </c>
      <c r="B21" s="10">
        <v>46125</v>
      </c>
      <c r="C21" s="11" t="s">
        <v>348</v>
      </c>
      <c r="D21" s="11" t="s">
        <v>46</v>
      </c>
      <c r="E21" s="11" t="s">
        <v>9</v>
      </c>
      <c r="F21" s="13">
        <f>164.975-50</f>
        <v>114.97499999999999</v>
      </c>
      <c r="G21" s="13"/>
      <c r="H21" s="14">
        <f t="shared" si="7"/>
        <v>0.4100000000000108</v>
      </c>
      <c r="I21" s="14">
        <v>115.38500000000001</v>
      </c>
      <c r="J21" s="14">
        <v>190.678</v>
      </c>
      <c r="K21" s="15" t="s">
        <v>32</v>
      </c>
      <c r="L21" s="65" t="s">
        <v>396</v>
      </c>
      <c r="M21" s="65">
        <f t="shared" ca="1" si="8"/>
        <v>46</v>
      </c>
      <c r="N21" s="18">
        <v>122399.73526049151</v>
      </c>
      <c r="O21" s="18">
        <v>130.5</v>
      </c>
      <c r="AZ21" s="86" t="s">
        <v>399</v>
      </c>
      <c r="BA21" s="107">
        <v>6382</v>
      </c>
      <c r="BB21" s="86" t="s">
        <v>429</v>
      </c>
      <c r="BC21" s="86" t="s">
        <v>430</v>
      </c>
    </row>
    <row r="22" spans="1:58" ht="18" hidden="1" x14ac:dyDescent="0.35">
      <c r="A22" s="86">
        <v>6364</v>
      </c>
      <c r="B22" s="10">
        <v>46136</v>
      </c>
      <c r="C22" s="11" t="s">
        <v>359</v>
      </c>
      <c r="D22" s="11" t="s">
        <v>46</v>
      </c>
      <c r="E22" s="11" t="s">
        <v>9</v>
      </c>
      <c r="F22" s="12">
        <v>0</v>
      </c>
      <c r="G22" s="13"/>
      <c r="H22" s="14">
        <f t="shared" si="7"/>
        <v>584.10900000000004</v>
      </c>
      <c r="I22" s="14">
        <v>584.10900000000004</v>
      </c>
      <c r="J22" s="14">
        <v>1499.963</v>
      </c>
      <c r="K22" s="15" t="s">
        <v>29</v>
      </c>
      <c r="L22" s="65" t="s">
        <v>396</v>
      </c>
      <c r="M22" s="65">
        <f t="shared" ca="1" si="8"/>
        <v>35</v>
      </c>
      <c r="N22" s="18">
        <v>119875.24999616656</v>
      </c>
      <c r="O22" s="18">
        <v>118.45833333333333</v>
      </c>
      <c r="AZ22" s="86" t="s">
        <v>399</v>
      </c>
      <c r="BA22" s="107">
        <v>6364</v>
      </c>
      <c r="BB22" s="86" t="s">
        <v>419</v>
      </c>
    </row>
    <row r="23" spans="1:58" ht="18" hidden="1" x14ac:dyDescent="0.35">
      <c r="A23" s="86">
        <v>6349</v>
      </c>
      <c r="B23" s="10">
        <v>46148</v>
      </c>
      <c r="C23" s="11" t="s">
        <v>372</v>
      </c>
      <c r="D23" s="11" t="s">
        <v>46</v>
      </c>
      <c r="E23" s="11" t="s">
        <v>9</v>
      </c>
      <c r="F23" s="12">
        <f>1890.449-45-16-13-16-63-16-244</f>
        <v>1477.4490000000001</v>
      </c>
      <c r="G23" s="13"/>
      <c r="H23" s="14">
        <f t="shared" si="7"/>
        <v>413</v>
      </c>
      <c r="I23" s="14">
        <v>1890.4490000000001</v>
      </c>
      <c r="J23" s="14">
        <v>1890.4490000000001</v>
      </c>
      <c r="K23" s="15" t="s">
        <v>276</v>
      </c>
      <c r="L23" s="65" t="s">
        <v>396</v>
      </c>
      <c r="M23" s="65">
        <f t="shared" ca="1" si="8"/>
        <v>23</v>
      </c>
      <c r="N23" s="18">
        <v>115240.48080034263</v>
      </c>
      <c r="O23" s="18">
        <v>120.5</v>
      </c>
      <c r="AZ23" s="86" t="s">
        <v>399</v>
      </c>
      <c r="BA23" s="107">
        <v>6349</v>
      </c>
      <c r="BB23" s="86" t="s">
        <v>404</v>
      </c>
      <c r="BC23" s="86" t="s">
        <v>405</v>
      </c>
      <c r="BD23" s="86" t="s">
        <v>406</v>
      </c>
      <c r="BE23" s="86" t="s">
        <v>407</v>
      </c>
    </row>
    <row r="24" spans="1:58" ht="18" hidden="1" x14ac:dyDescent="0.35">
      <c r="A24" s="86">
        <v>6181</v>
      </c>
      <c r="B24" s="10">
        <v>45948</v>
      </c>
      <c r="C24" s="11" t="s">
        <v>254</v>
      </c>
      <c r="D24" s="11" t="s">
        <v>46</v>
      </c>
      <c r="E24" s="11" t="s">
        <v>19</v>
      </c>
      <c r="F24" s="12">
        <v>2.42</v>
      </c>
      <c r="G24" s="13"/>
      <c r="H24" s="14">
        <f t="shared" si="7"/>
        <v>0</v>
      </c>
      <c r="I24" s="14">
        <v>2.42</v>
      </c>
      <c r="J24" s="14">
        <v>646.42700000000002</v>
      </c>
      <c r="K24" s="15" t="s">
        <v>26</v>
      </c>
      <c r="L24" s="65" t="s">
        <v>396</v>
      </c>
      <c r="M24" s="65">
        <f t="shared" ca="1" si="8"/>
        <v>223</v>
      </c>
      <c r="N24" s="18">
        <v>68975.426198724832</v>
      </c>
      <c r="O24" s="18">
        <v>79.182500000000005</v>
      </c>
      <c r="AZ24" s="86" t="s">
        <v>399</v>
      </c>
      <c r="BA24" s="107">
        <v>6181</v>
      </c>
      <c r="BB24" s="86" t="s">
        <v>431</v>
      </c>
      <c r="BC24" s="86" t="s">
        <v>432</v>
      </c>
    </row>
    <row r="25" spans="1:58" ht="18" hidden="1" x14ac:dyDescent="0.35">
      <c r="A25" s="86">
        <v>6356</v>
      </c>
      <c r="B25" s="10">
        <v>46098</v>
      </c>
      <c r="C25" s="11" t="s">
        <v>329</v>
      </c>
      <c r="D25" s="11" t="s">
        <v>46</v>
      </c>
      <c r="E25" s="11" t="s">
        <v>19</v>
      </c>
      <c r="F25" s="12">
        <f>665.028-21-101-60+30-10-100-116+165+100-9-75-22-135-50+21+50-10-30-50-127+50-70</f>
        <v>95.02800000000002</v>
      </c>
      <c r="G25" s="13"/>
      <c r="H25" s="14">
        <f t="shared" si="7"/>
        <v>134.04</v>
      </c>
      <c r="I25" s="14">
        <v>229.06800000000001</v>
      </c>
      <c r="J25" s="14">
        <v>665.02800000000002</v>
      </c>
      <c r="K25" s="15" t="s">
        <v>319</v>
      </c>
      <c r="L25" s="65" t="s">
        <v>396</v>
      </c>
      <c r="M25" s="65">
        <f t="shared" ca="1" si="8"/>
        <v>73</v>
      </c>
      <c r="N25" s="18">
        <v>80021.287504684806</v>
      </c>
      <c r="O25" s="18">
        <v>121.31428571428572</v>
      </c>
      <c r="AZ25" s="86" t="s">
        <v>399</v>
      </c>
      <c r="BA25" s="107">
        <v>6356</v>
      </c>
      <c r="BB25" s="86" t="s">
        <v>433</v>
      </c>
      <c r="BC25" s="86" t="s">
        <v>434</v>
      </c>
    </row>
    <row r="26" spans="1:58" ht="18" x14ac:dyDescent="0.35">
      <c r="B26" s="73">
        <v>46090</v>
      </c>
      <c r="C26" s="74" t="s">
        <v>313</v>
      </c>
      <c r="D26" s="74" t="s">
        <v>46</v>
      </c>
      <c r="E26" s="74" t="s">
        <v>19</v>
      </c>
      <c r="F26" s="79">
        <f>266.664-21-50-23-23-45</f>
        <v>104.66399999999999</v>
      </c>
      <c r="G26" s="81"/>
      <c r="H26" s="75">
        <f t="shared" si="7"/>
        <v>389.44100000000003</v>
      </c>
      <c r="I26" s="75">
        <v>494.10500000000002</v>
      </c>
      <c r="J26" s="75">
        <v>1808.172</v>
      </c>
      <c r="K26" s="75" t="s">
        <v>318</v>
      </c>
      <c r="L26" s="75" t="s">
        <v>235</v>
      </c>
      <c r="M26" s="65">
        <f t="shared" ca="1" si="8"/>
        <v>81</v>
      </c>
      <c r="N26" s="69"/>
      <c r="O26" s="69"/>
      <c r="AZ26" s="86" t="s">
        <v>435</v>
      </c>
      <c r="BA26" s="107">
        <v>358</v>
      </c>
      <c r="BB26" s="86" t="s">
        <v>436</v>
      </c>
      <c r="BC26" s="86" t="s">
        <v>437</v>
      </c>
    </row>
    <row r="27" spans="1:58" ht="18" x14ac:dyDescent="0.35">
      <c r="B27" s="73">
        <v>46011</v>
      </c>
      <c r="C27" s="74" t="s">
        <v>268</v>
      </c>
      <c r="D27" s="74" t="s">
        <v>46</v>
      </c>
      <c r="E27" s="74" t="s">
        <v>9</v>
      </c>
      <c r="F27" s="79">
        <f>252.486-32-32.52+100-100-42+244</f>
        <v>389.96600000000001</v>
      </c>
      <c r="G27" s="81"/>
      <c r="H27" s="75">
        <f t="shared" si="7"/>
        <v>144.66499999999996</v>
      </c>
      <c r="I27" s="76">
        <v>534.63099999999997</v>
      </c>
      <c r="J27" s="75">
        <v>1190.5050000000001</v>
      </c>
      <c r="K27" s="77" t="s">
        <v>29</v>
      </c>
      <c r="L27" s="78" t="s">
        <v>235</v>
      </c>
      <c r="M27" s="65">
        <f t="shared" ca="1" si="8"/>
        <v>160</v>
      </c>
      <c r="N27" s="69"/>
      <c r="O27" s="69"/>
      <c r="AZ27" s="86" t="s">
        <v>435</v>
      </c>
      <c r="BA27" s="107" t="s">
        <v>438</v>
      </c>
      <c r="BB27" s="86" t="s">
        <v>439</v>
      </c>
      <c r="BC27" s="86" t="s">
        <v>440</v>
      </c>
    </row>
    <row r="28" spans="1:58" ht="20.25" hidden="1" customHeight="1" x14ac:dyDescent="0.35">
      <c r="B28" s="19"/>
      <c r="C28" s="26" t="s">
        <v>27</v>
      </c>
      <c r="D28" s="11"/>
      <c r="E28" s="11"/>
      <c r="F28" s="20">
        <f>SUBTOTAL(9,F20:F27)</f>
        <v>494.63</v>
      </c>
      <c r="G28" s="21">
        <f>F28</f>
        <v>494.63</v>
      </c>
      <c r="H28" s="20">
        <f>SUBTOTAL(9,H20:H27)</f>
        <v>534.10599999999999</v>
      </c>
      <c r="I28" s="20">
        <f>SUBTOTAL(9,I20:I27)</f>
        <v>1028.7359999999999</v>
      </c>
      <c r="J28" s="20"/>
      <c r="K28" s="15"/>
      <c r="L28" s="65"/>
      <c r="M28" s="15"/>
      <c r="N28" s="69"/>
      <c r="O28" s="69"/>
      <c r="AZ28" s="86" t="s">
        <v>27</v>
      </c>
    </row>
    <row r="29" spans="1:58" ht="20.25" hidden="1" customHeight="1" x14ac:dyDescent="0.35">
      <c r="B29" s="19"/>
      <c r="C29" s="26"/>
      <c r="D29" s="11"/>
      <c r="E29" s="11"/>
      <c r="F29" s="20"/>
      <c r="G29" s="21"/>
      <c r="H29" s="20"/>
      <c r="I29" s="20"/>
      <c r="J29" s="20"/>
      <c r="K29" s="15"/>
      <c r="L29" s="65"/>
      <c r="M29" s="15"/>
      <c r="N29" s="69"/>
      <c r="O29" s="69"/>
    </row>
    <row r="30" spans="1:58" ht="18" hidden="1" x14ac:dyDescent="0.35">
      <c r="A30" s="86">
        <v>6074</v>
      </c>
      <c r="B30" s="10">
        <v>45903</v>
      </c>
      <c r="C30" s="11" t="s">
        <v>244</v>
      </c>
      <c r="D30" s="11" t="s">
        <v>234</v>
      </c>
      <c r="E30" s="11" t="s">
        <v>9</v>
      </c>
      <c r="F30" s="12">
        <v>0</v>
      </c>
      <c r="G30" s="21"/>
      <c r="H30" s="14">
        <f t="shared" ref="H30:H31" si="9">I30-F30</f>
        <v>54.613</v>
      </c>
      <c r="I30" s="14">
        <v>54.613</v>
      </c>
      <c r="J30" s="14">
        <v>945.69399999999996</v>
      </c>
      <c r="K30" s="15" t="s">
        <v>245</v>
      </c>
      <c r="L30" s="65" t="s">
        <v>396</v>
      </c>
      <c r="M30" s="15">
        <f t="shared" ref="M30:M31" ca="1" si="10">TODAY()-B30</f>
        <v>268</v>
      </c>
      <c r="N30" s="18">
        <v>97203.575602479716</v>
      </c>
      <c r="O30" s="18">
        <v>125.86323529411766</v>
      </c>
      <c r="AZ30" s="86" t="s">
        <v>399</v>
      </c>
      <c r="BA30" s="107">
        <v>6074</v>
      </c>
      <c r="BB30" s="86" t="s">
        <v>441</v>
      </c>
      <c r="BC30" s="86" t="s">
        <v>442</v>
      </c>
    </row>
    <row r="31" spans="1:58" ht="18" x14ac:dyDescent="0.35">
      <c r="B31" s="73">
        <v>45831</v>
      </c>
      <c r="C31" s="74" t="s">
        <v>239</v>
      </c>
      <c r="D31" s="74" t="s">
        <v>234</v>
      </c>
      <c r="E31" s="74" t="s">
        <v>9</v>
      </c>
      <c r="F31" s="79">
        <f>1466.861-25-25-150+120-30-25+25-30-25+30+20+18-60-80-130-25+10</f>
        <v>1084.8610000000001</v>
      </c>
      <c r="G31" s="81"/>
      <c r="H31" s="75">
        <f t="shared" si="9"/>
        <v>262.64699999999993</v>
      </c>
      <c r="I31" s="76">
        <v>1347.508</v>
      </c>
      <c r="J31" s="75"/>
      <c r="K31" s="77" t="s">
        <v>29</v>
      </c>
      <c r="L31" s="78" t="s">
        <v>235</v>
      </c>
      <c r="M31" s="15">
        <f t="shared" ca="1" si="10"/>
        <v>340</v>
      </c>
      <c r="N31" s="69"/>
      <c r="O31" s="69"/>
      <c r="AZ31" s="86" t="s">
        <v>235</v>
      </c>
      <c r="BA31" s="107" t="s">
        <v>443</v>
      </c>
      <c r="BB31" s="86" t="s">
        <v>441</v>
      </c>
      <c r="BC31" s="86" t="s">
        <v>444</v>
      </c>
    </row>
    <row r="32" spans="1:58" ht="18" hidden="1" x14ac:dyDescent="0.35">
      <c r="B32" s="19"/>
      <c r="C32" s="26" t="s">
        <v>27</v>
      </c>
      <c r="D32" s="11"/>
      <c r="E32" s="11"/>
      <c r="F32" s="20">
        <f>SUBTOTAL(9,F30:F31)</f>
        <v>1084.8610000000001</v>
      </c>
      <c r="G32" s="21">
        <f>F32</f>
        <v>1084.8610000000001</v>
      </c>
      <c r="H32" s="20">
        <f>SUBTOTAL(9,H30:H31)</f>
        <v>262.64699999999993</v>
      </c>
      <c r="I32" s="20">
        <f>SUBTOTAL(9,I30:I31)</f>
        <v>1347.508</v>
      </c>
      <c r="J32" s="20"/>
      <c r="K32" s="15"/>
      <c r="L32" s="65"/>
      <c r="M32" s="16"/>
      <c r="N32" s="18"/>
      <c r="O32" s="18"/>
      <c r="AZ32" s="86" t="s">
        <v>27</v>
      </c>
    </row>
    <row r="33" spans="1:57" ht="18" hidden="1" x14ac:dyDescent="0.35">
      <c r="B33" s="19"/>
      <c r="C33" s="26"/>
      <c r="D33" s="11"/>
      <c r="E33" s="11"/>
      <c r="F33" s="20"/>
      <c r="G33" s="21"/>
      <c r="H33" s="20"/>
      <c r="I33" s="20"/>
      <c r="J33" s="20"/>
      <c r="K33" s="15"/>
      <c r="L33" s="65"/>
      <c r="M33" s="65"/>
      <c r="N33" s="69"/>
      <c r="O33" s="69"/>
    </row>
    <row r="34" spans="1:57" ht="18" hidden="1" x14ac:dyDescent="0.35">
      <c r="A34" s="86">
        <v>6070</v>
      </c>
      <c r="B34" s="10">
        <v>45901</v>
      </c>
      <c r="C34" s="11" t="s">
        <v>241</v>
      </c>
      <c r="D34" s="11" t="s">
        <v>242</v>
      </c>
      <c r="E34" s="11" t="s">
        <v>9</v>
      </c>
      <c r="F34" s="12">
        <f>1984.467-90-10-55-21-28-20-300-10-25-14-60-25-45-16-10-30-60-16-260-10-20-40-40-20-55-30-115-30-110-100-183-40+90-14+10-30-35+25-5-36-20-20-50-21</f>
        <v>-9.5329999999999018</v>
      </c>
      <c r="G34" s="13"/>
      <c r="H34" s="14">
        <f t="shared" ref="H34" si="11">I34-F34</f>
        <v>11.599999999999902</v>
      </c>
      <c r="I34" s="14">
        <v>2.0670000000000002</v>
      </c>
      <c r="J34" s="14">
        <v>1988.6969999999999</v>
      </c>
      <c r="K34" s="15" t="s">
        <v>47</v>
      </c>
      <c r="L34" s="65" t="s">
        <v>396</v>
      </c>
      <c r="M34" s="15">
        <f t="shared" ref="M34" ca="1" si="12">TODAY()-B34</f>
        <v>270</v>
      </c>
      <c r="N34" s="18">
        <v>76781.866500553791</v>
      </c>
      <c r="O34" s="18">
        <v>86.766666666666666</v>
      </c>
      <c r="AZ34" s="86" t="s">
        <v>399</v>
      </c>
      <c r="BA34" s="107">
        <v>6070</v>
      </c>
      <c r="BB34" s="86" t="s">
        <v>400</v>
      </c>
      <c r="BC34" s="86" t="s">
        <v>445</v>
      </c>
    </row>
    <row r="35" spans="1:57" ht="18" hidden="1" x14ac:dyDescent="0.35">
      <c r="B35" s="19"/>
      <c r="C35" s="26" t="s">
        <v>27</v>
      </c>
      <c r="D35" s="11"/>
      <c r="E35" s="11"/>
      <c r="F35" s="20">
        <f>SUBTOTAL(9,F34:F34)</f>
        <v>0</v>
      </c>
      <c r="G35" s="21">
        <f>F35</f>
        <v>0</v>
      </c>
      <c r="H35" s="20">
        <f>SUBTOTAL(9,H34:H34)</f>
        <v>0</v>
      </c>
      <c r="I35" s="20">
        <f>SUBTOTAL(9,I34:I34)</f>
        <v>0</v>
      </c>
      <c r="J35" s="20"/>
      <c r="K35" s="15"/>
      <c r="L35" s="65"/>
      <c r="M35" s="15"/>
      <c r="N35" s="69"/>
      <c r="O35" s="69"/>
      <c r="AZ35" s="86" t="s">
        <v>27</v>
      </c>
    </row>
    <row r="36" spans="1:57" ht="18" hidden="1" x14ac:dyDescent="0.35">
      <c r="B36" s="19"/>
      <c r="C36" s="26"/>
      <c r="D36" s="11"/>
      <c r="E36" s="11"/>
      <c r="F36" s="20"/>
      <c r="G36" s="21"/>
      <c r="H36" s="20"/>
      <c r="I36" s="20"/>
      <c r="J36" s="20"/>
      <c r="K36" s="15"/>
      <c r="L36" s="65"/>
      <c r="M36" s="15"/>
      <c r="N36" s="69"/>
      <c r="O36" s="69"/>
    </row>
    <row r="37" spans="1:57" ht="18" hidden="1" x14ac:dyDescent="0.35">
      <c r="A37" s="86" t="s">
        <v>446</v>
      </c>
      <c r="B37" s="10">
        <v>45936</v>
      </c>
      <c r="C37" s="11" t="s">
        <v>251</v>
      </c>
      <c r="D37" s="11" t="s">
        <v>53</v>
      </c>
      <c r="E37" s="11" t="s">
        <v>9</v>
      </c>
      <c r="F37" s="12">
        <f>161.65-57+14.45-35-154-30-60-100+16+50-70-20-40-32-10+40</f>
        <v>-325.89999999999998</v>
      </c>
      <c r="G37" s="13"/>
      <c r="H37" s="14">
        <f t="shared" ref="H37:H41" si="13">I37-F37</f>
        <v>336.346</v>
      </c>
      <c r="I37" s="14">
        <v>10.446</v>
      </c>
      <c r="J37" s="14">
        <v>1498.79</v>
      </c>
      <c r="K37" s="15" t="s">
        <v>32</v>
      </c>
      <c r="L37" s="65" t="s">
        <v>396</v>
      </c>
      <c r="M37" s="15">
        <f t="shared" ref="M37:M41" ca="1" si="14">TODAY()-B37</f>
        <v>235</v>
      </c>
      <c r="N37" s="18">
        <v>81078.699998206124</v>
      </c>
      <c r="O37" s="18">
        <v>94.012195121951223</v>
      </c>
      <c r="AZ37" s="86" t="s">
        <v>399</v>
      </c>
      <c r="BA37" s="107" t="s">
        <v>446</v>
      </c>
      <c r="BB37" s="86" t="s">
        <v>447</v>
      </c>
      <c r="BC37" s="86" t="s">
        <v>448</v>
      </c>
    </row>
    <row r="38" spans="1:57" ht="18" hidden="1" x14ac:dyDescent="0.35">
      <c r="A38" s="86">
        <v>6233</v>
      </c>
      <c r="B38" s="10">
        <v>45978</v>
      </c>
      <c r="C38" s="11" t="s">
        <v>258</v>
      </c>
      <c r="D38" s="11" t="s">
        <v>53</v>
      </c>
      <c r="E38" s="11" t="s">
        <v>9</v>
      </c>
      <c r="F38" s="13">
        <f>284.967-121.5+100-42-60-49.5+25.92-21.5-42-21+21-21+21-10+10</f>
        <v>74.387</v>
      </c>
      <c r="G38" s="13"/>
      <c r="H38" s="14">
        <f t="shared" si="13"/>
        <v>1.3400000000000034</v>
      </c>
      <c r="I38" s="14">
        <v>75.727000000000004</v>
      </c>
      <c r="J38" s="14">
        <v>473.96699999999998</v>
      </c>
      <c r="K38" s="15" t="s">
        <v>32</v>
      </c>
      <c r="L38" s="65" t="s">
        <v>396</v>
      </c>
      <c r="M38" s="15">
        <f t="shared" ca="1" si="14"/>
        <v>193</v>
      </c>
      <c r="N38" s="18">
        <v>74825.100000000006</v>
      </c>
      <c r="O38" s="18">
        <v>80.453125</v>
      </c>
      <c r="AZ38" s="86" t="s">
        <v>399</v>
      </c>
      <c r="BA38" s="107">
        <v>6233</v>
      </c>
      <c r="BB38" s="86" t="s">
        <v>400</v>
      </c>
      <c r="BC38" s="86" t="s">
        <v>449</v>
      </c>
    </row>
    <row r="39" spans="1:57" ht="18" x14ac:dyDescent="0.35">
      <c r="B39" s="91">
        <v>46164</v>
      </c>
      <c r="C39" s="105" t="s">
        <v>391</v>
      </c>
      <c r="D39" s="92" t="s">
        <v>53</v>
      </c>
      <c r="E39" s="92" t="s">
        <v>9</v>
      </c>
      <c r="F39" s="93">
        <f>427.5-106-10</f>
        <v>311.5</v>
      </c>
      <c r="G39" s="94"/>
      <c r="H39" s="95">
        <f t="shared" si="13"/>
        <v>116</v>
      </c>
      <c r="I39" s="95">
        <v>427.5</v>
      </c>
      <c r="J39" s="95">
        <v>427.5</v>
      </c>
      <c r="K39" s="96" t="s">
        <v>32</v>
      </c>
      <c r="L39" s="97" t="s">
        <v>310</v>
      </c>
      <c r="M39" s="96">
        <f t="shared" ca="1" si="14"/>
        <v>7</v>
      </c>
      <c r="N39" s="69"/>
      <c r="O39" s="69"/>
      <c r="AZ39" s="86" t="s">
        <v>420</v>
      </c>
      <c r="BA39" s="107">
        <v>14</v>
      </c>
      <c r="BB39" s="86" t="s">
        <v>450</v>
      </c>
      <c r="BC39" s="86">
        <v>5</v>
      </c>
      <c r="BD39" s="86" t="s">
        <v>451</v>
      </c>
      <c r="BE39" s="86" t="s">
        <v>452</v>
      </c>
    </row>
    <row r="40" spans="1:57" ht="18" hidden="1" x14ac:dyDescent="0.35">
      <c r="A40" s="86">
        <v>6355</v>
      </c>
      <c r="B40" s="10">
        <v>46098</v>
      </c>
      <c r="C40" s="11" t="s">
        <v>327</v>
      </c>
      <c r="D40" s="11" t="s">
        <v>53</v>
      </c>
      <c r="E40" s="11" t="s">
        <v>19</v>
      </c>
      <c r="F40" s="12">
        <f>1896.987-40-25-725-106-40-42-30+32+70-20-576-100-10-7-69+76-26-100-16-80-50+60-25-40-6+38-60</f>
        <v>-20.01299999999992</v>
      </c>
      <c r="G40" s="13"/>
      <c r="H40" s="14">
        <f t="shared" si="13"/>
        <v>317.6149999999999</v>
      </c>
      <c r="I40" s="14">
        <v>297.60199999999998</v>
      </c>
      <c r="J40" s="14">
        <v>1896.9870000000001</v>
      </c>
      <c r="K40" s="15" t="s">
        <v>328</v>
      </c>
      <c r="L40" s="65" t="s">
        <v>396</v>
      </c>
      <c r="M40" s="65">
        <f t="shared" ca="1" si="14"/>
        <v>73</v>
      </c>
      <c r="N40" s="18">
        <v>82696.160000756689</v>
      </c>
      <c r="O40" s="18">
        <v>135.74615384615385</v>
      </c>
      <c r="AZ40" s="86" t="s">
        <v>399</v>
      </c>
      <c r="BA40" s="107">
        <v>6355</v>
      </c>
      <c r="BB40" s="86" t="s">
        <v>433</v>
      </c>
      <c r="BC40" s="86" t="s">
        <v>434</v>
      </c>
    </row>
    <row r="41" spans="1:57" ht="18" x14ac:dyDescent="0.35">
      <c r="B41" s="73">
        <v>46090</v>
      </c>
      <c r="C41" s="74" t="s">
        <v>312</v>
      </c>
      <c r="D41" s="74" t="s">
        <v>53</v>
      </c>
      <c r="E41" s="74" t="s">
        <v>19</v>
      </c>
      <c r="F41" s="79">
        <v>-18.039000000000001</v>
      </c>
      <c r="G41" s="81"/>
      <c r="H41" s="75">
        <f t="shared" si="13"/>
        <v>72.17</v>
      </c>
      <c r="I41" s="75">
        <v>54.131</v>
      </c>
      <c r="J41" s="75">
        <v>1428.162</v>
      </c>
      <c r="K41" s="77" t="s">
        <v>319</v>
      </c>
      <c r="L41" s="78" t="s">
        <v>235</v>
      </c>
      <c r="M41" s="65">
        <f t="shared" ca="1" si="14"/>
        <v>81</v>
      </c>
      <c r="N41" s="69"/>
      <c r="O41" s="69"/>
      <c r="AZ41" s="86" t="s">
        <v>435</v>
      </c>
      <c r="BA41" s="107">
        <v>357</v>
      </c>
      <c r="BB41" s="86" t="s">
        <v>436</v>
      </c>
      <c r="BC41" s="86" t="s">
        <v>437</v>
      </c>
    </row>
    <row r="42" spans="1:57" ht="18" hidden="1" x14ac:dyDescent="0.35">
      <c r="B42" s="19"/>
      <c r="C42" s="26" t="s">
        <v>27</v>
      </c>
      <c r="D42" s="11"/>
      <c r="E42" s="11"/>
      <c r="F42" s="20">
        <f>SUBTOTAL(9,F37:F41)</f>
        <v>293.46100000000001</v>
      </c>
      <c r="G42" s="21">
        <f>F42</f>
        <v>293.46100000000001</v>
      </c>
      <c r="H42" s="20">
        <f>SUBTOTAL(9,H37:H41)</f>
        <v>188.17000000000002</v>
      </c>
      <c r="I42" s="20">
        <f>SUBTOTAL(9,I37:I41)</f>
        <v>481.63099999999997</v>
      </c>
      <c r="J42" s="20"/>
      <c r="K42" s="15"/>
      <c r="L42" s="65"/>
      <c r="M42" s="15"/>
      <c r="N42" s="69"/>
      <c r="O42" s="69"/>
      <c r="AZ42" s="86" t="s">
        <v>27</v>
      </c>
    </row>
    <row r="43" spans="1:57" ht="18" hidden="1" x14ac:dyDescent="0.35">
      <c r="B43" s="19"/>
      <c r="C43" s="26"/>
      <c r="D43" s="11"/>
      <c r="E43" s="11"/>
      <c r="F43" s="13"/>
      <c r="G43" s="21"/>
      <c r="H43" s="20"/>
      <c r="I43" s="20"/>
      <c r="J43" s="20"/>
      <c r="K43" s="15"/>
      <c r="L43" s="65"/>
      <c r="M43" s="15"/>
      <c r="N43" s="69"/>
      <c r="O43" s="69"/>
    </row>
    <row r="44" spans="1:57" ht="18" hidden="1" x14ac:dyDescent="0.35">
      <c r="A44" s="86">
        <v>6072</v>
      </c>
      <c r="B44" s="10">
        <v>45905</v>
      </c>
      <c r="C44" s="26" t="s">
        <v>243</v>
      </c>
      <c r="D44" s="11" t="s">
        <v>67</v>
      </c>
      <c r="E44" s="11" t="s">
        <v>9</v>
      </c>
      <c r="F44" s="13">
        <f>306.391-25+25</f>
        <v>306.39100000000002</v>
      </c>
      <c r="G44" s="21"/>
      <c r="H44" s="14">
        <f t="shared" ref="H44:H52" si="15">I44-F44</f>
        <v>2.7399999999999523</v>
      </c>
      <c r="I44" s="14">
        <v>309.13099999999997</v>
      </c>
      <c r="J44" s="14">
        <v>1890.7629999999999</v>
      </c>
      <c r="K44" s="15" t="s">
        <v>238</v>
      </c>
      <c r="L44" s="65" t="s">
        <v>396</v>
      </c>
      <c r="M44" s="15">
        <f t="shared" ref="M44:M52" ca="1" si="16">TODAY()-B44</f>
        <v>266</v>
      </c>
      <c r="N44" s="18">
        <v>85783.554520907652</v>
      </c>
      <c r="O44" s="18">
        <v>93.039062499999972</v>
      </c>
      <c r="AZ44" s="86" t="s">
        <v>399</v>
      </c>
      <c r="BA44" s="107">
        <v>6072</v>
      </c>
      <c r="BB44" s="86" t="s">
        <v>441</v>
      </c>
      <c r="BC44" s="86" t="s">
        <v>442</v>
      </c>
    </row>
    <row r="45" spans="1:57" ht="18" hidden="1" x14ac:dyDescent="0.35">
      <c r="A45" s="86">
        <v>6176</v>
      </c>
      <c r="B45" s="10">
        <v>45968</v>
      </c>
      <c r="C45" s="11" t="s">
        <v>257</v>
      </c>
      <c r="D45" s="11" t="s">
        <v>67</v>
      </c>
      <c r="E45" s="11" t="s">
        <v>9</v>
      </c>
      <c r="F45" s="12">
        <f>35.592-25-11</f>
        <v>-0.40800000000000125</v>
      </c>
      <c r="G45" s="21"/>
      <c r="H45" s="14">
        <f t="shared" si="15"/>
        <v>0.41000000000000125</v>
      </c>
      <c r="I45" s="14">
        <v>2E-3</v>
      </c>
      <c r="J45" s="14">
        <v>524.80200000000002</v>
      </c>
      <c r="K45" s="15" t="s">
        <v>32</v>
      </c>
      <c r="L45" s="65" t="s">
        <v>396</v>
      </c>
      <c r="M45" s="15">
        <f t="shared" ca="1" si="16"/>
        <v>203</v>
      </c>
      <c r="N45" s="18">
        <v>85139.965707492534</v>
      </c>
      <c r="O45" s="18">
        <v>89.277777777777771</v>
      </c>
      <c r="AZ45" s="86" t="s">
        <v>399</v>
      </c>
      <c r="BA45" s="107">
        <v>6176</v>
      </c>
      <c r="BB45" s="86" t="s">
        <v>453</v>
      </c>
      <c r="BC45" s="86" t="s">
        <v>451</v>
      </c>
      <c r="BD45" s="86" t="s">
        <v>452</v>
      </c>
    </row>
    <row r="46" spans="1:57" ht="18" hidden="1" x14ac:dyDescent="0.35">
      <c r="A46" s="86">
        <v>6371</v>
      </c>
      <c r="B46" s="10">
        <v>46123</v>
      </c>
      <c r="C46" s="11" t="s">
        <v>345</v>
      </c>
      <c r="D46" s="11" t="s">
        <v>67</v>
      </c>
      <c r="E46" s="11" t="s">
        <v>9</v>
      </c>
      <c r="F46" s="12">
        <f>238.948-80-21-90+11+21</f>
        <v>79.948000000000008</v>
      </c>
      <c r="G46" s="21"/>
      <c r="H46" s="14">
        <f t="shared" si="15"/>
        <v>74.87</v>
      </c>
      <c r="I46" s="14">
        <v>154.81800000000001</v>
      </c>
      <c r="J46" s="14">
        <v>240</v>
      </c>
      <c r="K46" s="15" t="s">
        <v>32</v>
      </c>
      <c r="L46" s="65" t="s">
        <v>396</v>
      </c>
      <c r="M46" s="15">
        <f t="shared" ca="1" si="16"/>
        <v>48</v>
      </c>
      <c r="N46" s="18">
        <v>122996.25</v>
      </c>
      <c r="O46" s="18">
        <v>168.11666666666667</v>
      </c>
      <c r="AZ46" s="86" t="s">
        <v>399</v>
      </c>
      <c r="BA46" s="107">
        <v>6371</v>
      </c>
      <c r="BB46" s="86" t="s">
        <v>454</v>
      </c>
      <c r="BC46" s="86">
        <v>1</v>
      </c>
    </row>
    <row r="47" spans="1:57" ht="18" hidden="1" x14ac:dyDescent="0.35">
      <c r="A47" s="86">
        <v>6378</v>
      </c>
      <c r="B47" s="10">
        <v>46131</v>
      </c>
      <c r="C47" s="11" t="s">
        <v>354</v>
      </c>
      <c r="D47" s="11" t="s">
        <v>67</v>
      </c>
      <c r="E47" s="11" t="s">
        <v>9</v>
      </c>
      <c r="F47" s="12">
        <v>0</v>
      </c>
      <c r="G47" s="21"/>
      <c r="H47" s="14">
        <f t="shared" si="15"/>
        <v>454.39699999999999</v>
      </c>
      <c r="I47" s="14">
        <v>454.39699999999999</v>
      </c>
      <c r="J47" s="14">
        <v>498.637</v>
      </c>
      <c r="K47" s="15" t="s">
        <v>32</v>
      </c>
      <c r="L47" s="65" t="s">
        <v>396</v>
      </c>
      <c r="M47" s="15">
        <f t="shared" ca="1" si="16"/>
        <v>40</v>
      </c>
      <c r="N47" s="18">
        <v>158133.30000520751</v>
      </c>
      <c r="O47" s="18">
        <v>168.125</v>
      </c>
      <c r="AZ47" s="86" t="s">
        <v>399</v>
      </c>
      <c r="BA47" s="107">
        <v>6378</v>
      </c>
      <c r="BB47" s="86" t="s">
        <v>455</v>
      </c>
      <c r="BC47" s="86" t="s">
        <v>456</v>
      </c>
    </row>
    <row r="48" spans="1:57" ht="18" x14ac:dyDescent="0.35">
      <c r="B48" s="73">
        <v>46068</v>
      </c>
      <c r="C48" s="74" t="s">
        <v>297</v>
      </c>
      <c r="D48" s="74" t="s">
        <v>67</v>
      </c>
      <c r="E48" s="74" t="s">
        <v>9</v>
      </c>
      <c r="F48" s="79">
        <f>1046.886-100-25-20-125+50-15-85-25-50+50-125+75-60-21</f>
        <v>570.88599999999997</v>
      </c>
      <c r="G48" s="76"/>
      <c r="H48" s="75">
        <f t="shared" si="15"/>
        <v>157.08799999999997</v>
      </c>
      <c r="I48" s="76">
        <f>323.101+404.873</f>
        <v>727.97399999999993</v>
      </c>
      <c r="J48" s="75">
        <v>1046.886</v>
      </c>
      <c r="K48" s="77" t="s">
        <v>32</v>
      </c>
      <c r="L48" s="78" t="s">
        <v>235</v>
      </c>
      <c r="M48" s="15">
        <f t="shared" ca="1" si="16"/>
        <v>103</v>
      </c>
      <c r="N48" s="69"/>
      <c r="O48" s="69"/>
      <c r="AZ48" s="86" t="s">
        <v>435</v>
      </c>
      <c r="BA48" s="107">
        <v>334</v>
      </c>
      <c r="BB48" s="86" t="s">
        <v>457</v>
      </c>
      <c r="BC48" s="86" t="s">
        <v>458</v>
      </c>
    </row>
    <row r="49" spans="1:60" ht="18" x14ac:dyDescent="0.35">
      <c r="B49" s="73">
        <v>46161</v>
      </c>
      <c r="C49" s="74" t="s">
        <v>381</v>
      </c>
      <c r="D49" s="74" t="s">
        <v>67</v>
      </c>
      <c r="E49" s="74" t="s">
        <v>9</v>
      </c>
      <c r="F49" s="79">
        <v>1892.1369999999999</v>
      </c>
      <c r="G49" s="76"/>
      <c r="H49" s="75">
        <f t="shared" si="15"/>
        <v>0</v>
      </c>
      <c r="I49" s="75">
        <v>1892.1369999999999</v>
      </c>
      <c r="J49" s="75">
        <v>1892.1369999999999</v>
      </c>
      <c r="K49" s="77" t="s">
        <v>32</v>
      </c>
      <c r="L49" s="78" t="s">
        <v>235</v>
      </c>
      <c r="M49" s="15">
        <f t="shared" ca="1" si="16"/>
        <v>10</v>
      </c>
      <c r="N49" s="69"/>
      <c r="O49" s="69"/>
      <c r="AZ49" s="86" t="s">
        <v>435</v>
      </c>
      <c r="BA49" s="107">
        <v>371</v>
      </c>
      <c r="BB49" s="86" t="s">
        <v>400</v>
      </c>
      <c r="BC49" s="86" t="s">
        <v>459</v>
      </c>
    </row>
    <row r="50" spans="1:60" ht="18" x14ac:dyDescent="0.35">
      <c r="B50" s="10">
        <v>46155</v>
      </c>
      <c r="C50" s="103" t="s">
        <v>374</v>
      </c>
      <c r="D50" s="11" t="s">
        <v>67</v>
      </c>
      <c r="E50" s="26" t="s">
        <v>13</v>
      </c>
      <c r="F50" s="13">
        <f>200-20-25-50-106</f>
        <v>-1</v>
      </c>
      <c r="G50" s="21"/>
      <c r="H50" s="14">
        <f t="shared" si="15"/>
        <v>2.67</v>
      </c>
      <c r="I50" s="14">
        <v>1.67</v>
      </c>
      <c r="J50" s="14">
        <v>200</v>
      </c>
      <c r="K50" s="15" t="s">
        <v>21</v>
      </c>
      <c r="L50" s="65" t="s">
        <v>396</v>
      </c>
      <c r="M50" s="15">
        <f t="shared" ca="1" si="16"/>
        <v>16</v>
      </c>
      <c r="N50" s="69"/>
      <c r="O50" s="69"/>
      <c r="AZ50" s="86" t="s">
        <v>425</v>
      </c>
      <c r="BA50" s="107">
        <v>240</v>
      </c>
      <c r="BB50" s="86" t="s">
        <v>460</v>
      </c>
      <c r="BC50" s="86" t="s">
        <v>461</v>
      </c>
      <c r="BD50" s="86" t="s">
        <v>462</v>
      </c>
      <c r="BE50" s="86" t="s">
        <v>463</v>
      </c>
      <c r="BF50" s="86" t="s">
        <v>464</v>
      </c>
      <c r="BG50" s="86">
        <v>27</v>
      </c>
      <c r="BH50" s="86">
        <v>100000093</v>
      </c>
    </row>
    <row r="51" spans="1:60" ht="18" hidden="1" x14ac:dyDescent="0.35">
      <c r="A51" s="86">
        <v>6357</v>
      </c>
      <c r="B51" s="10">
        <v>46098</v>
      </c>
      <c r="C51" s="11" t="s">
        <v>330</v>
      </c>
      <c r="D51" s="11" t="s">
        <v>67</v>
      </c>
      <c r="E51" s="11" t="s">
        <v>19</v>
      </c>
      <c r="F51" s="12">
        <f>186.359+40-209-20-54+21</f>
        <v>-35.640999999999991</v>
      </c>
      <c r="G51" s="21"/>
      <c r="H51" s="14">
        <f t="shared" si="15"/>
        <v>37.939999999999991</v>
      </c>
      <c r="I51" s="14">
        <v>2.2989999999999999</v>
      </c>
      <c r="J51" s="14">
        <v>475.56900000000002</v>
      </c>
      <c r="K51" s="15" t="s">
        <v>319</v>
      </c>
      <c r="L51" s="65" t="s">
        <v>396</v>
      </c>
      <c r="M51" s="15">
        <f t="shared" ca="1" si="16"/>
        <v>73</v>
      </c>
      <c r="N51" s="18">
        <v>80483.78748986336</v>
      </c>
      <c r="O51" s="18">
        <v>149.24285714285716</v>
      </c>
      <c r="AZ51" s="86" t="s">
        <v>399</v>
      </c>
      <c r="BA51" s="107">
        <v>6357</v>
      </c>
      <c r="BB51" s="86" t="s">
        <v>433</v>
      </c>
      <c r="BC51" s="86" t="s">
        <v>434</v>
      </c>
    </row>
    <row r="52" spans="1:60" ht="18" x14ac:dyDescent="0.35">
      <c r="B52" s="73">
        <v>46090</v>
      </c>
      <c r="C52" s="74" t="s">
        <v>314</v>
      </c>
      <c r="D52" s="74" t="s">
        <v>67</v>
      </c>
      <c r="E52" s="74" t="s">
        <v>19</v>
      </c>
      <c r="F52" s="79">
        <v>0</v>
      </c>
      <c r="G52" s="76"/>
      <c r="H52" s="75">
        <f t="shared" si="15"/>
        <v>34.11</v>
      </c>
      <c r="I52" s="75">
        <v>34.11</v>
      </c>
      <c r="J52" s="75">
        <v>952.71100000000001</v>
      </c>
      <c r="K52" s="77" t="s">
        <v>319</v>
      </c>
      <c r="L52" s="78" t="s">
        <v>235</v>
      </c>
      <c r="M52" s="15">
        <f t="shared" ca="1" si="16"/>
        <v>81</v>
      </c>
      <c r="N52" s="69"/>
      <c r="O52" s="69"/>
      <c r="AZ52" s="86" t="s">
        <v>435</v>
      </c>
      <c r="BA52" s="107">
        <v>360</v>
      </c>
      <c r="BB52" s="86" t="s">
        <v>436</v>
      </c>
      <c r="BC52" s="86" t="s">
        <v>437</v>
      </c>
    </row>
    <row r="53" spans="1:60" ht="18" hidden="1" x14ac:dyDescent="0.35">
      <c r="B53" s="19"/>
      <c r="C53" s="26" t="s">
        <v>27</v>
      </c>
      <c r="D53" s="11"/>
      <c r="E53" s="11"/>
      <c r="F53" s="20">
        <f>SUBTOTAL(9,F44:F52)</f>
        <v>2462.0230000000001</v>
      </c>
      <c r="G53" s="21">
        <f>F53</f>
        <v>2462.0230000000001</v>
      </c>
      <c r="H53" s="20">
        <f>SUBTOTAL(9,H44:H52)</f>
        <v>193.86799999999994</v>
      </c>
      <c r="I53" s="20">
        <f>SUBTOTAL(9,I44:I52)</f>
        <v>2655.8910000000001</v>
      </c>
      <c r="J53" s="20"/>
      <c r="K53" s="15"/>
      <c r="L53" s="65"/>
      <c r="M53" s="15"/>
      <c r="N53" s="69"/>
      <c r="O53" s="69"/>
      <c r="AZ53" s="86" t="s">
        <v>27</v>
      </c>
    </row>
    <row r="54" spans="1:60" ht="18" hidden="1" x14ac:dyDescent="0.35">
      <c r="B54" s="19"/>
      <c r="C54" s="26"/>
      <c r="D54" s="11"/>
      <c r="E54" s="11"/>
      <c r="F54" s="20"/>
      <c r="G54" s="21"/>
      <c r="H54" s="20"/>
      <c r="I54" s="20"/>
      <c r="J54" s="20"/>
      <c r="K54" s="15"/>
      <c r="L54" s="65"/>
      <c r="M54" s="15"/>
      <c r="N54" s="69"/>
      <c r="O54" s="69"/>
    </row>
    <row r="55" spans="1:60" ht="18" hidden="1" x14ac:dyDescent="0.35">
      <c r="A55" s="86">
        <v>6279</v>
      </c>
      <c r="B55" s="10">
        <v>46071</v>
      </c>
      <c r="C55" s="11" t="s">
        <v>295</v>
      </c>
      <c r="D55" s="11" t="s">
        <v>77</v>
      </c>
      <c r="E55" s="11" t="s">
        <v>9</v>
      </c>
      <c r="F55" s="14">
        <v>-43.89</v>
      </c>
      <c r="G55" s="21"/>
      <c r="H55" s="14">
        <f t="shared" ref="H55" si="17">I55-F55</f>
        <v>43.892000000000003</v>
      </c>
      <c r="I55" s="14">
        <v>2E-3</v>
      </c>
      <c r="J55" s="14">
        <v>800.98800000000006</v>
      </c>
      <c r="K55" s="15" t="s">
        <v>32</v>
      </c>
      <c r="L55" s="65" t="s">
        <v>396</v>
      </c>
      <c r="M55" s="15">
        <f t="shared" ref="M55" ca="1" si="18">TODAY()-B55</f>
        <v>100</v>
      </c>
      <c r="N55" s="18">
        <v>79147.535156581624</v>
      </c>
      <c r="O55" s="18">
        <v>88.166666666666671</v>
      </c>
      <c r="AZ55" s="86" t="s">
        <v>399</v>
      </c>
      <c r="BA55" s="107">
        <v>6279</v>
      </c>
      <c r="BB55" s="86" t="s">
        <v>465</v>
      </c>
    </row>
    <row r="56" spans="1:60" ht="18" hidden="1" x14ac:dyDescent="0.35">
      <c r="B56" s="19"/>
      <c r="C56" s="26" t="s">
        <v>27</v>
      </c>
      <c r="D56" s="11"/>
      <c r="E56" s="11"/>
      <c r="F56" s="20">
        <f>SUBTOTAL(9,F55:F55)</f>
        <v>0</v>
      </c>
      <c r="G56" s="21">
        <f>F56</f>
        <v>0</v>
      </c>
      <c r="H56" s="20">
        <f>SUBTOTAL(9,H55:H55)</f>
        <v>0</v>
      </c>
      <c r="I56" s="20">
        <f>SUBTOTAL(9,I55:I55)</f>
        <v>0</v>
      </c>
      <c r="J56" s="20"/>
      <c r="K56" s="15"/>
      <c r="L56" s="65"/>
      <c r="M56" s="15"/>
      <c r="N56" s="69"/>
      <c r="O56" s="69"/>
      <c r="AZ56" s="86" t="s">
        <v>27</v>
      </c>
    </row>
    <row r="57" spans="1:60" ht="18" hidden="1" x14ac:dyDescent="0.35">
      <c r="B57" s="19"/>
      <c r="C57" s="26"/>
      <c r="D57" s="11"/>
      <c r="E57" s="11"/>
      <c r="F57" s="20"/>
      <c r="G57" s="21"/>
      <c r="H57" s="20"/>
      <c r="I57" s="20"/>
      <c r="J57" s="20"/>
      <c r="K57" s="15"/>
      <c r="L57" s="65"/>
      <c r="M57" s="15"/>
      <c r="N57" s="69"/>
      <c r="O57" s="69"/>
    </row>
    <row r="58" spans="1:60" ht="18" hidden="1" x14ac:dyDescent="0.35">
      <c r="A58" s="86">
        <v>6126</v>
      </c>
      <c r="B58" s="82">
        <v>45922</v>
      </c>
      <c r="C58" s="83" t="s">
        <v>255</v>
      </c>
      <c r="D58" s="83" t="s">
        <v>118</v>
      </c>
      <c r="E58" s="83" t="s">
        <v>9</v>
      </c>
      <c r="F58" s="72">
        <v>-24.72</v>
      </c>
      <c r="G58" s="84"/>
      <c r="H58" s="72">
        <f t="shared" ref="H58" si="19">I58-F58</f>
        <v>24.721</v>
      </c>
      <c r="I58" s="14">
        <v>1E-3</v>
      </c>
      <c r="J58" s="14">
        <v>795.53</v>
      </c>
      <c r="K58" s="85" t="s">
        <v>47</v>
      </c>
      <c r="L58" s="65" t="s">
        <v>396</v>
      </c>
      <c r="M58" s="15">
        <f t="shared" ref="M58" ca="1" si="20">TODAY()-B58</f>
        <v>249</v>
      </c>
      <c r="N58" s="18">
        <v>71939.199997995034</v>
      </c>
      <c r="O58" s="18">
        <v>71.864583333333329</v>
      </c>
      <c r="AZ58" s="86" t="s">
        <v>399</v>
      </c>
      <c r="BA58" s="107">
        <v>6126</v>
      </c>
      <c r="BB58" s="86" t="s">
        <v>450</v>
      </c>
      <c r="BC58" s="86">
        <v>3</v>
      </c>
      <c r="BD58" s="86" t="s">
        <v>451</v>
      </c>
      <c r="BE58" s="86" t="s">
        <v>452</v>
      </c>
    </row>
    <row r="59" spans="1:60" ht="18" hidden="1" x14ac:dyDescent="0.35">
      <c r="B59" s="19"/>
      <c r="C59" s="26" t="s">
        <v>27</v>
      </c>
      <c r="D59" s="11"/>
      <c r="E59" s="11"/>
      <c r="F59" s="20">
        <f>SUBTOTAL(9,F58:F58)</f>
        <v>0</v>
      </c>
      <c r="G59" s="21">
        <f>F59</f>
        <v>0</v>
      </c>
      <c r="H59" s="20">
        <f>SUBTOTAL(9,H58:H58)</f>
        <v>0</v>
      </c>
      <c r="I59" s="20">
        <f>SUBTOTAL(9,I58:I58)</f>
        <v>0</v>
      </c>
      <c r="J59" s="20"/>
      <c r="K59" s="15"/>
      <c r="L59" s="65"/>
      <c r="M59" s="15"/>
      <c r="N59" s="69"/>
      <c r="O59" s="69"/>
      <c r="AZ59" s="86" t="s">
        <v>27</v>
      </c>
    </row>
    <row r="60" spans="1:60" ht="18" hidden="1" x14ac:dyDescent="0.35">
      <c r="B60" s="19"/>
      <c r="C60" s="26"/>
      <c r="D60" s="11"/>
      <c r="E60" s="11"/>
      <c r="F60" s="13"/>
      <c r="G60" s="21"/>
      <c r="H60" s="20"/>
      <c r="I60" s="20"/>
      <c r="J60" s="20"/>
      <c r="K60" s="15"/>
      <c r="L60" s="65"/>
      <c r="M60" s="15"/>
      <c r="N60" s="69"/>
      <c r="O60" s="69"/>
    </row>
    <row r="61" spans="1:60" ht="18" hidden="1" x14ac:dyDescent="0.35">
      <c r="A61" s="86">
        <v>6274</v>
      </c>
      <c r="B61" s="10">
        <v>46086</v>
      </c>
      <c r="C61" s="11" t="s">
        <v>306</v>
      </c>
      <c r="D61" s="11" t="s">
        <v>230</v>
      </c>
      <c r="E61" s="11" t="s">
        <v>13</v>
      </c>
      <c r="F61" s="14">
        <v>0</v>
      </c>
      <c r="G61" s="21"/>
      <c r="H61" s="14">
        <f t="shared" ref="H61:H62" si="21">I61-F61</f>
        <v>4.0000000000000001E-3</v>
      </c>
      <c r="I61" s="14">
        <v>4.0000000000000001E-3</v>
      </c>
      <c r="J61" s="14">
        <v>496.86399999999998</v>
      </c>
      <c r="K61" s="15" t="s">
        <v>21</v>
      </c>
      <c r="L61" s="65" t="s">
        <v>396</v>
      </c>
      <c r="M61" s="15">
        <f t="shared" ref="M61:M62" ca="1" si="22">TODAY()-B61</f>
        <v>85</v>
      </c>
      <c r="N61" s="18">
        <v>63297.509059369702</v>
      </c>
      <c r="O61" s="18">
        <v>74.724999999999994</v>
      </c>
      <c r="AZ61" s="86" t="s">
        <v>399</v>
      </c>
      <c r="BA61" s="107">
        <v>6274</v>
      </c>
      <c r="BB61" s="86" t="s">
        <v>400</v>
      </c>
      <c r="BC61" s="86" t="s">
        <v>466</v>
      </c>
    </row>
    <row r="62" spans="1:60" ht="18" hidden="1" x14ac:dyDescent="0.35">
      <c r="A62" s="86">
        <v>6401</v>
      </c>
      <c r="B62" s="10">
        <v>46156</v>
      </c>
      <c r="C62" s="11" t="s">
        <v>379</v>
      </c>
      <c r="D62" s="11" t="s">
        <v>230</v>
      </c>
      <c r="E62" s="11" t="s">
        <v>13</v>
      </c>
      <c r="F62" s="14">
        <f>306.157-21-65-71-77-30-70</f>
        <v>-27.843000000000018</v>
      </c>
      <c r="G62" s="21"/>
      <c r="H62" s="14">
        <f t="shared" si="21"/>
        <v>204.88500000000002</v>
      </c>
      <c r="I62" s="14">
        <v>177.042</v>
      </c>
      <c r="J62" s="14">
        <v>305.59199999999998</v>
      </c>
      <c r="K62" s="15" t="s">
        <v>21</v>
      </c>
      <c r="L62" s="65" t="s">
        <v>396</v>
      </c>
      <c r="M62" s="15">
        <f t="shared" ca="1" si="22"/>
        <v>15</v>
      </c>
      <c r="N62" s="18">
        <v>115522.70162041044</v>
      </c>
      <c r="O62" s="18">
        <v>135.38888888888889</v>
      </c>
      <c r="AZ62" s="86" t="s">
        <v>399</v>
      </c>
      <c r="BA62" s="107">
        <v>6401</v>
      </c>
      <c r="BB62" s="86" t="s">
        <v>441</v>
      </c>
      <c r="BC62" s="86" t="s">
        <v>467</v>
      </c>
    </row>
    <row r="63" spans="1:60" ht="18" hidden="1" x14ac:dyDescent="0.35">
      <c r="B63" s="19"/>
      <c r="C63" s="26"/>
      <c r="D63" s="11"/>
      <c r="E63" s="11"/>
      <c r="F63" s="20">
        <f>SUBTOTAL(9,F61:F62)</f>
        <v>0</v>
      </c>
      <c r="G63" s="21">
        <f>F63</f>
        <v>0</v>
      </c>
      <c r="H63" s="20">
        <f>SUBTOTAL(9,H61:H62)</f>
        <v>0</v>
      </c>
      <c r="I63" s="20">
        <f>SUBTOTAL(9,I61:I62)</f>
        <v>0</v>
      </c>
      <c r="J63" s="20"/>
      <c r="K63" s="15"/>
      <c r="L63" s="65"/>
      <c r="M63" s="15"/>
      <c r="N63" s="69"/>
      <c r="O63" s="69"/>
    </row>
    <row r="64" spans="1:60" ht="18" hidden="1" x14ac:dyDescent="0.35">
      <c r="B64" s="19"/>
      <c r="C64" s="26"/>
      <c r="D64" s="11"/>
      <c r="E64" s="11"/>
      <c r="F64" s="13"/>
      <c r="G64" s="21"/>
      <c r="H64" s="20"/>
      <c r="I64" s="20"/>
      <c r="J64" s="20"/>
      <c r="K64" s="15"/>
      <c r="L64" s="65"/>
      <c r="M64" s="15"/>
      <c r="N64" s="69"/>
      <c r="O64" s="69"/>
    </row>
    <row r="65" spans="1:55" ht="18" hidden="1" x14ac:dyDescent="0.35">
      <c r="A65" s="86">
        <v>6335</v>
      </c>
      <c r="B65" s="10">
        <v>46161</v>
      </c>
      <c r="C65" s="11" t="s">
        <v>380</v>
      </c>
      <c r="D65" s="11" t="s">
        <v>233</v>
      </c>
      <c r="E65" s="11" t="s">
        <v>9</v>
      </c>
      <c r="F65" s="14">
        <f>734.477-153.14</f>
        <v>581.33699999999999</v>
      </c>
      <c r="G65" s="21"/>
      <c r="H65" s="14">
        <f t="shared" ref="H65" si="23">I65-F65</f>
        <v>87.639999999999986</v>
      </c>
      <c r="I65" s="14">
        <v>668.97699999999998</v>
      </c>
      <c r="J65" s="14">
        <v>734.47699999999998</v>
      </c>
      <c r="K65" s="15" t="s">
        <v>29</v>
      </c>
      <c r="L65" s="65" t="s">
        <v>396</v>
      </c>
      <c r="M65" s="15">
        <f t="shared" ref="M65" ca="1" si="24">TODAY()-B65</f>
        <v>10</v>
      </c>
      <c r="N65" s="18">
        <v>62954.159000213767</v>
      </c>
      <c r="O65" s="18">
        <v>112</v>
      </c>
      <c r="AZ65" s="86" t="s">
        <v>399</v>
      </c>
      <c r="BA65" s="107">
        <v>6335</v>
      </c>
      <c r="BB65" s="86" t="s">
        <v>400</v>
      </c>
      <c r="BC65" s="86" t="s">
        <v>459</v>
      </c>
    </row>
    <row r="66" spans="1:55" ht="18" x14ac:dyDescent="0.35">
      <c r="B66" s="73">
        <v>45607</v>
      </c>
      <c r="C66" s="104" t="s">
        <v>236</v>
      </c>
      <c r="D66" s="74" t="s">
        <v>233</v>
      </c>
      <c r="E66" s="74" t="s">
        <v>9</v>
      </c>
      <c r="F66" s="75">
        <v>0</v>
      </c>
      <c r="G66" s="76"/>
      <c r="H66" s="75">
        <f t="shared" ref="H66:H67" si="25">I66-F66</f>
        <v>114.22199999999999</v>
      </c>
      <c r="I66" s="76">
        <f>178.98-64.758</f>
        <v>114.22199999999999</v>
      </c>
      <c r="J66" s="75"/>
      <c r="K66" s="77" t="s">
        <v>29</v>
      </c>
      <c r="L66" s="78" t="s">
        <v>235</v>
      </c>
      <c r="M66" s="15">
        <f t="shared" ref="M66:M67" ca="1" si="26">TODAY()-B66</f>
        <v>564</v>
      </c>
      <c r="N66" s="69"/>
      <c r="O66" s="69"/>
      <c r="AZ66" s="86" t="s">
        <v>235</v>
      </c>
      <c r="BA66" s="107" t="s">
        <v>468</v>
      </c>
      <c r="BB66" s="86" t="s">
        <v>469</v>
      </c>
      <c r="BC66" s="86" t="s">
        <v>470</v>
      </c>
    </row>
    <row r="67" spans="1:55" ht="18" x14ac:dyDescent="0.35">
      <c r="B67" s="73">
        <v>45809</v>
      </c>
      <c r="C67" s="104" t="s">
        <v>237</v>
      </c>
      <c r="D67" s="74" t="s">
        <v>233</v>
      </c>
      <c r="E67" s="74" t="s">
        <v>9</v>
      </c>
      <c r="F67" s="75">
        <f>663.055-54-105-12-25-20+42+42</f>
        <v>531.05499999999995</v>
      </c>
      <c r="G67" s="76"/>
      <c r="H67" s="75">
        <f t="shared" si="25"/>
        <v>132</v>
      </c>
      <c r="I67" s="76">
        <v>663.05499999999995</v>
      </c>
      <c r="J67" s="75"/>
      <c r="K67" s="77" t="s">
        <v>29</v>
      </c>
      <c r="L67" s="78" t="s">
        <v>235</v>
      </c>
      <c r="M67" s="15">
        <f t="shared" ca="1" si="26"/>
        <v>362</v>
      </c>
      <c r="N67" s="69"/>
      <c r="O67" s="69"/>
      <c r="AZ67" s="86" t="s">
        <v>235</v>
      </c>
      <c r="BA67" s="107" t="s">
        <v>468</v>
      </c>
      <c r="BB67" s="86" t="s">
        <v>441</v>
      </c>
      <c r="BC67" s="86" t="s">
        <v>471</v>
      </c>
    </row>
    <row r="68" spans="1:55" ht="18" hidden="1" x14ac:dyDescent="0.35">
      <c r="B68" s="19"/>
      <c r="C68" s="26" t="s">
        <v>27</v>
      </c>
      <c r="D68" s="11"/>
      <c r="E68" s="11"/>
      <c r="F68" s="20">
        <f>SUBTOTAL(9,F65:F67)</f>
        <v>531.05499999999995</v>
      </c>
      <c r="G68" s="21">
        <f>F68</f>
        <v>531.05499999999995</v>
      </c>
      <c r="H68" s="20">
        <f>SUBTOTAL(9,H65:H67)</f>
        <v>246.22199999999998</v>
      </c>
      <c r="I68" s="20">
        <f>SUBTOTAL(9,I65:I67)</f>
        <v>777.27699999999993</v>
      </c>
      <c r="J68" s="20"/>
      <c r="K68" s="15"/>
      <c r="L68" s="65"/>
      <c r="M68" s="15"/>
      <c r="N68" s="69"/>
      <c r="O68" s="69"/>
      <c r="AZ68" s="86" t="s">
        <v>27</v>
      </c>
    </row>
    <row r="69" spans="1:55" ht="18" hidden="1" x14ac:dyDescent="0.35">
      <c r="B69" s="19"/>
      <c r="C69" s="26"/>
      <c r="D69" s="11"/>
      <c r="E69" s="11"/>
      <c r="F69" s="20"/>
      <c r="G69" s="21"/>
      <c r="H69" s="20"/>
      <c r="I69" s="20"/>
      <c r="J69" s="20"/>
      <c r="K69" s="15"/>
      <c r="L69" s="65"/>
      <c r="M69" s="15"/>
      <c r="N69" s="69"/>
      <c r="O69" s="69"/>
    </row>
    <row r="70" spans="1:55" ht="18" x14ac:dyDescent="0.35">
      <c r="B70" s="91">
        <v>46147</v>
      </c>
      <c r="C70" s="92" t="s">
        <v>373</v>
      </c>
      <c r="D70" s="92" t="s">
        <v>82</v>
      </c>
      <c r="E70" s="92" t="s">
        <v>9</v>
      </c>
      <c r="F70" s="95">
        <f>1731.193-1010-30-50-83-17-47+7.79-50+30</f>
        <v>481.983</v>
      </c>
      <c r="G70" s="100"/>
      <c r="H70" s="95">
        <f t="shared" ref="H70" si="27">I70-F70</f>
        <v>620.36000000000013</v>
      </c>
      <c r="I70" s="95">
        <v>1102.3430000000001</v>
      </c>
      <c r="J70" s="95">
        <v>1731.193</v>
      </c>
      <c r="K70" s="96" t="s">
        <v>32</v>
      </c>
      <c r="L70" s="97" t="s">
        <v>310</v>
      </c>
      <c r="M70" s="96">
        <f t="shared" ref="M70" ca="1" si="28">TODAY()-B70</f>
        <v>24</v>
      </c>
      <c r="N70" s="69"/>
      <c r="O70" s="69"/>
      <c r="AZ70" s="86" t="s">
        <v>420</v>
      </c>
      <c r="BA70" s="107">
        <v>8</v>
      </c>
      <c r="BB70" s="86" t="s">
        <v>400</v>
      </c>
      <c r="BC70" s="86" t="s">
        <v>449</v>
      </c>
    </row>
    <row r="71" spans="1:55" ht="18" hidden="1" x14ac:dyDescent="0.35">
      <c r="A71" s="86">
        <v>6370</v>
      </c>
      <c r="B71" s="10">
        <v>46127</v>
      </c>
      <c r="C71" s="11" t="s">
        <v>349</v>
      </c>
      <c r="D71" s="11" t="s">
        <v>82</v>
      </c>
      <c r="E71" s="11" t="s">
        <v>19</v>
      </c>
      <c r="F71" s="14">
        <v>0</v>
      </c>
      <c r="G71" s="21"/>
      <c r="H71" s="14">
        <f t="shared" ref="H71:H72" si="29">I71-F71</f>
        <v>27.986999999999998</v>
      </c>
      <c r="I71" s="14">
        <v>27.986999999999998</v>
      </c>
      <c r="J71" s="14">
        <v>715.29399999999998</v>
      </c>
      <c r="K71" s="15" t="s">
        <v>26</v>
      </c>
      <c r="L71" s="65" t="s">
        <v>396</v>
      </c>
      <c r="M71" s="15">
        <f t="shared" ref="M71:M72" ca="1" si="30">TODAY()-B71</f>
        <v>44</v>
      </c>
      <c r="N71" s="18">
        <v>136677.64974961345</v>
      </c>
      <c r="O71" s="18">
        <v>186.9</v>
      </c>
      <c r="AZ71" s="86" t="s">
        <v>399</v>
      </c>
      <c r="BA71" s="107">
        <v>6370</v>
      </c>
      <c r="BB71" s="86" t="s">
        <v>455</v>
      </c>
      <c r="BC71" s="86" t="s">
        <v>456</v>
      </c>
    </row>
    <row r="72" spans="1:55" ht="18" x14ac:dyDescent="0.35">
      <c r="B72" s="91">
        <v>46144</v>
      </c>
      <c r="C72" s="92" t="s">
        <v>370</v>
      </c>
      <c r="D72" s="92" t="s">
        <v>82</v>
      </c>
      <c r="E72" s="92" t="s">
        <v>19</v>
      </c>
      <c r="F72" s="95">
        <f>950-318.063-75-105-65-53+30-25-10-70-25-75-50-80</f>
        <v>28.937000000000012</v>
      </c>
      <c r="G72" s="100"/>
      <c r="H72" s="95">
        <f t="shared" si="29"/>
        <v>172.667</v>
      </c>
      <c r="I72" s="95">
        <v>201.60400000000001</v>
      </c>
      <c r="J72" s="95">
        <v>948.20399999999995</v>
      </c>
      <c r="K72" s="96" t="s">
        <v>26</v>
      </c>
      <c r="L72" s="97" t="s">
        <v>310</v>
      </c>
      <c r="M72" s="96">
        <f t="shared" ca="1" si="30"/>
        <v>27</v>
      </c>
      <c r="N72" s="69"/>
      <c r="O72" s="69"/>
      <c r="AZ72" s="86" t="s">
        <v>420</v>
      </c>
      <c r="BA72" s="107">
        <v>11</v>
      </c>
      <c r="BB72" s="86" t="s">
        <v>472</v>
      </c>
      <c r="BC72" s="86" t="s">
        <v>473</v>
      </c>
    </row>
    <row r="73" spans="1:55" ht="18" hidden="1" x14ac:dyDescent="0.35">
      <c r="B73" s="19"/>
      <c r="C73" s="26" t="s">
        <v>27</v>
      </c>
      <c r="D73" s="11"/>
      <c r="E73" s="11"/>
      <c r="F73" s="20">
        <f>SUBTOTAL(9,F69:F72)</f>
        <v>510.92</v>
      </c>
      <c r="G73" s="21">
        <f>F73</f>
        <v>510.92</v>
      </c>
      <c r="H73" s="20">
        <f>SUBTOTAL(9,H69:H72)</f>
        <v>793.02700000000016</v>
      </c>
      <c r="I73" s="20">
        <f>SUBTOTAL(9,I69:I72)</f>
        <v>1303.9470000000001</v>
      </c>
      <c r="J73" s="20"/>
      <c r="K73" s="15"/>
      <c r="L73" s="65"/>
      <c r="M73" s="15"/>
      <c r="N73" s="69"/>
      <c r="O73" s="69"/>
      <c r="AZ73" s="86" t="s">
        <v>27</v>
      </c>
    </row>
    <row r="74" spans="1:55" ht="18" hidden="1" x14ac:dyDescent="0.35">
      <c r="B74" s="19"/>
      <c r="C74" s="26"/>
      <c r="D74" s="11"/>
      <c r="E74" s="11"/>
      <c r="F74" s="20"/>
      <c r="G74" s="21"/>
      <c r="H74" s="20"/>
      <c r="I74" s="20"/>
      <c r="J74" s="20"/>
      <c r="K74" s="15"/>
      <c r="L74" s="65"/>
      <c r="M74" s="15"/>
      <c r="N74" s="69"/>
      <c r="O74" s="69"/>
    </row>
    <row r="75" spans="1:55" ht="18" hidden="1" x14ac:dyDescent="0.35">
      <c r="A75" s="86">
        <v>6238</v>
      </c>
      <c r="B75" s="10">
        <v>45999</v>
      </c>
      <c r="C75" s="11" t="s">
        <v>265</v>
      </c>
      <c r="D75" s="11" t="s">
        <v>229</v>
      </c>
      <c r="E75" s="11" t="s">
        <v>13</v>
      </c>
      <c r="F75" s="12">
        <v>0</v>
      </c>
      <c r="G75" s="13"/>
      <c r="H75" s="14">
        <f t="shared" ref="H75:H77" si="31">I75-F75</f>
        <v>0.23</v>
      </c>
      <c r="I75" s="14">
        <v>0.23</v>
      </c>
      <c r="J75" s="14">
        <v>1989.6610000000001</v>
      </c>
      <c r="K75" s="15" t="s">
        <v>21</v>
      </c>
      <c r="L75" s="65" t="s">
        <v>396</v>
      </c>
      <c r="M75" s="15">
        <f t="shared" ref="M75:M77" ca="1" si="32">TODAY()-B75</f>
        <v>172</v>
      </c>
      <c r="N75" s="18">
        <v>42510.80050251256</v>
      </c>
      <c r="O75" s="18">
        <v>52.024237288135595</v>
      </c>
      <c r="AZ75" s="86" t="s">
        <v>399</v>
      </c>
      <c r="BA75" s="107">
        <v>6238</v>
      </c>
      <c r="BB75" s="86" t="s">
        <v>457</v>
      </c>
      <c r="BC75" s="86" t="s">
        <v>474</v>
      </c>
    </row>
    <row r="76" spans="1:55" ht="18" hidden="1" x14ac:dyDescent="0.35">
      <c r="A76" s="86">
        <v>6383</v>
      </c>
      <c r="B76" s="10">
        <v>46148</v>
      </c>
      <c r="C76" s="11" t="s">
        <v>371</v>
      </c>
      <c r="D76" s="11" t="s">
        <v>229</v>
      </c>
      <c r="E76" s="11" t="s">
        <v>13</v>
      </c>
      <c r="F76" s="12">
        <f>2099.561-336-60-10-181-90-35-25-30-229-62-125-43-100-61-115</f>
        <v>597.56100000000015</v>
      </c>
      <c r="G76" s="13"/>
      <c r="H76" s="14">
        <f t="shared" si="31"/>
        <v>704.88199999999983</v>
      </c>
      <c r="I76" s="14">
        <v>1302.443</v>
      </c>
      <c r="J76" s="14">
        <v>2099.5610000000001</v>
      </c>
      <c r="K76" s="15" t="s">
        <v>21</v>
      </c>
      <c r="L76" s="65" t="s">
        <v>396</v>
      </c>
      <c r="M76" s="15">
        <f t="shared" ca="1" si="32"/>
        <v>23</v>
      </c>
      <c r="N76" s="18">
        <v>75695.217000125253</v>
      </c>
      <c r="O76" s="18">
        <v>69.474999999999994</v>
      </c>
      <c r="AZ76" s="86" t="s">
        <v>399</v>
      </c>
      <c r="BA76" s="107">
        <v>6383</v>
      </c>
      <c r="BB76" s="86" t="s">
        <v>472</v>
      </c>
      <c r="BC76" s="86" t="s">
        <v>473</v>
      </c>
    </row>
    <row r="77" spans="1:55" ht="18" hidden="1" x14ac:dyDescent="0.35">
      <c r="A77" s="86">
        <v>6146</v>
      </c>
      <c r="B77" s="10">
        <v>45948</v>
      </c>
      <c r="C77" s="11" t="s">
        <v>253</v>
      </c>
      <c r="D77" s="11" t="s">
        <v>229</v>
      </c>
      <c r="E77" s="11" t="s">
        <v>9</v>
      </c>
      <c r="F77" s="12">
        <f>93.71-60-25</f>
        <v>8.7099999999999937</v>
      </c>
      <c r="G77" s="13"/>
      <c r="H77" s="14">
        <f t="shared" si="31"/>
        <v>2.3520000000000056</v>
      </c>
      <c r="I77" s="14">
        <v>11.061999999999999</v>
      </c>
      <c r="J77" s="14">
        <v>4979.1419999999998</v>
      </c>
      <c r="K77" s="15" t="s">
        <v>32</v>
      </c>
      <c r="L77" s="65" t="s">
        <v>396</v>
      </c>
      <c r="M77" s="15">
        <f t="shared" ca="1" si="32"/>
        <v>223</v>
      </c>
      <c r="N77" s="18">
        <v>47695.293400000002</v>
      </c>
      <c r="O77" s="18">
        <v>46.246851851851851</v>
      </c>
      <c r="AZ77" s="86" t="s">
        <v>399</v>
      </c>
      <c r="BA77" s="107">
        <v>6146</v>
      </c>
      <c r="BB77" s="86" t="s">
        <v>400</v>
      </c>
      <c r="BC77" s="86" t="s">
        <v>475</v>
      </c>
    </row>
    <row r="78" spans="1:55" ht="18" hidden="1" x14ac:dyDescent="0.35">
      <c r="B78" s="19"/>
      <c r="C78" s="26" t="s">
        <v>27</v>
      </c>
      <c r="D78" s="11"/>
      <c r="E78" s="11"/>
      <c r="F78" s="20">
        <f>SUBTOTAL(9,F75:F77)</f>
        <v>0</v>
      </c>
      <c r="G78" s="21">
        <f>F78</f>
        <v>0</v>
      </c>
      <c r="H78" s="20">
        <f>SUBTOTAL(9,H75:H77)</f>
        <v>0</v>
      </c>
      <c r="I78" s="20">
        <f>SUBTOTAL(9,I75:I77)</f>
        <v>0</v>
      </c>
      <c r="J78" s="20"/>
      <c r="K78" s="15"/>
      <c r="L78" s="65"/>
      <c r="M78" s="15"/>
      <c r="N78" s="69"/>
      <c r="O78" s="69"/>
      <c r="AZ78" s="86" t="s">
        <v>27</v>
      </c>
    </row>
    <row r="79" spans="1:55" ht="18" hidden="1" x14ac:dyDescent="0.35">
      <c r="B79" s="19"/>
      <c r="C79" s="11"/>
      <c r="D79" s="11"/>
      <c r="E79" s="11"/>
      <c r="F79" s="12"/>
      <c r="G79" s="13"/>
      <c r="H79" s="13"/>
      <c r="I79" s="27"/>
      <c r="J79" s="27"/>
      <c r="K79" s="15"/>
      <c r="L79" s="65"/>
      <c r="M79" s="15"/>
      <c r="N79" s="69"/>
      <c r="O79" s="69"/>
    </row>
    <row r="80" spans="1:55" ht="18" hidden="1" x14ac:dyDescent="0.35">
      <c r="A80" s="86">
        <v>6323</v>
      </c>
      <c r="B80" s="10">
        <v>46123</v>
      </c>
      <c r="C80" s="11" t="s">
        <v>344</v>
      </c>
      <c r="D80" s="11" t="s">
        <v>84</v>
      </c>
      <c r="E80" s="11" t="s">
        <v>9</v>
      </c>
      <c r="F80" s="12">
        <f>139.387-60+45-30-100</f>
        <v>-5.6129999999999995</v>
      </c>
      <c r="G80" s="13"/>
      <c r="H80" s="14">
        <f t="shared" ref="H80" si="33">I80-F80</f>
        <v>300.41000000000003</v>
      </c>
      <c r="I80" s="14">
        <v>294.79700000000003</v>
      </c>
      <c r="J80" s="14">
        <v>999.42700000000002</v>
      </c>
      <c r="K80" s="15" t="s">
        <v>47</v>
      </c>
      <c r="L80" s="65" t="s">
        <v>396</v>
      </c>
      <c r="M80" s="15">
        <f t="shared" ref="M80" ca="1" si="34">TODAY()-B80</f>
        <v>48</v>
      </c>
      <c r="N80" s="18">
        <v>78611.74750131827</v>
      </c>
      <c r="O80" s="18">
        <v>110.72058823529412</v>
      </c>
      <c r="AZ80" s="86" t="s">
        <v>399</v>
      </c>
      <c r="BA80" s="107">
        <v>6323</v>
      </c>
      <c r="BB80" s="86" t="s">
        <v>454</v>
      </c>
      <c r="BC80" s="86">
        <v>1</v>
      </c>
    </row>
    <row r="81" spans="1:57" ht="18" hidden="1" x14ac:dyDescent="0.35">
      <c r="B81" s="19"/>
      <c r="C81" s="26" t="s">
        <v>27</v>
      </c>
      <c r="D81" s="11"/>
      <c r="E81" s="11"/>
      <c r="F81" s="20">
        <f>SUBTOTAL(9,F80:F80)</f>
        <v>0</v>
      </c>
      <c r="G81" s="21">
        <f>F81</f>
        <v>0</v>
      </c>
      <c r="H81" s="20">
        <f>SUBTOTAL(9,H80:H80)</f>
        <v>0</v>
      </c>
      <c r="I81" s="20">
        <f>SUBTOTAL(9,I80:I80)</f>
        <v>0</v>
      </c>
      <c r="J81" s="20"/>
      <c r="K81" s="15"/>
      <c r="L81" s="65"/>
      <c r="M81" s="15"/>
      <c r="N81" s="69"/>
      <c r="O81" s="69"/>
      <c r="AZ81" s="86" t="s">
        <v>27</v>
      </c>
    </row>
    <row r="82" spans="1:57" ht="18" hidden="1" x14ac:dyDescent="0.35">
      <c r="B82" s="19"/>
      <c r="C82" s="26"/>
      <c r="D82" s="11"/>
      <c r="E82" s="11"/>
      <c r="F82" s="20"/>
      <c r="G82" s="21"/>
      <c r="H82" s="20"/>
      <c r="I82" s="20"/>
      <c r="J82" s="20"/>
      <c r="K82" s="15"/>
      <c r="L82" s="65"/>
      <c r="M82" s="15"/>
      <c r="N82" s="69"/>
      <c r="O82" s="69"/>
    </row>
    <row r="83" spans="1:57" ht="18" hidden="1" x14ac:dyDescent="0.35">
      <c r="A83" s="86">
        <v>6270</v>
      </c>
      <c r="B83" s="10">
        <v>46068</v>
      </c>
      <c r="C83" s="11" t="s">
        <v>293</v>
      </c>
      <c r="D83" s="11" t="s">
        <v>294</v>
      </c>
      <c r="E83" s="11" t="s">
        <v>9</v>
      </c>
      <c r="F83" s="12">
        <f>106.651-15-25-20</f>
        <v>46.650999999999996</v>
      </c>
      <c r="G83" s="13"/>
      <c r="H83" s="14">
        <f t="shared" ref="H83" si="35">I83-F83</f>
        <v>25.160000000000011</v>
      </c>
      <c r="I83" s="14">
        <v>71.811000000000007</v>
      </c>
      <c r="J83" s="14">
        <v>426.50099999999998</v>
      </c>
      <c r="K83" s="15" t="s">
        <v>32</v>
      </c>
      <c r="L83" s="65" t="s">
        <v>396</v>
      </c>
      <c r="M83" s="15">
        <f t="shared" ref="M83" ca="1" si="36">TODAY()-B83</f>
        <v>103</v>
      </c>
      <c r="N83" s="18">
        <v>84836.10996793129</v>
      </c>
      <c r="O83" s="18">
        <v>107.65</v>
      </c>
      <c r="AZ83" s="86" t="s">
        <v>399</v>
      </c>
      <c r="BA83" s="107">
        <v>6270</v>
      </c>
      <c r="BB83" s="86" t="s">
        <v>476</v>
      </c>
    </row>
    <row r="84" spans="1:57" ht="18" hidden="1" x14ac:dyDescent="0.35">
      <c r="B84" s="19"/>
      <c r="C84" s="26"/>
      <c r="D84" s="11"/>
      <c r="E84" s="11"/>
      <c r="F84" s="20">
        <f>SUBTOTAL(9,F83:F83)</f>
        <v>0</v>
      </c>
      <c r="G84" s="21">
        <f>F84</f>
        <v>0</v>
      </c>
      <c r="H84" s="20">
        <f>SUBTOTAL(9,H83:H83)</f>
        <v>0</v>
      </c>
      <c r="I84" s="20">
        <f>SUBTOTAL(9,I83:I83)</f>
        <v>0</v>
      </c>
      <c r="J84" s="20"/>
      <c r="K84" s="15"/>
      <c r="L84" s="65"/>
      <c r="M84" s="15"/>
      <c r="N84" s="69"/>
      <c r="O84" s="69"/>
    </row>
    <row r="85" spans="1:57" ht="18" hidden="1" x14ac:dyDescent="0.35">
      <c r="B85" s="19"/>
      <c r="C85" s="26"/>
      <c r="D85" s="11"/>
      <c r="E85" s="11"/>
      <c r="F85" s="13"/>
      <c r="G85" s="13"/>
      <c r="H85" s="13"/>
      <c r="I85" s="27"/>
      <c r="J85" s="27"/>
      <c r="K85" s="15"/>
      <c r="L85" s="65"/>
      <c r="M85" s="15"/>
      <c r="N85" s="69"/>
      <c r="O85" s="69"/>
    </row>
    <row r="86" spans="1:57" ht="18" hidden="1" x14ac:dyDescent="0.35">
      <c r="A86" s="86">
        <v>6230</v>
      </c>
      <c r="B86" s="10">
        <v>46013</v>
      </c>
      <c r="C86" s="11" t="s">
        <v>271</v>
      </c>
      <c r="D86" s="11" t="s">
        <v>88</v>
      </c>
      <c r="E86" s="11" t="s">
        <v>9</v>
      </c>
      <c r="F86" s="14">
        <v>30.721</v>
      </c>
      <c r="G86" s="20"/>
      <c r="H86" s="14">
        <f t="shared" ref="H86:H100" si="37">I86-F86</f>
        <v>21.148999999999997</v>
      </c>
      <c r="I86" s="14">
        <v>51.87</v>
      </c>
      <c r="J86" s="14">
        <v>2838.95</v>
      </c>
      <c r="K86" s="15" t="s">
        <v>29</v>
      </c>
      <c r="L86" s="65" t="s">
        <v>396</v>
      </c>
      <c r="M86" s="15">
        <f t="shared" ref="M86:M100" ca="1" si="38">TODAY()-B86</f>
        <v>158</v>
      </c>
      <c r="N86" s="18">
        <v>72839.8</v>
      </c>
      <c r="O86" s="18">
        <v>75.423400000000001</v>
      </c>
      <c r="AZ86" s="86" t="s">
        <v>399</v>
      </c>
      <c r="BA86" s="107">
        <v>6230</v>
      </c>
      <c r="BB86" s="86" t="s">
        <v>400</v>
      </c>
      <c r="BC86" s="86" t="s">
        <v>440</v>
      </c>
    </row>
    <row r="87" spans="1:57" ht="18" hidden="1" x14ac:dyDescent="0.35">
      <c r="A87" s="86">
        <v>6311</v>
      </c>
      <c r="B87" s="10">
        <v>46091</v>
      </c>
      <c r="C87" s="11" t="s">
        <v>317</v>
      </c>
      <c r="D87" s="11" t="s">
        <v>88</v>
      </c>
      <c r="E87" s="11" t="s">
        <v>9</v>
      </c>
      <c r="F87" s="14">
        <f>1570.567-208.51-260-25+21+185-400</f>
        <v>883.05700000000002</v>
      </c>
      <c r="G87" s="20"/>
      <c r="H87" s="14">
        <f t="shared" si="37"/>
        <v>516.90100000000007</v>
      </c>
      <c r="I87" s="14">
        <v>1399.9580000000001</v>
      </c>
      <c r="J87" s="14">
        <v>1575</v>
      </c>
      <c r="K87" s="15" t="s">
        <v>32</v>
      </c>
      <c r="L87" s="65" t="s">
        <v>396</v>
      </c>
      <c r="M87" s="15">
        <f t="shared" ca="1" si="38"/>
        <v>80</v>
      </c>
      <c r="N87" s="18">
        <v>75312.05</v>
      </c>
      <c r="O87" s="18">
        <v>101.25</v>
      </c>
      <c r="AZ87" s="86" t="s">
        <v>399</v>
      </c>
      <c r="BA87" s="107">
        <v>6311</v>
      </c>
      <c r="BB87" s="86" t="s">
        <v>400</v>
      </c>
      <c r="BC87" s="86" t="s">
        <v>440</v>
      </c>
    </row>
    <row r="88" spans="1:57" ht="18" x14ac:dyDescent="0.35">
      <c r="B88" s="10">
        <v>46095</v>
      </c>
      <c r="C88" s="11" t="s">
        <v>325</v>
      </c>
      <c r="D88" s="11" t="s">
        <v>88</v>
      </c>
      <c r="E88" s="11" t="s">
        <v>9</v>
      </c>
      <c r="F88" s="14">
        <v>0</v>
      </c>
      <c r="G88" s="20"/>
      <c r="H88" s="14">
        <f t="shared" si="37"/>
        <v>447.33600000000001</v>
      </c>
      <c r="I88" s="14">
        <v>447.33600000000001</v>
      </c>
      <c r="J88" s="14">
        <v>1275.9259999999999</v>
      </c>
      <c r="K88" s="15" t="s">
        <v>32</v>
      </c>
      <c r="L88" s="65" t="s">
        <v>396</v>
      </c>
      <c r="M88" s="15">
        <f t="shared" ca="1" si="38"/>
        <v>76</v>
      </c>
      <c r="N88" s="69"/>
      <c r="O88" s="69"/>
      <c r="AZ88" s="86" t="s">
        <v>425</v>
      </c>
      <c r="BA88" s="107">
        <v>230</v>
      </c>
      <c r="BB88" s="86" t="s">
        <v>441</v>
      </c>
      <c r="BC88" s="86" t="s">
        <v>477</v>
      </c>
      <c r="BD88" s="106">
        <v>1275.9259999999999</v>
      </c>
      <c r="BE88" s="86" t="s">
        <v>478</v>
      </c>
    </row>
    <row r="89" spans="1:57" ht="18" x14ac:dyDescent="0.35">
      <c r="B89" s="10">
        <v>46095</v>
      </c>
      <c r="C89" s="11" t="s">
        <v>326</v>
      </c>
      <c r="D89" s="11" t="s">
        <v>88</v>
      </c>
      <c r="E89" s="11" t="s">
        <v>9</v>
      </c>
      <c r="F89" s="14">
        <v>0</v>
      </c>
      <c r="G89" s="20"/>
      <c r="H89" s="14">
        <f t="shared" si="37"/>
        <v>26.73</v>
      </c>
      <c r="I89" s="14">
        <v>26.73</v>
      </c>
      <c r="J89" s="14">
        <v>1000</v>
      </c>
      <c r="K89" s="15" t="s">
        <v>47</v>
      </c>
      <c r="L89" s="65" t="s">
        <v>396</v>
      </c>
      <c r="M89" s="15">
        <f t="shared" ca="1" si="38"/>
        <v>76</v>
      </c>
      <c r="N89" s="69"/>
      <c r="O89" s="69"/>
      <c r="AZ89" s="86" t="s">
        <v>425</v>
      </c>
      <c r="BA89" s="107">
        <v>234</v>
      </c>
      <c r="BB89" s="86" t="s">
        <v>479</v>
      </c>
      <c r="BC89" s="86" t="s">
        <v>480</v>
      </c>
      <c r="BD89" s="86" t="s">
        <v>481</v>
      </c>
    </row>
    <row r="90" spans="1:57" ht="18" hidden="1" x14ac:dyDescent="0.35">
      <c r="A90" s="86">
        <v>6344</v>
      </c>
      <c r="B90" s="10">
        <v>46136</v>
      </c>
      <c r="C90" s="11" t="s">
        <v>358</v>
      </c>
      <c r="D90" s="11" t="s">
        <v>88</v>
      </c>
      <c r="E90" s="11" t="s">
        <v>9</v>
      </c>
      <c r="F90" s="14">
        <f>1970.256</f>
        <v>1970.2560000000001</v>
      </c>
      <c r="G90" s="20"/>
      <c r="H90" s="14">
        <f t="shared" si="37"/>
        <v>0</v>
      </c>
      <c r="I90" s="14">
        <f>1960.109+10.147</f>
        <v>1970.2559999999999</v>
      </c>
      <c r="J90" s="14">
        <v>1984.7159999999999</v>
      </c>
      <c r="K90" s="15" t="s">
        <v>369</v>
      </c>
      <c r="L90" s="65" t="s">
        <v>396</v>
      </c>
      <c r="M90" s="15">
        <f t="shared" ca="1" si="38"/>
        <v>35</v>
      </c>
      <c r="N90" s="18">
        <v>105708.066751112</v>
      </c>
      <c r="O90" s="18"/>
      <c r="AZ90" s="86" t="s">
        <v>399</v>
      </c>
      <c r="BA90" s="107">
        <v>6344</v>
      </c>
      <c r="BB90" s="86" t="s">
        <v>482</v>
      </c>
      <c r="BC90" s="86" t="s">
        <v>483</v>
      </c>
    </row>
    <row r="91" spans="1:57" ht="18" x14ac:dyDescent="0.35">
      <c r="B91" s="73">
        <v>46045</v>
      </c>
      <c r="C91" s="74" t="s">
        <v>280</v>
      </c>
      <c r="D91" s="74" t="s">
        <v>88</v>
      </c>
      <c r="E91" s="74" t="s">
        <v>9</v>
      </c>
      <c r="F91" s="79">
        <v>0</v>
      </c>
      <c r="G91" s="81"/>
      <c r="H91" s="75">
        <f t="shared" si="37"/>
        <v>238.90100000000001</v>
      </c>
      <c r="I91" s="75">
        <v>238.90100000000001</v>
      </c>
      <c r="J91" s="75">
        <v>2084.1410000000001</v>
      </c>
      <c r="K91" s="77" t="s">
        <v>32</v>
      </c>
      <c r="L91" s="78" t="s">
        <v>235</v>
      </c>
      <c r="M91" s="77">
        <f t="shared" ca="1" si="38"/>
        <v>126</v>
      </c>
      <c r="N91" s="69"/>
      <c r="O91" s="69"/>
      <c r="AZ91" s="86" t="s">
        <v>435</v>
      </c>
      <c r="BA91" s="107">
        <v>320</v>
      </c>
      <c r="BB91" s="86" t="s">
        <v>472</v>
      </c>
      <c r="BC91" s="86" t="s">
        <v>484</v>
      </c>
    </row>
    <row r="92" spans="1:57" ht="18" x14ac:dyDescent="0.35">
      <c r="B92" s="73">
        <v>46085</v>
      </c>
      <c r="C92" s="74" t="s">
        <v>308</v>
      </c>
      <c r="D92" s="74" t="s">
        <v>88</v>
      </c>
      <c r="E92" s="74" t="s">
        <v>9</v>
      </c>
      <c r="F92" s="79">
        <f>3413.956-57.699-25</f>
        <v>3331.2570000000001</v>
      </c>
      <c r="G92" s="81"/>
      <c r="H92" s="75">
        <f t="shared" si="37"/>
        <v>286.46900000000005</v>
      </c>
      <c r="I92" s="75">
        <v>3617.7260000000001</v>
      </c>
      <c r="J92" s="75">
        <v>5700</v>
      </c>
      <c r="K92" s="77" t="s">
        <v>309</v>
      </c>
      <c r="L92" s="78" t="s">
        <v>235</v>
      </c>
      <c r="M92" s="77">
        <f t="shared" ca="1" si="38"/>
        <v>86</v>
      </c>
      <c r="N92" s="69"/>
      <c r="O92" s="69"/>
      <c r="AZ92" s="86" t="s">
        <v>435</v>
      </c>
      <c r="BA92" s="107">
        <v>317</v>
      </c>
      <c r="BB92" s="86" t="s">
        <v>485</v>
      </c>
      <c r="BC92" s="86" t="s">
        <v>486</v>
      </c>
    </row>
    <row r="93" spans="1:57" ht="18" hidden="1" x14ac:dyDescent="0.35">
      <c r="A93" s="86">
        <v>6231</v>
      </c>
      <c r="B93" s="10">
        <v>46009</v>
      </c>
      <c r="C93" s="11" t="s">
        <v>267</v>
      </c>
      <c r="D93" s="11" t="s">
        <v>88</v>
      </c>
      <c r="E93" s="11" t="s">
        <v>13</v>
      </c>
      <c r="F93" s="12">
        <v>0</v>
      </c>
      <c r="G93" s="13"/>
      <c r="H93" s="14">
        <f t="shared" si="37"/>
        <v>0.751</v>
      </c>
      <c r="I93" s="14">
        <v>0.751</v>
      </c>
      <c r="J93" s="14">
        <v>1416.0609999999999</v>
      </c>
      <c r="K93" s="15" t="s">
        <v>21</v>
      </c>
      <c r="L93" s="65" t="s">
        <v>396</v>
      </c>
      <c r="M93" s="15">
        <f t="shared" ca="1" si="38"/>
        <v>162</v>
      </c>
      <c r="N93" s="18">
        <v>73348.744000000006</v>
      </c>
      <c r="O93" s="18">
        <v>77.436206896551724</v>
      </c>
      <c r="AZ93" s="86" t="s">
        <v>399</v>
      </c>
      <c r="BA93" s="107">
        <v>6231</v>
      </c>
      <c r="BB93" s="86" t="s">
        <v>400</v>
      </c>
      <c r="BC93" s="86" t="s">
        <v>440</v>
      </c>
    </row>
    <row r="94" spans="1:57" ht="18" hidden="1" x14ac:dyDescent="0.35">
      <c r="A94" s="86">
        <v>6307</v>
      </c>
      <c r="B94" s="10">
        <v>46082</v>
      </c>
      <c r="C94" s="11" t="s">
        <v>315</v>
      </c>
      <c r="D94" s="11" t="s">
        <v>88</v>
      </c>
      <c r="E94" s="11" t="s">
        <v>13</v>
      </c>
      <c r="F94" s="12">
        <v>0</v>
      </c>
      <c r="G94" s="13"/>
      <c r="H94" s="14">
        <f t="shared" si="37"/>
        <v>188.077</v>
      </c>
      <c r="I94" s="14">
        <v>188.077</v>
      </c>
      <c r="J94" s="14">
        <v>1895.021</v>
      </c>
      <c r="K94" s="15" t="s">
        <v>21</v>
      </c>
      <c r="L94" s="65" t="s">
        <v>396</v>
      </c>
      <c r="M94" s="15">
        <f t="shared" ca="1" si="38"/>
        <v>89</v>
      </c>
      <c r="N94" s="18">
        <v>76093.460000000006</v>
      </c>
      <c r="O94" s="18">
        <v>99.808888888888887</v>
      </c>
      <c r="AZ94" s="86" t="s">
        <v>399</v>
      </c>
      <c r="BA94" s="107">
        <v>6307</v>
      </c>
      <c r="BB94" s="86" t="s">
        <v>472</v>
      </c>
      <c r="BC94" s="86" t="s">
        <v>487</v>
      </c>
    </row>
    <row r="95" spans="1:57" ht="18" hidden="1" x14ac:dyDescent="0.35">
      <c r="A95" s="86">
        <v>6308</v>
      </c>
      <c r="B95" s="10">
        <v>46082</v>
      </c>
      <c r="C95" s="11" t="s">
        <v>316</v>
      </c>
      <c r="D95" s="11" t="s">
        <v>88</v>
      </c>
      <c r="E95" s="11" t="s">
        <v>13</v>
      </c>
      <c r="F95" s="12">
        <f>1904.769-118-700-160-20-75-30-140-25-92-20</f>
        <v>524.76900000000001</v>
      </c>
      <c r="G95" s="13"/>
      <c r="H95" s="14">
        <f t="shared" si="37"/>
        <v>537.11000000000013</v>
      </c>
      <c r="I95" s="14">
        <f>1904.769-219.49-174.81-223.05-225.54</f>
        <v>1061.8790000000001</v>
      </c>
      <c r="J95" s="14">
        <v>1904.769</v>
      </c>
      <c r="K95" s="15" t="s">
        <v>21</v>
      </c>
      <c r="L95" s="65" t="s">
        <v>396</v>
      </c>
      <c r="M95" s="15">
        <f t="shared" ca="1" si="38"/>
        <v>89</v>
      </c>
      <c r="N95" s="18">
        <v>76093.460001026295</v>
      </c>
      <c r="O95" s="18">
        <v>107.63499999999999</v>
      </c>
      <c r="AZ95" s="86" t="s">
        <v>399</v>
      </c>
      <c r="BA95" s="107">
        <v>6308</v>
      </c>
      <c r="BB95" s="86" t="s">
        <v>472</v>
      </c>
      <c r="BC95" s="86" t="s">
        <v>487</v>
      </c>
    </row>
    <row r="96" spans="1:57" ht="18" x14ac:dyDescent="0.35">
      <c r="B96" s="73">
        <v>46041</v>
      </c>
      <c r="C96" s="74" t="s">
        <v>277</v>
      </c>
      <c r="D96" s="74" t="s">
        <v>88</v>
      </c>
      <c r="E96" s="74" t="s">
        <v>13</v>
      </c>
      <c r="F96" s="79">
        <v>-15.192</v>
      </c>
      <c r="G96" s="81"/>
      <c r="H96" s="75">
        <f t="shared" si="37"/>
        <v>15.524000000000001</v>
      </c>
      <c r="I96" s="75">
        <v>0.33200000000000002</v>
      </c>
      <c r="J96" s="75">
        <v>1007.468</v>
      </c>
      <c r="K96" s="77" t="s">
        <v>21</v>
      </c>
      <c r="L96" s="78" t="s">
        <v>235</v>
      </c>
      <c r="M96" s="77">
        <f t="shared" ca="1" si="38"/>
        <v>130</v>
      </c>
      <c r="N96" s="69"/>
      <c r="O96" s="69"/>
      <c r="AZ96" s="86" t="s">
        <v>435</v>
      </c>
      <c r="BA96" s="107">
        <v>319</v>
      </c>
      <c r="BB96" s="86" t="s">
        <v>472</v>
      </c>
      <c r="BC96" s="86" t="s">
        <v>484</v>
      </c>
    </row>
    <row r="97" spans="1:56" ht="18" x14ac:dyDescent="0.35">
      <c r="B97" s="73">
        <v>46078</v>
      </c>
      <c r="C97" s="74" t="s">
        <v>300</v>
      </c>
      <c r="D97" s="74" t="s">
        <v>88</v>
      </c>
      <c r="E97" s="74" t="s">
        <v>13</v>
      </c>
      <c r="F97" s="79">
        <v>0</v>
      </c>
      <c r="G97" s="81"/>
      <c r="H97" s="75">
        <f t="shared" si="37"/>
        <v>3.202</v>
      </c>
      <c r="I97" s="75">
        <v>3.202</v>
      </c>
      <c r="J97" s="75">
        <v>1992.1869999999999</v>
      </c>
      <c r="K97" s="77" t="s">
        <v>21</v>
      </c>
      <c r="L97" s="78" t="s">
        <v>235</v>
      </c>
      <c r="M97" s="77">
        <f t="shared" ca="1" si="38"/>
        <v>93</v>
      </c>
      <c r="N97" s="69"/>
      <c r="O97" s="69"/>
      <c r="AZ97" s="86" t="s">
        <v>435</v>
      </c>
      <c r="BA97" s="107" t="s">
        <v>488</v>
      </c>
      <c r="BB97" s="86" t="s">
        <v>489</v>
      </c>
      <c r="BC97" s="86" t="s">
        <v>490</v>
      </c>
    </row>
    <row r="98" spans="1:56" ht="18" hidden="1" x14ac:dyDescent="0.35">
      <c r="A98" s="86">
        <v>6273</v>
      </c>
      <c r="B98" s="10">
        <v>46060</v>
      </c>
      <c r="C98" s="11" t="s">
        <v>286</v>
      </c>
      <c r="D98" s="11" t="s">
        <v>88</v>
      </c>
      <c r="E98" s="11" t="s">
        <v>19</v>
      </c>
      <c r="F98" s="12">
        <v>0</v>
      </c>
      <c r="G98" s="13"/>
      <c r="H98" s="14">
        <f t="shared" si="37"/>
        <v>30.495999999999999</v>
      </c>
      <c r="I98" s="14">
        <v>30.495999999999999</v>
      </c>
      <c r="J98" s="14">
        <v>1911.7260000000001</v>
      </c>
      <c r="K98" s="15" t="s">
        <v>26</v>
      </c>
      <c r="L98" s="65" t="s">
        <v>396</v>
      </c>
      <c r="M98" s="15">
        <f t="shared" ca="1" si="38"/>
        <v>111</v>
      </c>
      <c r="N98" s="18">
        <v>72676.141649462676</v>
      </c>
      <c r="O98" s="18">
        <v>84.935416666666669</v>
      </c>
      <c r="AZ98" s="86" t="s">
        <v>399</v>
      </c>
      <c r="BA98" s="107">
        <v>6273</v>
      </c>
      <c r="BB98" s="86" t="s">
        <v>457</v>
      </c>
      <c r="BC98" s="86" t="s">
        <v>458</v>
      </c>
    </row>
    <row r="99" spans="1:56" ht="18" hidden="1" x14ac:dyDescent="0.35">
      <c r="A99" s="86">
        <v>6353</v>
      </c>
      <c r="B99" s="10">
        <v>46131</v>
      </c>
      <c r="C99" s="11" t="s">
        <v>353</v>
      </c>
      <c r="D99" s="11" t="s">
        <v>88</v>
      </c>
      <c r="E99" s="11" t="s">
        <v>19</v>
      </c>
      <c r="F99" s="12">
        <f>1048.539-178-216-510-50-73-16-250</f>
        <v>-244.46100000000001</v>
      </c>
      <c r="G99" s="13"/>
      <c r="H99" s="14">
        <f t="shared" si="37"/>
        <v>249.26600000000002</v>
      </c>
      <c r="I99" s="14">
        <v>4.8049999999999997</v>
      </c>
      <c r="J99" s="14">
        <v>1048.539</v>
      </c>
      <c r="K99" s="15" t="s">
        <v>26</v>
      </c>
      <c r="L99" s="65" t="s">
        <v>396</v>
      </c>
      <c r="M99" s="15">
        <f t="shared" ca="1" si="38"/>
        <v>40</v>
      </c>
      <c r="N99" s="18">
        <v>109058.93699709786</v>
      </c>
      <c r="O99" s="18">
        <v>98.195454545454552</v>
      </c>
      <c r="AZ99" s="86" t="s">
        <v>399</v>
      </c>
      <c r="BA99" s="107">
        <v>6353</v>
      </c>
      <c r="BB99" s="86" t="s">
        <v>491</v>
      </c>
      <c r="BC99" s="86" t="s">
        <v>492</v>
      </c>
    </row>
    <row r="100" spans="1:56" ht="18" hidden="1" x14ac:dyDescent="0.35">
      <c r="A100" s="86">
        <v>6297</v>
      </c>
      <c r="B100" s="10">
        <v>46086</v>
      </c>
      <c r="C100" s="11" t="s">
        <v>307</v>
      </c>
      <c r="D100" s="11" t="s">
        <v>88</v>
      </c>
      <c r="E100" s="11" t="s">
        <v>166</v>
      </c>
      <c r="F100" s="12">
        <f>93.713-120</f>
        <v>-26.287000000000006</v>
      </c>
      <c r="G100" s="13"/>
      <c r="H100" s="14">
        <f t="shared" si="37"/>
        <v>402.01</v>
      </c>
      <c r="I100" s="14">
        <v>375.72300000000001</v>
      </c>
      <c r="J100" s="14">
        <v>2100</v>
      </c>
      <c r="K100" s="15" t="s">
        <v>167</v>
      </c>
      <c r="L100" s="65" t="s">
        <v>396</v>
      </c>
      <c r="M100" s="15">
        <f t="shared" ca="1" si="38"/>
        <v>85</v>
      </c>
      <c r="N100" s="18">
        <v>76908.904399999999</v>
      </c>
      <c r="O100" s="18">
        <v>98.971739130434784</v>
      </c>
      <c r="AZ100" s="86" t="s">
        <v>399</v>
      </c>
      <c r="BA100" s="107">
        <v>6297</v>
      </c>
      <c r="BB100" s="86" t="s">
        <v>451</v>
      </c>
      <c r="BC100" s="86" t="s">
        <v>493</v>
      </c>
    </row>
    <row r="101" spans="1:56" ht="18" hidden="1" x14ac:dyDescent="0.35">
      <c r="B101" s="19"/>
      <c r="C101" s="26" t="s">
        <v>27</v>
      </c>
      <c r="D101" s="11"/>
      <c r="E101" s="11"/>
      <c r="F101" s="20">
        <f>SUBTOTAL(9,F86:F100)</f>
        <v>3316.0650000000001</v>
      </c>
      <c r="G101" s="21">
        <f>F101</f>
        <v>3316.0650000000001</v>
      </c>
      <c r="H101" s="20">
        <f>SUBTOTAL(9,H86:H100)</f>
        <v>1018.1620000000001</v>
      </c>
      <c r="I101" s="20">
        <f>SUBTOTAL(9,I86:I100)</f>
        <v>4334.2270000000008</v>
      </c>
      <c r="J101" s="20"/>
      <c r="K101" s="15"/>
      <c r="L101" s="65"/>
      <c r="M101" s="15"/>
      <c r="N101" s="69"/>
      <c r="O101" s="69"/>
      <c r="AZ101" s="86" t="s">
        <v>27</v>
      </c>
    </row>
    <row r="102" spans="1:56" ht="18" hidden="1" x14ac:dyDescent="0.35">
      <c r="B102" s="19"/>
      <c r="C102" s="11"/>
      <c r="D102" s="11"/>
      <c r="E102" s="11"/>
      <c r="F102" s="12"/>
      <c r="G102" s="13"/>
      <c r="H102" s="13"/>
      <c r="I102" s="20"/>
      <c r="J102" s="20"/>
      <c r="K102" s="15"/>
      <c r="L102" s="65"/>
      <c r="M102" s="15"/>
      <c r="N102" s="69"/>
      <c r="O102" s="69"/>
    </row>
    <row r="103" spans="1:56" ht="19.5" customHeight="1" x14ac:dyDescent="0.35">
      <c r="B103" s="10">
        <v>46107</v>
      </c>
      <c r="C103" s="26" t="s">
        <v>342</v>
      </c>
      <c r="D103" s="11" t="s">
        <v>99</v>
      </c>
      <c r="E103" s="11" t="s">
        <v>13</v>
      </c>
      <c r="F103" s="12">
        <v>3.53</v>
      </c>
      <c r="G103" s="21"/>
      <c r="H103" s="14">
        <f t="shared" ref="H103:H104" si="39">I103-F103</f>
        <v>76.438000000000002</v>
      </c>
      <c r="I103" s="14">
        <v>79.968000000000004</v>
      </c>
      <c r="J103" s="14">
        <v>500</v>
      </c>
      <c r="K103" s="15" t="s">
        <v>21</v>
      </c>
      <c r="L103" s="65" t="s">
        <v>396</v>
      </c>
      <c r="M103" s="15">
        <f t="shared" ref="M103:M104" ca="1" si="40">TODAY()-B103</f>
        <v>64</v>
      </c>
      <c r="N103" s="69"/>
      <c r="O103" s="69"/>
      <c r="AZ103" s="86" t="s">
        <v>425</v>
      </c>
      <c r="BA103" s="107">
        <v>237</v>
      </c>
      <c r="BB103" s="86" t="s">
        <v>400</v>
      </c>
      <c r="BC103" s="86" t="s">
        <v>445</v>
      </c>
    </row>
    <row r="104" spans="1:56" ht="19.5" customHeight="1" x14ac:dyDescent="0.35">
      <c r="B104" s="91">
        <v>46140</v>
      </c>
      <c r="C104" s="92" t="s">
        <v>367</v>
      </c>
      <c r="D104" s="92" t="s">
        <v>99</v>
      </c>
      <c r="E104" s="92" t="s">
        <v>13</v>
      </c>
      <c r="F104" s="93">
        <f>1494.536-60-175-30-23-200+32.4-20-152-50-50-121-85-430-55-30-35-25-30</f>
        <v>-44.063999999999851</v>
      </c>
      <c r="G104" s="100"/>
      <c r="H104" s="95">
        <f t="shared" si="39"/>
        <v>862.77999999999986</v>
      </c>
      <c r="I104" s="95">
        <v>818.71600000000001</v>
      </c>
      <c r="J104" s="95">
        <v>1494.5360000000001</v>
      </c>
      <c r="K104" s="96" t="s">
        <v>21</v>
      </c>
      <c r="L104" s="97" t="s">
        <v>310</v>
      </c>
      <c r="M104" s="96">
        <f t="shared" ca="1" si="40"/>
        <v>31</v>
      </c>
      <c r="N104" s="69"/>
      <c r="O104" s="69"/>
      <c r="AZ104" s="86" t="s">
        <v>420</v>
      </c>
      <c r="BA104" s="107">
        <v>13</v>
      </c>
      <c r="BB104" s="86" t="s">
        <v>400</v>
      </c>
      <c r="BC104" s="86" t="s">
        <v>494</v>
      </c>
    </row>
    <row r="105" spans="1:56" ht="19.5" hidden="1" customHeight="1" x14ac:dyDescent="0.35">
      <c r="B105" s="10"/>
      <c r="C105" s="26" t="s">
        <v>27</v>
      </c>
      <c r="D105" s="11"/>
      <c r="E105" s="11"/>
      <c r="F105" s="20">
        <f>SUBTOTAL(9,F103:F104)</f>
        <v>-40.53399999999985</v>
      </c>
      <c r="G105" s="21">
        <f>F105</f>
        <v>-40.53399999999985</v>
      </c>
      <c r="H105" s="20">
        <f>SUBTOTAL(9,H103:H104)</f>
        <v>939.21799999999985</v>
      </c>
      <c r="I105" s="20">
        <f>SUBTOTAL(9,I103:I104)</f>
        <v>898.68399999999997</v>
      </c>
      <c r="J105" s="20"/>
      <c r="K105" s="15"/>
      <c r="L105" s="65"/>
      <c r="M105" s="15"/>
      <c r="N105" s="69"/>
      <c r="O105" s="69"/>
      <c r="AZ105" s="86" t="s">
        <v>27</v>
      </c>
    </row>
    <row r="106" spans="1:56" ht="18" hidden="1" x14ac:dyDescent="0.35">
      <c r="B106" s="19"/>
      <c r="C106" s="26"/>
      <c r="D106" s="11"/>
      <c r="E106" s="11"/>
      <c r="F106" s="13"/>
      <c r="G106" s="13"/>
      <c r="H106" s="13"/>
      <c r="I106" s="20"/>
      <c r="J106" s="20"/>
      <c r="K106" s="15"/>
      <c r="L106" s="65"/>
      <c r="M106" s="15"/>
      <c r="N106" s="69"/>
      <c r="O106" s="69"/>
    </row>
    <row r="107" spans="1:56" ht="18" hidden="1" x14ac:dyDescent="0.35">
      <c r="A107" s="86">
        <v>6215</v>
      </c>
      <c r="B107" s="10">
        <v>45989</v>
      </c>
      <c r="C107" s="11" t="s">
        <v>263</v>
      </c>
      <c r="D107" s="11" t="s">
        <v>108</v>
      </c>
      <c r="E107" s="11" t="s">
        <v>9</v>
      </c>
      <c r="F107" s="12">
        <v>0</v>
      </c>
      <c r="G107" s="13"/>
      <c r="H107" s="14">
        <f t="shared" ref="H107" si="41">I107-F107</f>
        <v>0.49399999999999999</v>
      </c>
      <c r="I107" s="14">
        <v>0.49399999999999999</v>
      </c>
      <c r="J107" s="14">
        <v>487.03500000000003</v>
      </c>
      <c r="K107" s="15" t="s">
        <v>32</v>
      </c>
      <c r="L107" s="65" t="s">
        <v>396</v>
      </c>
      <c r="M107" s="15">
        <f t="shared" ref="M107" ca="1" si="42">TODAY()-B107</f>
        <v>182</v>
      </c>
      <c r="N107" s="18">
        <v>108126.4485086545</v>
      </c>
      <c r="O107" s="18">
        <v>119.71666666666665</v>
      </c>
      <c r="AZ107" s="86" t="s">
        <v>399</v>
      </c>
      <c r="BA107" s="107">
        <v>6215</v>
      </c>
      <c r="BB107" s="86" t="s">
        <v>495</v>
      </c>
      <c r="BC107" s="86" t="s">
        <v>496</v>
      </c>
      <c r="BD107" s="86" t="s">
        <v>416</v>
      </c>
    </row>
    <row r="108" spans="1:56" ht="18" hidden="1" x14ac:dyDescent="0.35">
      <c r="B108" s="19"/>
      <c r="C108" s="26" t="s">
        <v>27</v>
      </c>
      <c r="D108" s="11"/>
      <c r="E108" s="11"/>
      <c r="F108" s="20">
        <f>SUBTOTAL(9,F107:F107)</f>
        <v>0</v>
      </c>
      <c r="G108" s="21">
        <f>F108</f>
        <v>0</v>
      </c>
      <c r="H108" s="20">
        <f>SUBTOTAL(9,H107:H107)</f>
        <v>0</v>
      </c>
      <c r="I108" s="20">
        <f>SUBTOTAL(9,I107:I107)</f>
        <v>0</v>
      </c>
      <c r="J108" s="20"/>
      <c r="K108" s="15"/>
      <c r="L108" s="65"/>
      <c r="M108" s="15"/>
      <c r="N108" s="69"/>
      <c r="O108" s="69"/>
      <c r="AZ108" s="86" t="s">
        <v>27</v>
      </c>
    </row>
    <row r="109" spans="1:56" ht="18" hidden="1" x14ac:dyDescent="0.35">
      <c r="B109" s="19"/>
      <c r="C109" s="26"/>
      <c r="D109" s="11"/>
      <c r="E109" s="11"/>
      <c r="F109" s="13"/>
      <c r="G109" s="13"/>
      <c r="H109" s="13"/>
      <c r="I109" s="27"/>
      <c r="J109" s="27"/>
      <c r="K109" s="15"/>
      <c r="L109" s="65"/>
      <c r="M109" s="15"/>
      <c r="N109" s="69"/>
      <c r="O109" s="69"/>
    </row>
    <row r="110" spans="1:56" ht="18" hidden="1" x14ac:dyDescent="0.35">
      <c r="A110" s="86">
        <v>6303</v>
      </c>
      <c r="B110" s="10">
        <v>46075</v>
      </c>
      <c r="C110" s="11" t="s">
        <v>299</v>
      </c>
      <c r="D110" s="11" t="s">
        <v>228</v>
      </c>
      <c r="E110" s="11" t="s">
        <v>13</v>
      </c>
      <c r="F110" s="12">
        <v>0</v>
      </c>
      <c r="G110" s="13"/>
      <c r="H110" s="14">
        <f t="shared" ref="H110:H112" si="43">I110-F110</f>
        <v>8.0000000000000002E-3</v>
      </c>
      <c r="I110" s="14">
        <v>8.0000000000000002E-3</v>
      </c>
      <c r="J110" s="14">
        <v>1045.711</v>
      </c>
      <c r="K110" s="15" t="s">
        <v>21</v>
      </c>
      <c r="L110" s="65" t="s">
        <v>396</v>
      </c>
      <c r="M110" s="15">
        <f t="shared" ref="M110:M112" ca="1" si="44">TODAY()-B110</f>
        <v>96</v>
      </c>
      <c r="N110" s="18">
        <v>70590.595600793327</v>
      </c>
      <c r="O110" s="18">
        <v>101.71666666666665</v>
      </c>
      <c r="AZ110" s="86" t="s">
        <v>399</v>
      </c>
      <c r="BA110" s="107">
        <v>6303</v>
      </c>
      <c r="BB110" s="86" t="s">
        <v>441</v>
      </c>
      <c r="BC110" s="86" t="s">
        <v>477</v>
      </c>
    </row>
    <row r="111" spans="1:56" ht="18" hidden="1" x14ac:dyDescent="0.35">
      <c r="A111" s="86">
        <v>6338</v>
      </c>
      <c r="B111" s="10">
        <v>46131</v>
      </c>
      <c r="C111" s="11" t="s">
        <v>351</v>
      </c>
      <c r="D111" s="11" t="s">
        <v>228</v>
      </c>
      <c r="E111" s="11" t="s">
        <v>13</v>
      </c>
      <c r="F111" s="12">
        <f>472.89-100-22+22-25-45-20-128-20-16-100</f>
        <v>18.889999999999986</v>
      </c>
      <c r="G111" s="13"/>
      <c r="H111" s="14">
        <f t="shared" si="43"/>
        <v>290.52000000000004</v>
      </c>
      <c r="I111" s="14">
        <v>309.41000000000003</v>
      </c>
      <c r="J111" s="14">
        <v>472.89</v>
      </c>
      <c r="K111" s="15" t="s">
        <v>21</v>
      </c>
      <c r="L111" s="65" t="s">
        <v>396</v>
      </c>
      <c r="M111" s="15">
        <f t="shared" ca="1" si="44"/>
        <v>40</v>
      </c>
      <c r="N111" s="18">
        <v>102678</v>
      </c>
      <c r="O111" s="18">
        <v>124.4</v>
      </c>
      <c r="AZ111" s="86" t="s">
        <v>399</v>
      </c>
      <c r="BA111" s="107">
        <v>6338</v>
      </c>
      <c r="BB111" s="86" t="s">
        <v>441</v>
      </c>
      <c r="BC111" s="86" t="s">
        <v>497</v>
      </c>
    </row>
    <row r="112" spans="1:56" ht="18" hidden="1" x14ac:dyDescent="0.35">
      <c r="A112" s="86">
        <v>6374</v>
      </c>
      <c r="B112" s="10">
        <v>46128</v>
      </c>
      <c r="C112" s="11" t="s">
        <v>350</v>
      </c>
      <c r="D112" s="11" t="s">
        <v>228</v>
      </c>
      <c r="E112" s="11" t="s">
        <v>16</v>
      </c>
      <c r="F112" s="12">
        <f>948.442-200-27-21-14.5-46-25-35-12-10-46.6-12-85-26-7-26-80-26-20-100</f>
        <v>129.34199999999998</v>
      </c>
      <c r="G112" s="13"/>
      <c r="H112" s="14">
        <f t="shared" si="43"/>
        <v>357.84000000000003</v>
      </c>
      <c r="I112" s="14">
        <v>487.18200000000002</v>
      </c>
      <c r="J112" s="14">
        <v>948.44200000000001</v>
      </c>
      <c r="K112" s="15" t="s">
        <v>23</v>
      </c>
      <c r="L112" s="65" t="s">
        <v>396</v>
      </c>
      <c r="M112" s="15">
        <f t="shared" ca="1" si="44"/>
        <v>43</v>
      </c>
      <c r="N112" s="18">
        <v>104476.125</v>
      </c>
      <c r="O112" s="18">
        <v>126.54347826086956</v>
      </c>
      <c r="AZ112" s="86" t="s">
        <v>399</v>
      </c>
      <c r="BA112" s="107">
        <v>6374</v>
      </c>
      <c r="BB112" s="86" t="s">
        <v>431</v>
      </c>
      <c r="BC112" s="86" t="s">
        <v>432</v>
      </c>
    </row>
    <row r="113" spans="1:55" ht="18" hidden="1" x14ac:dyDescent="0.35">
      <c r="B113" s="19"/>
      <c r="C113" s="26" t="s">
        <v>27</v>
      </c>
      <c r="D113" s="11"/>
      <c r="E113" s="11"/>
      <c r="F113" s="20">
        <f>SUBTOTAL(9,F110:F112)</f>
        <v>0</v>
      </c>
      <c r="G113" s="21">
        <f>F113</f>
        <v>0</v>
      </c>
      <c r="H113" s="20">
        <f>SUBTOTAL(9,H110:H112)</f>
        <v>0</v>
      </c>
      <c r="I113" s="20">
        <f>SUBTOTAL(9,I110:I112)</f>
        <v>0</v>
      </c>
      <c r="J113" s="20"/>
      <c r="K113" s="15"/>
      <c r="L113" s="65"/>
      <c r="M113" s="15"/>
      <c r="N113" s="69"/>
      <c r="O113" s="69"/>
      <c r="AZ113" s="86" t="s">
        <v>27</v>
      </c>
    </row>
    <row r="114" spans="1:55" ht="18" hidden="1" x14ac:dyDescent="0.35">
      <c r="B114" s="19"/>
      <c r="C114" s="11"/>
      <c r="D114" s="11"/>
      <c r="E114" s="11"/>
      <c r="F114" s="13"/>
      <c r="G114" s="13"/>
      <c r="H114" s="13"/>
      <c r="I114" s="27"/>
      <c r="J114" s="27"/>
      <c r="K114" s="15"/>
      <c r="L114" s="65"/>
      <c r="M114" s="15"/>
      <c r="N114" s="69"/>
      <c r="O114" s="69"/>
    </row>
    <row r="115" spans="1:55" ht="18" hidden="1" x14ac:dyDescent="0.35">
      <c r="A115" s="86">
        <v>6161</v>
      </c>
      <c r="B115" s="10">
        <v>45937</v>
      </c>
      <c r="C115" s="11" t="s">
        <v>250</v>
      </c>
      <c r="D115" s="11" t="s">
        <v>122</v>
      </c>
      <c r="E115" s="11" t="s">
        <v>9</v>
      </c>
      <c r="F115" s="12">
        <v>19.943999999999999</v>
      </c>
      <c r="G115" s="13"/>
      <c r="H115" s="14">
        <f t="shared" ref="H115:H121" si="45">I115-F115</f>
        <v>0</v>
      </c>
      <c r="I115" s="14">
        <v>19.943999999999999</v>
      </c>
      <c r="J115" s="14">
        <v>3136.0839999999998</v>
      </c>
      <c r="K115" s="15" t="s">
        <v>32</v>
      </c>
      <c r="L115" s="65" t="s">
        <v>396</v>
      </c>
      <c r="M115" s="15">
        <f t="shared" ref="M115:M121" ca="1" si="46">TODAY()-B115</f>
        <v>234</v>
      </c>
      <c r="N115" s="18">
        <v>74098.748101587305</v>
      </c>
      <c r="O115" s="18">
        <v>71.075000000000003</v>
      </c>
      <c r="AZ115" s="86" t="s">
        <v>399</v>
      </c>
      <c r="BA115" s="107">
        <v>6161</v>
      </c>
      <c r="BB115" s="86" t="s">
        <v>498</v>
      </c>
      <c r="BC115" s="86">
        <v>28</v>
      </c>
    </row>
    <row r="116" spans="1:55" ht="18" hidden="1" x14ac:dyDescent="0.35">
      <c r="A116" s="86">
        <v>6301</v>
      </c>
      <c r="B116" s="10">
        <v>46054</v>
      </c>
      <c r="C116" s="11" t="s">
        <v>291</v>
      </c>
      <c r="D116" s="11" t="s">
        <v>122</v>
      </c>
      <c r="E116" s="11" t="s">
        <v>9</v>
      </c>
      <c r="F116" s="12">
        <v>0.3</v>
      </c>
      <c r="G116" s="13"/>
      <c r="H116" s="14">
        <f t="shared" si="45"/>
        <v>19.099999999999998</v>
      </c>
      <c r="I116" s="14">
        <v>19.399999999999999</v>
      </c>
      <c r="J116" s="14">
        <v>199.7</v>
      </c>
      <c r="K116" s="15" t="s">
        <v>29</v>
      </c>
      <c r="L116" s="65" t="s">
        <v>396</v>
      </c>
      <c r="M116" s="15">
        <f t="shared" ca="1" si="46"/>
        <v>117</v>
      </c>
      <c r="N116" s="18">
        <v>78753.000799999994</v>
      </c>
      <c r="O116" s="18">
        <v>106.25</v>
      </c>
      <c r="AZ116" s="86" t="s">
        <v>399</v>
      </c>
      <c r="BA116" s="107">
        <v>6301</v>
      </c>
      <c r="BB116" s="86" t="s">
        <v>499</v>
      </c>
    </row>
    <row r="117" spans="1:55" ht="18" hidden="1" x14ac:dyDescent="0.35">
      <c r="A117" s="86">
        <v>6350</v>
      </c>
      <c r="B117" s="10">
        <v>46131</v>
      </c>
      <c r="C117" s="11" t="s">
        <v>355</v>
      </c>
      <c r="D117" s="11" t="s">
        <v>122</v>
      </c>
      <c r="E117" s="11" t="s">
        <v>9</v>
      </c>
      <c r="F117" s="12">
        <f>1219.877-57-111-49-120-30-165-150</f>
        <v>537.87699999999995</v>
      </c>
      <c r="G117" s="13"/>
      <c r="H117" s="14">
        <f t="shared" si="45"/>
        <v>1173.942</v>
      </c>
      <c r="I117" s="14">
        <v>1711.819</v>
      </c>
      <c r="J117" s="14">
        <v>1725</v>
      </c>
      <c r="K117" s="15" t="s">
        <v>378</v>
      </c>
      <c r="L117" s="65" t="s">
        <v>396</v>
      </c>
      <c r="M117" s="15">
        <f t="shared" ca="1" si="46"/>
        <v>40</v>
      </c>
      <c r="N117" s="18">
        <v>121100.12849855072</v>
      </c>
      <c r="O117" s="18">
        <v>118</v>
      </c>
      <c r="AZ117" s="86" t="s">
        <v>399</v>
      </c>
      <c r="BA117" s="107">
        <v>6350</v>
      </c>
      <c r="BB117" s="86" t="s">
        <v>455</v>
      </c>
      <c r="BC117" s="86" t="s">
        <v>456</v>
      </c>
    </row>
    <row r="118" spans="1:55" ht="18" hidden="1" x14ac:dyDescent="0.35">
      <c r="A118" s="86">
        <v>6366</v>
      </c>
      <c r="B118" s="10">
        <v>46131</v>
      </c>
      <c r="C118" s="11" t="s">
        <v>356</v>
      </c>
      <c r="D118" s="11" t="s">
        <v>122</v>
      </c>
      <c r="E118" s="11" t="s">
        <v>9</v>
      </c>
      <c r="F118" s="12">
        <v>0</v>
      </c>
      <c r="G118" s="13"/>
      <c r="H118" s="14">
        <f t="shared" ref="H118:H119" si="47">I118-F118</f>
        <v>243.34800000000001</v>
      </c>
      <c r="I118" s="14">
        <v>243.34800000000001</v>
      </c>
      <c r="J118" s="14">
        <v>947.17899999999997</v>
      </c>
      <c r="K118" s="15" t="s">
        <v>29</v>
      </c>
      <c r="L118" s="65" t="s">
        <v>396</v>
      </c>
      <c r="M118" s="15">
        <f t="shared" ref="M118:M119" ca="1" si="48">TODAY()-B118</f>
        <v>40</v>
      </c>
      <c r="N118" s="18">
        <v>119403.44</v>
      </c>
      <c r="O118" s="18">
        <v>114.32142857142857</v>
      </c>
      <c r="AZ118" s="86" t="s">
        <v>399</v>
      </c>
      <c r="BA118" s="107">
        <v>6366</v>
      </c>
      <c r="BB118" s="86" t="s">
        <v>455</v>
      </c>
      <c r="BC118" s="86" t="s">
        <v>456</v>
      </c>
    </row>
    <row r="119" spans="1:55" ht="18" hidden="1" x14ac:dyDescent="0.35">
      <c r="A119" s="86">
        <v>6375</v>
      </c>
      <c r="B119" s="10">
        <v>46136</v>
      </c>
      <c r="C119" s="11" t="s">
        <v>363</v>
      </c>
      <c r="D119" s="11" t="s">
        <v>122</v>
      </c>
      <c r="E119" s="11" t="s">
        <v>9</v>
      </c>
      <c r="F119" s="12">
        <v>313.59300000000002</v>
      </c>
      <c r="G119" s="13"/>
      <c r="H119" s="14">
        <f t="shared" si="47"/>
        <v>0</v>
      </c>
      <c r="I119" s="14">
        <v>313.59300000000002</v>
      </c>
      <c r="J119" s="14">
        <v>313.59300000000002</v>
      </c>
      <c r="K119" s="15" t="s">
        <v>32</v>
      </c>
      <c r="L119" s="65" t="s">
        <v>396</v>
      </c>
      <c r="M119" s="65">
        <f t="shared" ca="1" si="48"/>
        <v>35</v>
      </c>
      <c r="N119" s="18">
        <v>122525</v>
      </c>
      <c r="O119" s="18"/>
      <c r="AZ119" s="86" t="s">
        <v>399</v>
      </c>
      <c r="BA119" s="107">
        <v>6375</v>
      </c>
      <c r="BB119" s="86" t="s">
        <v>500</v>
      </c>
      <c r="BC119" s="86" t="s">
        <v>501</v>
      </c>
    </row>
    <row r="120" spans="1:55" ht="18" hidden="1" x14ac:dyDescent="0.35">
      <c r="A120" s="86">
        <v>6351</v>
      </c>
      <c r="B120" s="10">
        <v>46144</v>
      </c>
      <c r="C120" s="11" t="s">
        <v>366</v>
      </c>
      <c r="D120" s="11" t="s">
        <v>122</v>
      </c>
      <c r="E120" s="11" t="s">
        <v>9</v>
      </c>
      <c r="F120" s="12">
        <v>969.38099999999997</v>
      </c>
      <c r="G120" s="13"/>
      <c r="H120" s="14">
        <f t="shared" ref="H120" si="49">I120-F120</f>
        <v>0</v>
      </c>
      <c r="I120" s="14">
        <v>969.38099999999997</v>
      </c>
      <c r="J120" s="14">
        <v>969.38099999999997</v>
      </c>
      <c r="K120" s="15" t="s">
        <v>276</v>
      </c>
      <c r="L120" s="65" t="s">
        <v>396</v>
      </c>
      <c r="M120" s="65">
        <f t="shared" ref="M120" ca="1" si="50">TODAY()-B120</f>
        <v>27</v>
      </c>
      <c r="N120" s="18">
        <v>121035.884399039</v>
      </c>
      <c r="O120" s="18"/>
      <c r="AZ120" s="86" t="s">
        <v>399</v>
      </c>
      <c r="BA120" s="107">
        <v>6351</v>
      </c>
      <c r="BB120" s="86" t="s">
        <v>485</v>
      </c>
      <c r="BC120" s="86" t="s">
        <v>502</v>
      </c>
    </row>
    <row r="121" spans="1:55" ht="18" x14ac:dyDescent="0.35">
      <c r="B121" s="73">
        <v>45980</v>
      </c>
      <c r="C121" s="74" t="s">
        <v>260</v>
      </c>
      <c r="D121" s="74" t="s">
        <v>122</v>
      </c>
      <c r="E121" s="74" t="s">
        <v>9</v>
      </c>
      <c r="F121" s="79">
        <v>0</v>
      </c>
      <c r="G121" s="81"/>
      <c r="H121" s="75">
        <f t="shared" si="45"/>
        <v>1.885</v>
      </c>
      <c r="I121" s="75">
        <v>1.885</v>
      </c>
      <c r="J121" s="75"/>
      <c r="K121" s="77" t="s">
        <v>47</v>
      </c>
      <c r="L121" s="78" t="s">
        <v>235</v>
      </c>
      <c r="M121" s="65">
        <f t="shared" ca="1" si="46"/>
        <v>191</v>
      </c>
      <c r="N121" s="69"/>
      <c r="O121" s="69"/>
      <c r="AZ121" s="86" t="s">
        <v>235</v>
      </c>
      <c r="BA121" s="107" t="s">
        <v>485</v>
      </c>
      <c r="BB121" s="86" t="s">
        <v>503</v>
      </c>
    </row>
    <row r="122" spans="1:55" ht="18" x14ac:dyDescent="0.35">
      <c r="B122" s="73">
        <v>46037</v>
      </c>
      <c r="C122" s="74" t="s">
        <v>304</v>
      </c>
      <c r="D122" s="74" t="s">
        <v>122</v>
      </c>
      <c r="E122" s="74" t="s">
        <v>9</v>
      </c>
      <c r="F122" s="79">
        <v>0</v>
      </c>
      <c r="G122" s="81"/>
      <c r="H122" s="75">
        <f t="shared" ref="H122:H123" si="51">I122-F122</f>
        <v>0.216</v>
      </c>
      <c r="I122" s="75">
        <v>0.216</v>
      </c>
      <c r="J122" s="75">
        <v>2002.7950000000001</v>
      </c>
      <c r="K122" s="77" t="s">
        <v>32</v>
      </c>
      <c r="L122" s="78" t="s">
        <v>235</v>
      </c>
      <c r="M122" s="65">
        <f t="shared" ref="M122:M124" ca="1" si="52">TODAY()-B122</f>
        <v>134</v>
      </c>
      <c r="N122" s="69"/>
      <c r="O122" s="69"/>
      <c r="AZ122" s="86" t="s">
        <v>435</v>
      </c>
      <c r="BA122" s="107">
        <v>313</v>
      </c>
      <c r="BB122" s="86" t="s">
        <v>400</v>
      </c>
      <c r="BC122" s="86" t="s">
        <v>504</v>
      </c>
    </row>
    <row r="123" spans="1:55" ht="18" x14ac:dyDescent="0.35">
      <c r="B123" s="73">
        <v>46084</v>
      </c>
      <c r="C123" s="74" t="s">
        <v>305</v>
      </c>
      <c r="D123" s="74" t="s">
        <v>122</v>
      </c>
      <c r="E123" s="74" t="s">
        <v>9</v>
      </c>
      <c r="F123" s="79">
        <v>0</v>
      </c>
      <c r="G123" s="81"/>
      <c r="H123" s="75">
        <f t="shared" si="51"/>
        <v>2.2759999999999998</v>
      </c>
      <c r="I123" s="75">
        <v>2.2759999999999998</v>
      </c>
      <c r="J123" s="75">
        <v>2850</v>
      </c>
      <c r="K123" s="77" t="s">
        <v>276</v>
      </c>
      <c r="L123" s="78" t="s">
        <v>235</v>
      </c>
      <c r="M123" s="65">
        <f t="shared" ca="1" si="52"/>
        <v>87</v>
      </c>
      <c r="N123" s="69"/>
      <c r="O123" s="69"/>
      <c r="AZ123" s="86" t="s">
        <v>435</v>
      </c>
      <c r="BA123" s="107">
        <v>316</v>
      </c>
      <c r="BB123" s="86" t="s">
        <v>489</v>
      </c>
      <c r="BC123" s="86" t="s">
        <v>490</v>
      </c>
    </row>
    <row r="124" spans="1:55" ht="18" x14ac:dyDescent="0.35">
      <c r="B124" s="73">
        <v>46106</v>
      </c>
      <c r="C124" s="74" t="s">
        <v>337</v>
      </c>
      <c r="D124" s="74" t="s">
        <v>122</v>
      </c>
      <c r="E124" s="74" t="s">
        <v>9</v>
      </c>
      <c r="F124" s="79">
        <v>0</v>
      </c>
      <c r="G124" s="81"/>
      <c r="H124" s="75">
        <f>I124-F124</f>
        <v>567.90099999999995</v>
      </c>
      <c r="I124" s="75">
        <v>567.90099999999995</v>
      </c>
      <c r="J124" s="75">
        <v>2850</v>
      </c>
      <c r="K124" s="77" t="s">
        <v>32</v>
      </c>
      <c r="L124" s="78" t="s">
        <v>235</v>
      </c>
      <c r="M124" s="65">
        <f t="shared" ca="1" si="52"/>
        <v>65</v>
      </c>
      <c r="N124" s="69"/>
      <c r="O124" s="69"/>
      <c r="AZ124" s="86" t="s">
        <v>435</v>
      </c>
      <c r="BA124" s="107">
        <v>388</v>
      </c>
      <c r="BB124" s="86" t="s">
        <v>505</v>
      </c>
      <c r="BC124" s="86" t="s">
        <v>506</v>
      </c>
    </row>
    <row r="125" spans="1:55" ht="18" hidden="1" x14ac:dyDescent="0.35">
      <c r="B125" s="19"/>
      <c r="C125" s="26" t="s">
        <v>27</v>
      </c>
      <c r="D125" s="11"/>
      <c r="E125" s="11"/>
      <c r="F125" s="20">
        <f>SUBTOTAL(9,F115:F124)</f>
        <v>0</v>
      </c>
      <c r="G125" s="21">
        <f>F125</f>
        <v>0</v>
      </c>
      <c r="H125" s="20">
        <f>SUBTOTAL(9,H115:H124)</f>
        <v>572.27799999999991</v>
      </c>
      <c r="I125" s="20">
        <f>SUBTOTAL(9,I115:I124)</f>
        <v>572.27799999999991</v>
      </c>
      <c r="J125" s="20"/>
      <c r="K125" s="15"/>
      <c r="L125" s="65"/>
      <c r="M125" s="65"/>
      <c r="N125" s="69"/>
      <c r="O125" s="69"/>
      <c r="AZ125" s="86" t="s">
        <v>27</v>
      </c>
    </row>
    <row r="126" spans="1:55" ht="18" hidden="1" x14ac:dyDescent="0.35">
      <c r="B126" s="19"/>
      <c r="C126" s="26"/>
      <c r="D126" s="11"/>
      <c r="E126" s="11"/>
      <c r="F126" s="13"/>
      <c r="G126" s="13"/>
      <c r="H126" s="13"/>
      <c r="I126" s="27"/>
      <c r="J126" s="27"/>
      <c r="K126" s="15"/>
      <c r="L126" s="65"/>
      <c r="M126" s="65"/>
      <c r="N126" s="69"/>
      <c r="O126" s="69"/>
    </row>
    <row r="127" spans="1:55" ht="18" hidden="1" x14ac:dyDescent="0.35">
      <c r="A127" s="86">
        <v>6225</v>
      </c>
      <c r="B127" s="10">
        <v>46005</v>
      </c>
      <c r="C127" s="11" t="s">
        <v>266</v>
      </c>
      <c r="D127" s="11" t="s">
        <v>248</v>
      </c>
      <c r="E127" s="11" t="s">
        <v>19</v>
      </c>
      <c r="F127" s="12">
        <v>0</v>
      </c>
      <c r="G127" s="13"/>
      <c r="H127" s="14">
        <f t="shared" ref="H127:H153" si="53">I127-F127</f>
        <v>111.845</v>
      </c>
      <c r="I127" s="14">
        <v>111.845</v>
      </c>
      <c r="J127" s="14">
        <v>2859.0250000000001</v>
      </c>
      <c r="K127" s="15" t="s">
        <v>26</v>
      </c>
      <c r="L127" s="65" t="s">
        <v>396</v>
      </c>
      <c r="M127" s="65">
        <f t="shared" ref="M127:M153" ca="1" si="54">TODAY()-B127</f>
        <v>166</v>
      </c>
      <c r="N127" s="18">
        <v>72621.029899949528</v>
      </c>
      <c r="O127" s="18">
        <v>78.759302325581402</v>
      </c>
      <c r="AZ127" s="86" t="s">
        <v>399</v>
      </c>
      <c r="BA127" s="107">
        <v>6225</v>
      </c>
      <c r="BB127" s="86" t="s">
        <v>439</v>
      </c>
      <c r="BC127" s="86" t="s">
        <v>451</v>
      </c>
    </row>
    <row r="128" spans="1:55" ht="18" hidden="1" x14ac:dyDescent="0.35">
      <c r="A128" s="86">
        <v>6333</v>
      </c>
      <c r="B128" s="10">
        <v>46111</v>
      </c>
      <c r="C128" s="11" t="s">
        <v>333</v>
      </c>
      <c r="D128" s="11" t="s">
        <v>248</v>
      </c>
      <c r="E128" s="11" t="s">
        <v>19</v>
      </c>
      <c r="F128" s="12">
        <v>0</v>
      </c>
      <c r="G128" s="13"/>
      <c r="H128" s="14">
        <f t="shared" si="53"/>
        <v>28.681000000000001</v>
      </c>
      <c r="I128" s="14">
        <f>51.371-22.69</f>
        <v>28.681000000000001</v>
      </c>
      <c r="J128" s="14">
        <v>997.822</v>
      </c>
      <c r="K128" s="15" t="s">
        <v>26</v>
      </c>
      <c r="L128" s="65" t="s">
        <v>396</v>
      </c>
      <c r="M128" s="65">
        <f t="shared" ca="1" si="54"/>
        <v>60</v>
      </c>
      <c r="N128" s="18">
        <v>75719.574999999997</v>
      </c>
      <c r="O128" s="18">
        <v>100.07142857142857</v>
      </c>
      <c r="AZ128" s="86" t="s">
        <v>399</v>
      </c>
      <c r="BA128" s="107">
        <v>6333</v>
      </c>
      <c r="BB128" s="86" t="s">
        <v>507</v>
      </c>
      <c r="BC128" s="86" t="s">
        <v>508</v>
      </c>
    </row>
    <row r="129" spans="1:61" ht="18" hidden="1" x14ac:dyDescent="0.35">
      <c r="A129" s="86">
        <v>6317</v>
      </c>
      <c r="B129" s="10">
        <v>46111</v>
      </c>
      <c r="C129" s="11" t="s">
        <v>332</v>
      </c>
      <c r="D129" s="11" t="s">
        <v>248</v>
      </c>
      <c r="E129" s="11" t="s">
        <v>19</v>
      </c>
      <c r="F129" s="12">
        <f>997.822-258.413-10+21-75-21-18-31-72-10-40+85</f>
        <v>568.40899999999999</v>
      </c>
      <c r="G129" s="13"/>
      <c r="H129" s="14">
        <f t="shared" ref="H129:H133" si="55">I129-F129</f>
        <v>429.41300000000001</v>
      </c>
      <c r="I129" s="14">
        <v>997.822</v>
      </c>
      <c r="J129" s="14">
        <v>997.822</v>
      </c>
      <c r="K129" s="15" t="s">
        <v>26</v>
      </c>
      <c r="L129" s="65" t="s">
        <v>396</v>
      </c>
      <c r="M129" s="65">
        <f t="shared" ref="M129:M133" ca="1" si="56">TODAY()-B129</f>
        <v>60</v>
      </c>
      <c r="N129" s="18">
        <v>76552.167499999996</v>
      </c>
      <c r="O129" s="18">
        <v>109</v>
      </c>
      <c r="AZ129" s="86" t="s">
        <v>399</v>
      </c>
      <c r="BA129" s="107">
        <v>6317</v>
      </c>
      <c r="BB129" s="86" t="s">
        <v>507</v>
      </c>
      <c r="BC129" s="86" t="s">
        <v>508</v>
      </c>
    </row>
    <row r="130" spans="1:61" ht="18" x14ac:dyDescent="0.35">
      <c r="B130" s="10">
        <v>46131</v>
      </c>
      <c r="C130" s="11" t="s">
        <v>352</v>
      </c>
      <c r="D130" s="11" t="s">
        <v>248</v>
      </c>
      <c r="E130" s="11" t="s">
        <v>19</v>
      </c>
      <c r="F130" s="12">
        <v>953.67100000000005</v>
      </c>
      <c r="G130" s="13"/>
      <c r="H130" s="14">
        <f t="shared" si="55"/>
        <v>0</v>
      </c>
      <c r="I130" s="14">
        <v>953.67100000000005</v>
      </c>
      <c r="J130" s="14">
        <v>953.67100000000005</v>
      </c>
      <c r="K130" s="15" t="s">
        <v>26</v>
      </c>
      <c r="L130" s="65" t="s">
        <v>396</v>
      </c>
      <c r="M130" s="65">
        <f t="shared" ca="1" si="56"/>
        <v>40</v>
      </c>
      <c r="N130" s="69"/>
      <c r="O130" s="69"/>
      <c r="AZ130" s="86" t="s">
        <v>399</v>
      </c>
      <c r="BA130" s="107">
        <v>6352</v>
      </c>
      <c r="BB130" s="86" t="s">
        <v>491</v>
      </c>
      <c r="BC130" s="86" t="s">
        <v>492</v>
      </c>
    </row>
    <row r="131" spans="1:61" ht="18" x14ac:dyDescent="0.35">
      <c r="B131" s="10">
        <v>46165</v>
      </c>
      <c r="C131" s="102" t="s">
        <v>389</v>
      </c>
      <c r="D131" s="11" t="s">
        <v>248</v>
      </c>
      <c r="E131" s="11" t="s">
        <v>19</v>
      </c>
      <c r="F131" s="12">
        <v>100</v>
      </c>
      <c r="G131" s="13"/>
      <c r="H131" s="14">
        <f t="shared" si="55"/>
        <v>0</v>
      </c>
      <c r="I131" s="14">
        <v>100</v>
      </c>
      <c r="J131" s="14">
        <v>100</v>
      </c>
      <c r="K131" s="15" t="s">
        <v>26</v>
      </c>
      <c r="L131" s="65" t="s">
        <v>396</v>
      </c>
      <c r="M131" s="65">
        <f t="shared" ca="1" si="56"/>
        <v>6</v>
      </c>
      <c r="N131" s="69"/>
      <c r="O131" s="69"/>
      <c r="AZ131" s="86" t="s">
        <v>425</v>
      </c>
      <c r="BA131" s="107">
        <v>242</v>
      </c>
      <c r="BB131" s="86" t="s">
        <v>460</v>
      </c>
      <c r="BC131" s="86" t="s">
        <v>509</v>
      </c>
      <c r="BD131" s="86" t="s">
        <v>510</v>
      </c>
      <c r="BE131" s="86" t="s">
        <v>507</v>
      </c>
      <c r="BF131" s="86" t="s">
        <v>508</v>
      </c>
      <c r="BG131" s="86" t="s">
        <v>464</v>
      </c>
      <c r="BH131" s="86">
        <v>27</v>
      </c>
      <c r="BI131" s="86">
        <v>100000106</v>
      </c>
    </row>
    <row r="132" spans="1:61" ht="18" x14ac:dyDescent="0.35">
      <c r="B132" s="10">
        <v>46165</v>
      </c>
      <c r="C132" s="102" t="s">
        <v>390</v>
      </c>
      <c r="D132" s="11" t="s">
        <v>248</v>
      </c>
      <c r="E132" s="11" t="s">
        <v>19</v>
      </c>
      <c r="F132" s="12">
        <v>50</v>
      </c>
      <c r="G132" s="13"/>
      <c r="H132" s="14">
        <f t="shared" si="55"/>
        <v>0</v>
      </c>
      <c r="I132" s="14">
        <v>50</v>
      </c>
      <c r="J132" s="14">
        <v>50</v>
      </c>
      <c r="K132" s="15" t="s">
        <v>26</v>
      </c>
      <c r="L132" s="65" t="s">
        <v>396</v>
      </c>
      <c r="M132" s="65">
        <f t="shared" ca="1" si="56"/>
        <v>6</v>
      </c>
      <c r="N132" s="69"/>
      <c r="O132" s="69"/>
      <c r="AZ132" s="86" t="s">
        <v>425</v>
      </c>
      <c r="BA132" s="107">
        <v>243</v>
      </c>
      <c r="BB132" s="86" t="s">
        <v>460</v>
      </c>
      <c r="BC132" s="86" t="s">
        <v>511</v>
      </c>
      <c r="BD132" s="86" t="s">
        <v>510</v>
      </c>
      <c r="BE132" s="86" t="s">
        <v>491</v>
      </c>
      <c r="BF132" s="86" t="s">
        <v>492</v>
      </c>
      <c r="BG132" s="86" t="s">
        <v>464</v>
      </c>
      <c r="BH132" s="86">
        <v>27</v>
      </c>
      <c r="BI132" s="86">
        <v>100000112</v>
      </c>
    </row>
    <row r="133" spans="1:61" ht="18" x14ac:dyDescent="0.35">
      <c r="B133" s="10">
        <v>46165</v>
      </c>
      <c r="C133" s="102" t="s">
        <v>393</v>
      </c>
      <c r="D133" s="11" t="s">
        <v>248</v>
      </c>
      <c r="E133" s="11" t="s">
        <v>19</v>
      </c>
      <c r="F133" s="12">
        <v>0</v>
      </c>
      <c r="G133" s="13"/>
      <c r="H133" s="14">
        <f t="shared" si="55"/>
        <v>85</v>
      </c>
      <c r="I133" s="14">
        <v>85</v>
      </c>
      <c r="J133" s="14">
        <v>85</v>
      </c>
      <c r="K133" s="15" t="s">
        <v>26</v>
      </c>
      <c r="L133" s="65" t="s">
        <v>396</v>
      </c>
      <c r="M133" s="65">
        <f t="shared" ca="1" si="56"/>
        <v>6</v>
      </c>
      <c r="N133" s="69"/>
      <c r="O133" s="69"/>
      <c r="AZ133" s="86" t="s">
        <v>512</v>
      </c>
      <c r="BA133" s="107">
        <v>0</v>
      </c>
      <c r="BB133" s="86" t="s">
        <v>513</v>
      </c>
      <c r="BC133" s="86">
        <v>9</v>
      </c>
      <c r="BD133" s="86" t="s">
        <v>514</v>
      </c>
      <c r="BE133" s="86" t="s">
        <v>464</v>
      </c>
      <c r="BF133" s="86">
        <v>27</v>
      </c>
      <c r="BG133" s="86">
        <v>100000104</v>
      </c>
    </row>
    <row r="134" spans="1:61" ht="18" hidden="1" x14ac:dyDescent="0.35">
      <c r="A134" s="86">
        <v>6346</v>
      </c>
      <c r="B134" s="10">
        <v>46093</v>
      </c>
      <c r="C134" s="11" t="s">
        <v>320</v>
      </c>
      <c r="D134" s="11" t="s">
        <v>261</v>
      </c>
      <c r="E134" s="11" t="s">
        <v>321</v>
      </c>
      <c r="F134" s="12">
        <f>1553.833-150</f>
        <v>1403.8330000000001</v>
      </c>
      <c r="G134" s="13"/>
      <c r="H134" s="14">
        <f t="shared" si="53"/>
        <v>150</v>
      </c>
      <c r="I134" s="14">
        <v>1553.8330000000001</v>
      </c>
      <c r="J134" s="14">
        <v>1553.837</v>
      </c>
      <c r="K134" s="15" t="s">
        <v>23</v>
      </c>
      <c r="L134" s="65" t="s">
        <v>396</v>
      </c>
      <c r="M134" s="65">
        <f t="shared" ca="1" si="54"/>
        <v>78</v>
      </c>
      <c r="N134" s="18">
        <v>81737.600000000006</v>
      </c>
      <c r="O134" s="18">
        <v>108</v>
      </c>
      <c r="AZ134" s="86" t="s">
        <v>399</v>
      </c>
      <c r="BA134" s="107">
        <v>6346</v>
      </c>
      <c r="BB134" s="86" t="s">
        <v>472</v>
      </c>
      <c r="BC134" s="86" t="s">
        <v>487</v>
      </c>
    </row>
    <row r="135" spans="1:61" ht="18" hidden="1" x14ac:dyDescent="0.35">
      <c r="A135" s="86">
        <v>6309</v>
      </c>
      <c r="B135" s="10">
        <v>46085</v>
      </c>
      <c r="C135" s="11" t="s">
        <v>303</v>
      </c>
      <c r="D135" s="11" t="s">
        <v>248</v>
      </c>
      <c r="E135" s="11" t="s">
        <v>13</v>
      </c>
      <c r="F135" s="12">
        <f>616.995-50-134-25-25+50</f>
        <v>432.995</v>
      </c>
      <c r="G135" s="13"/>
      <c r="H135" s="14">
        <f t="shared" si="53"/>
        <v>33.860000000000014</v>
      </c>
      <c r="I135" s="14">
        <v>466.85500000000002</v>
      </c>
      <c r="J135" s="14">
        <v>947.53499999999997</v>
      </c>
      <c r="K135" s="15" t="s">
        <v>21</v>
      </c>
      <c r="L135" s="65" t="s">
        <v>396</v>
      </c>
      <c r="M135" s="65">
        <f t="shared" ca="1" si="54"/>
        <v>86</v>
      </c>
      <c r="N135" s="18">
        <v>76414.850002523614</v>
      </c>
      <c r="O135" s="18">
        <v>100.46875</v>
      </c>
      <c r="AZ135" s="86" t="s">
        <v>399</v>
      </c>
      <c r="BA135" s="107">
        <v>6309</v>
      </c>
      <c r="BB135" s="86" t="s">
        <v>400</v>
      </c>
      <c r="BC135" s="86" t="s">
        <v>440</v>
      </c>
    </row>
    <row r="136" spans="1:61" ht="18" x14ac:dyDescent="0.35">
      <c r="B136" s="10">
        <v>46165</v>
      </c>
      <c r="C136" s="102" t="s">
        <v>387</v>
      </c>
      <c r="D136" s="11" t="s">
        <v>248</v>
      </c>
      <c r="E136" s="11" t="s">
        <v>13</v>
      </c>
      <c r="F136" s="12">
        <v>0</v>
      </c>
      <c r="G136" s="13"/>
      <c r="H136" s="14">
        <f t="shared" si="53"/>
        <v>50</v>
      </c>
      <c r="I136" s="14">
        <v>50</v>
      </c>
      <c r="J136" s="14">
        <v>50</v>
      </c>
      <c r="K136" s="15" t="s">
        <v>21</v>
      </c>
      <c r="L136" s="65" t="s">
        <v>396</v>
      </c>
      <c r="M136" s="65">
        <f t="shared" ca="1" si="54"/>
        <v>6</v>
      </c>
      <c r="N136" s="69"/>
      <c r="O136" s="69"/>
      <c r="AZ136" s="86" t="s">
        <v>512</v>
      </c>
      <c r="BA136" s="107" t="s">
        <v>515</v>
      </c>
      <c r="BB136" s="86" t="s">
        <v>516</v>
      </c>
      <c r="BC136" s="86" t="s">
        <v>517</v>
      </c>
      <c r="BD136" s="86" t="s">
        <v>518</v>
      </c>
      <c r="BE136" s="86" t="s">
        <v>519</v>
      </c>
      <c r="BF136" s="86" t="s">
        <v>464</v>
      </c>
      <c r="BG136" s="86">
        <v>27</v>
      </c>
      <c r="BH136" s="86">
        <v>100000100</v>
      </c>
    </row>
    <row r="137" spans="1:61" ht="18" x14ac:dyDescent="0.35">
      <c r="B137" s="10">
        <v>46165</v>
      </c>
      <c r="C137" s="102" t="s">
        <v>388</v>
      </c>
      <c r="D137" s="11" t="s">
        <v>248</v>
      </c>
      <c r="E137" s="11" t="s">
        <v>13</v>
      </c>
      <c r="F137" s="12">
        <v>150</v>
      </c>
      <c r="G137" s="13"/>
      <c r="H137" s="14">
        <f t="shared" si="53"/>
        <v>0</v>
      </c>
      <c r="I137" s="14">
        <v>150</v>
      </c>
      <c r="J137" s="14">
        <v>150</v>
      </c>
      <c r="K137" s="15" t="s">
        <v>21</v>
      </c>
      <c r="L137" s="65" t="s">
        <v>396</v>
      </c>
      <c r="M137" s="65">
        <f t="shared" ca="1" si="54"/>
        <v>6</v>
      </c>
      <c r="N137" s="69"/>
      <c r="O137" s="69"/>
      <c r="AZ137" s="86" t="s">
        <v>512</v>
      </c>
      <c r="BA137" s="107" t="s">
        <v>515</v>
      </c>
      <c r="BB137" s="86" t="s">
        <v>516</v>
      </c>
      <c r="BC137" s="86" t="s">
        <v>520</v>
      </c>
      <c r="BD137" s="86" t="s">
        <v>518</v>
      </c>
      <c r="BE137" s="86" t="s">
        <v>519</v>
      </c>
      <c r="BF137" s="86" t="s">
        <v>464</v>
      </c>
      <c r="BG137" s="86">
        <v>27</v>
      </c>
      <c r="BH137" s="86">
        <v>100000107</v>
      </c>
    </row>
    <row r="138" spans="1:61" ht="18" hidden="1" x14ac:dyDescent="0.35">
      <c r="A138" s="86">
        <v>6094</v>
      </c>
      <c r="B138" s="10">
        <v>45927</v>
      </c>
      <c r="C138" s="11" t="s">
        <v>247</v>
      </c>
      <c r="D138" s="11" t="s">
        <v>248</v>
      </c>
      <c r="E138" s="11" t="s">
        <v>9</v>
      </c>
      <c r="F138" s="12">
        <v>0</v>
      </c>
      <c r="G138" s="13"/>
      <c r="H138" s="14">
        <f t="shared" ref="H138" si="57">I138-F138</f>
        <v>2.5</v>
      </c>
      <c r="I138" s="14">
        <v>2.5</v>
      </c>
      <c r="J138" s="14">
        <v>2836.84</v>
      </c>
      <c r="K138" s="15" t="s">
        <v>249</v>
      </c>
      <c r="L138" s="65" t="s">
        <v>396</v>
      </c>
      <c r="M138" s="65">
        <f t="shared" ref="M138" ca="1" si="58">TODAY()-B138</f>
        <v>244</v>
      </c>
      <c r="N138" s="18">
        <v>66630.392000917753</v>
      </c>
      <c r="O138" s="18">
        <v>71.112499999999997</v>
      </c>
      <c r="AZ138" s="86" t="s">
        <v>399</v>
      </c>
      <c r="BA138" s="107">
        <v>6094</v>
      </c>
      <c r="BB138" s="86" t="s">
        <v>521</v>
      </c>
    </row>
    <row r="139" spans="1:61" ht="18" hidden="1" x14ac:dyDescent="0.35">
      <c r="A139" s="86">
        <v>6145</v>
      </c>
      <c r="B139" s="10">
        <v>45965</v>
      </c>
      <c r="C139" s="11" t="s">
        <v>256</v>
      </c>
      <c r="D139" s="11" t="s">
        <v>248</v>
      </c>
      <c r="E139" s="11" t="s">
        <v>9</v>
      </c>
      <c r="F139" s="12">
        <v>0</v>
      </c>
      <c r="G139" s="13"/>
      <c r="H139" s="14">
        <f t="shared" si="53"/>
        <v>7.7329999999999997</v>
      </c>
      <c r="I139" s="14">
        <v>7.7329999999999997</v>
      </c>
      <c r="J139" s="14">
        <v>2995.4349999999999</v>
      </c>
      <c r="K139" s="15" t="s">
        <v>249</v>
      </c>
      <c r="L139" s="65" t="s">
        <v>396</v>
      </c>
      <c r="M139" s="65">
        <f t="shared" ca="1" si="54"/>
        <v>206</v>
      </c>
      <c r="N139" s="18">
        <v>65781.782701267017</v>
      </c>
      <c r="O139" s="18">
        <v>76.675238095238086</v>
      </c>
      <c r="AZ139" s="86" t="s">
        <v>399</v>
      </c>
      <c r="BA139" s="107">
        <v>6145</v>
      </c>
      <c r="BB139" s="86" t="s">
        <v>485</v>
      </c>
      <c r="BC139" s="86" t="s">
        <v>522</v>
      </c>
    </row>
    <row r="140" spans="1:61" ht="18" hidden="1" x14ac:dyDescent="0.35">
      <c r="A140" s="86">
        <v>6188</v>
      </c>
      <c r="B140" s="10">
        <v>45980</v>
      </c>
      <c r="C140" s="11" t="s">
        <v>259</v>
      </c>
      <c r="D140" s="11" t="s">
        <v>248</v>
      </c>
      <c r="E140" s="11" t="s">
        <v>9</v>
      </c>
      <c r="F140" s="12">
        <v>0</v>
      </c>
      <c r="G140" s="13"/>
      <c r="H140" s="14">
        <f t="shared" si="53"/>
        <v>1.173</v>
      </c>
      <c r="I140" s="14">
        <v>1.173</v>
      </c>
      <c r="J140" s="14">
        <v>474.95299999999997</v>
      </c>
      <c r="K140" s="15" t="s">
        <v>32</v>
      </c>
      <c r="L140" s="65" t="s">
        <v>396</v>
      </c>
      <c r="M140" s="65">
        <f t="shared" ca="1" si="54"/>
        <v>191</v>
      </c>
      <c r="N140" s="18">
        <v>65478.2</v>
      </c>
      <c r="O140" s="18">
        <v>78.099999999999994</v>
      </c>
      <c r="AZ140" s="86" t="s">
        <v>399</v>
      </c>
      <c r="BA140" s="107">
        <v>6188</v>
      </c>
      <c r="BB140" s="86" t="s">
        <v>417</v>
      </c>
      <c r="BC140" s="86" t="s">
        <v>523</v>
      </c>
    </row>
    <row r="141" spans="1:61" ht="18" hidden="1" x14ac:dyDescent="0.35">
      <c r="A141" s="86">
        <v>6226</v>
      </c>
      <c r="B141" s="10">
        <v>46018</v>
      </c>
      <c r="C141" s="11" t="s">
        <v>272</v>
      </c>
      <c r="D141" s="11" t="s">
        <v>248</v>
      </c>
      <c r="E141" s="11" t="s">
        <v>9</v>
      </c>
      <c r="F141" s="12">
        <v>0</v>
      </c>
      <c r="G141" s="13"/>
      <c r="H141" s="14">
        <f t="shared" si="53"/>
        <v>14.218</v>
      </c>
      <c r="I141" s="14">
        <v>14.218</v>
      </c>
      <c r="J141" s="14">
        <v>2086.8789999999999</v>
      </c>
      <c r="K141" s="15" t="s">
        <v>130</v>
      </c>
      <c r="L141" s="65" t="s">
        <v>396</v>
      </c>
      <c r="M141" s="65">
        <f t="shared" ca="1" si="54"/>
        <v>153</v>
      </c>
      <c r="N141" s="18">
        <v>74314.197499999995</v>
      </c>
      <c r="O141" s="18">
        <v>78.4375</v>
      </c>
      <c r="AZ141" s="86" t="s">
        <v>399</v>
      </c>
      <c r="BA141" s="107">
        <v>6226</v>
      </c>
      <c r="BB141" s="86" t="s">
        <v>524</v>
      </c>
      <c r="BC141" s="86" t="s">
        <v>525</v>
      </c>
    </row>
    <row r="142" spans="1:61" ht="18" x14ac:dyDescent="0.35">
      <c r="B142" s="10">
        <v>46095</v>
      </c>
      <c r="C142" s="103" t="s">
        <v>322</v>
      </c>
      <c r="D142" s="11" t="s">
        <v>261</v>
      </c>
      <c r="E142" s="11" t="s">
        <v>9</v>
      </c>
      <c r="F142" s="12">
        <v>0</v>
      </c>
      <c r="G142" s="13"/>
      <c r="H142" s="14">
        <f t="shared" si="53"/>
        <v>182.57</v>
      </c>
      <c r="I142" s="14">
        <v>182.57</v>
      </c>
      <c r="J142" s="14">
        <v>1425</v>
      </c>
      <c r="K142" s="15" t="s">
        <v>47</v>
      </c>
      <c r="L142" s="65" t="s">
        <v>396</v>
      </c>
      <c r="M142" s="65">
        <f t="shared" ca="1" si="54"/>
        <v>76</v>
      </c>
      <c r="N142" s="69"/>
      <c r="O142" s="69"/>
      <c r="AZ142" s="86" t="s">
        <v>425</v>
      </c>
      <c r="BA142" s="107">
        <v>233</v>
      </c>
      <c r="BB142" s="86" t="s">
        <v>441</v>
      </c>
      <c r="BC142" s="86" t="s">
        <v>477</v>
      </c>
      <c r="BD142" s="86" t="s">
        <v>526</v>
      </c>
      <c r="BE142" s="86" t="s">
        <v>527</v>
      </c>
    </row>
    <row r="143" spans="1:61" ht="18" x14ac:dyDescent="0.35">
      <c r="B143" s="10">
        <v>46095</v>
      </c>
      <c r="C143" s="103" t="s">
        <v>323</v>
      </c>
      <c r="D143" s="11" t="s">
        <v>261</v>
      </c>
      <c r="E143" s="11" t="s">
        <v>9</v>
      </c>
      <c r="F143" s="12">
        <v>0</v>
      </c>
      <c r="G143" s="13"/>
      <c r="H143" s="14">
        <f t="shared" ref="H143" si="59">I143-F143</f>
        <v>476.89299999999997</v>
      </c>
      <c r="I143" s="14">
        <v>476.89299999999997</v>
      </c>
      <c r="J143" s="14">
        <v>476.89299999999997</v>
      </c>
      <c r="K143" s="15" t="s">
        <v>47</v>
      </c>
      <c r="L143" s="65" t="s">
        <v>396</v>
      </c>
      <c r="M143" s="65">
        <f t="shared" ref="M143" ca="1" si="60">TODAY()-B143</f>
        <v>76</v>
      </c>
      <c r="N143" s="69"/>
      <c r="O143" s="69"/>
      <c r="AZ143" s="86" t="s">
        <v>425</v>
      </c>
      <c r="BA143" s="107">
        <v>235</v>
      </c>
      <c r="BB143" s="86" t="s">
        <v>528</v>
      </c>
      <c r="BC143" s="86" t="s">
        <v>529</v>
      </c>
      <c r="BD143" s="86" t="s">
        <v>530</v>
      </c>
      <c r="BE143" s="86" t="s">
        <v>527</v>
      </c>
    </row>
    <row r="144" spans="1:61" ht="18" x14ac:dyDescent="0.35">
      <c r="B144" s="10">
        <v>46095</v>
      </c>
      <c r="C144" s="103" t="s">
        <v>324</v>
      </c>
      <c r="D144" s="11" t="s">
        <v>248</v>
      </c>
      <c r="E144" s="11" t="s">
        <v>9</v>
      </c>
      <c r="F144" s="12">
        <v>0</v>
      </c>
      <c r="G144" s="13"/>
      <c r="H144" s="14">
        <f t="shared" ref="H144:H145" si="61">I144-F144</f>
        <v>0.47699999999999998</v>
      </c>
      <c r="I144" s="14">
        <v>0.47699999999999998</v>
      </c>
      <c r="J144" s="14">
        <v>523.10699999999997</v>
      </c>
      <c r="K144" s="15" t="s">
        <v>23</v>
      </c>
      <c r="L144" s="65" t="s">
        <v>396</v>
      </c>
      <c r="M144" s="65">
        <f t="shared" ref="M144:M145" ca="1" si="62">TODAY()-B144</f>
        <v>76</v>
      </c>
      <c r="N144" s="69"/>
      <c r="O144" s="69"/>
      <c r="AZ144" s="86" t="s">
        <v>425</v>
      </c>
      <c r="BA144" s="107">
        <v>236</v>
      </c>
      <c r="BB144" s="86" t="s">
        <v>528</v>
      </c>
      <c r="BC144" s="86" t="s">
        <v>529</v>
      </c>
      <c r="BD144" s="86" t="s">
        <v>531</v>
      </c>
      <c r="BE144" s="86" t="s">
        <v>532</v>
      </c>
    </row>
    <row r="145" spans="2:61" ht="18" x14ac:dyDescent="0.35">
      <c r="B145" s="10">
        <v>46155</v>
      </c>
      <c r="C145" s="102" t="s">
        <v>375</v>
      </c>
      <c r="D145" s="11" t="s">
        <v>248</v>
      </c>
      <c r="E145" s="11" t="s">
        <v>9</v>
      </c>
      <c r="F145" s="12">
        <v>300</v>
      </c>
      <c r="G145" s="13"/>
      <c r="H145" s="14">
        <f t="shared" si="61"/>
        <v>0</v>
      </c>
      <c r="I145" s="14">
        <v>300</v>
      </c>
      <c r="J145" s="14">
        <v>300</v>
      </c>
      <c r="K145" s="15" t="s">
        <v>29</v>
      </c>
      <c r="L145" s="65" t="s">
        <v>396</v>
      </c>
      <c r="M145" s="65">
        <f t="shared" ca="1" si="62"/>
        <v>16</v>
      </c>
      <c r="N145" s="69"/>
      <c r="O145" s="69"/>
      <c r="AZ145" s="86" t="s">
        <v>512</v>
      </c>
      <c r="BA145" s="107">
        <v>0</v>
      </c>
      <c r="BB145" s="86" t="s">
        <v>513</v>
      </c>
      <c r="BC145" s="86">
        <v>5</v>
      </c>
      <c r="BD145" s="86" t="s">
        <v>533</v>
      </c>
      <c r="BE145" s="86" t="s">
        <v>534</v>
      </c>
      <c r="BF145" s="86" t="s">
        <v>464</v>
      </c>
      <c r="BG145" s="86">
        <v>27</v>
      </c>
      <c r="BH145" s="86">
        <v>100000095</v>
      </c>
    </row>
    <row r="146" spans="2:61" ht="18" x14ac:dyDescent="0.35">
      <c r="B146" s="10">
        <v>46155</v>
      </c>
      <c r="C146" s="102" t="s">
        <v>376</v>
      </c>
      <c r="D146" s="11" t="s">
        <v>248</v>
      </c>
      <c r="E146" s="11" t="s">
        <v>9</v>
      </c>
      <c r="F146" s="12">
        <f>1500-1500</f>
        <v>0</v>
      </c>
      <c r="G146" s="13"/>
      <c r="H146" s="14">
        <f t="shared" ref="H146" si="63">I146-F146</f>
        <v>1500</v>
      </c>
      <c r="I146" s="14">
        <v>1500</v>
      </c>
      <c r="J146" s="14">
        <v>1500</v>
      </c>
      <c r="K146" s="15" t="s">
        <v>29</v>
      </c>
      <c r="L146" s="65" t="s">
        <v>396</v>
      </c>
      <c r="M146" s="65">
        <f t="shared" ref="M146" ca="1" si="64">TODAY()-B146</f>
        <v>16</v>
      </c>
      <c r="N146" s="69"/>
      <c r="O146" s="69"/>
      <c r="AZ146" s="86" t="s">
        <v>512</v>
      </c>
      <c r="BA146" s="107">
        <v>0</v>
      </c>
      <c r="BB146" s="86" t="s">
        <v>513</v>
      </c>
      <c r="BC146" s="86">
        <v>7</v>
      </c>
      <c r="BD146" s="86" t="s">
        <v>461</v>
      </c>
      <c r="BE146" s="86" t="s">
        <v>464</v>
      </c>
      <c r="BF146" s="86">
        <v>27</v>
      </c>
      <c r="BG146" s="86">
        <v>100000096</v>
      </c>
    </row>
    <row r="147" spans="2:61" ht="18" x14ac:dyDescent="0.35">
      <c r="B147" s="10">
        <v>46155</v>
      </c>
      <c r="C147" s="102" t="s">
        <v>377</v>
      </c>
      <c r="D147" s="11" t="s">
        <v>248</v>
      </c>
      <c r="E147" s="11" t="s">
        <v>9</v>
      </c>
      <c r="F147" s="12">
        <f>450-122-150+16+140+21</f>
        <v>355</v>
      </c>
      <c r="G147" s="13"/>
      <c r="H147" s="14">
        <f t="shared" ref="H147:H152" si="65">I147-F147</f>
        <v>95</v>
      </c>
      <c r="I147" s="14">
        <v>450</v>
      </c>
      <c r="J147" s="14">
        <v>450</v>
      </c>
      <c r="K147" s="15" t="s">
        <v>29</v>
      </c>
      <c r="L147" s="65" t="s">
        <v>396</v>
      </c>
      <c r="M147" s="65">
        <f t="shared" ref="M147:M152" ca="1" si="66">TODAY()-B147</f>
        <v>16</v>
      </c>
      <c r="N147" s="69"/>
      <c r="O147" s="69"/>
      <c r="AZ147" s="86" t="s">
        <v>512</v>
      </c>
      <c r="BA147" s="107">
        <v>0</v>
      </c>
      <c r="BB147" s="86" t="s">
        <v>513</v>
      </c>
      <c r="BC147" s="86">
        <v>6</v>
      </c>
      <c r="BD147" s="86" t="s">
        <v>535</v>
      </c>
      <c r="BE147" s="86" t="s">
        <v>443</v>
      </c>
      <c r="BF147" s="86" t="s">
        <v>464</v>
      </c>
      <c r="BG147" s="86">
        <v>27</v>
      </c>
    </row>
    <row r="148" spans="2:61" ht="18" x14ac:dyDescent="0.35">
      <c r="B148" s="10">
        <v>46162</v>
      </c>
      <c r="C148" s="102" t="s">
        <v>382</v>
      </c>
      <c r="D148" s="11" t="s">
        <v>248</v>
      </c>
      <c r="E148" s="11" t="s">
        <v>9</v>
      </c>
      <c r="F148" s="12">
        <v>0</v>
      </c>
      <c r="G148" s="13"/>
      <c r="H148" s="14">
        <f t="shared" si="65"/>
        <v>44.38</v>
      </c>
      <c r="I148" s="14">
        <v>44.38</v>
      </c>
      <c r="J148" s="14">
        <v>200</v>
      </c>
      <c r="K148" s="15" t="s">
        <v>29</v>
      </c>
      <c r="L148" s="65" t="s">
        <v>396</v>
      </c>
      <c r="M148" s="65">
        <f t="shared" ca="1" si="66"/>
        <v>9</v>
      </c>
      <c r="N148" s="69"/>
      <c r="O148" s="69"/>
      <c r="AZ148" s="86" t="s">
        <v>512</v>
      </c>
      <c r="BA148" s="107" t="s">
        <v>515</v>
      </c>
      <c r="BB148" s="86" t="s">
        <v>516</v>
      </c>
      <c r="BC148" s="86" t="s">
        <v>536</v>
      </c>
      <c r="BD148" s="86" t="s">
        <v>537</v>
      </c>
      <c r="BE148" s="86" t="s">
        <v>464</v>
      </c>
      <c r="BF148" s="86">
        <v>27</v>
      </c>
      <c r="BG148" s="86">
        <v>100000108</v>
      </c>
    </row>
    <row r="149" spans="2:61" ht="18" x14ac:dyDescent="0.35">
      <c r="B149" s="10">
        <v>46165</v>
      </c>
      <c r="C149" s="102" t="s">
        <v>386</v>
      </c>
      <c r="D149" s="11" t="s">
        <v>248</v>
      </c>
      <c r="E149" s="11" t="s">
        <v>9</v>
      </c>
      <c r="F149" s="12">
        <v>100</v>
      </c>
      <c r="G149" s="13"/>
      <c r="H149" s="14">
        <f t="shared" si="65"/>
        <v>0</v>
      </c>
      <c r="I149" s="14">
        <v>100</v>
      </c>
      <c r="J149" s="14">
        <v>100</v>
      </c>
      <c r="K149" s="15" t="s">
        <v>47</v>
      </c>
      <c r="L149" s="65" t="s">
        <v>396</v>
      </c>
      <c r="M149" s="65">
        <f t="shared" ca="1" si="66"/>
        <v>6</v>
      </c>
      <c r="N149" s="69"/>
      <c r="O149" s="69"/>
      <c r="AZ149" s="86" t="s">
        <v>425</v>
      </c>
      <c r="BA149" s="107">
        <v>241</v>
      </c>
      <c r="BB149" s="86" t="s">
        <v>460</v>
      </c>
      <c r="BC149" s="86" t="s">
        <v>538</v>
      </c>
      <c r="BD149" s="86" t="s">
        <v>510</v>
      </c>
      <c r="BE149" s="86" t="s">
        <v>507</v>
      </c>
      <c r="BF149" s="86" t="s">
        <v>508</v>
      </c>
      <c r="BG149" s="86" t="s">
        <v>464</v>
      </c>
      <c r="BH149" s="86">
        <v>27</v>
      </c>
      <c r="BI149" s="86">
        <v>100000113</v>
      </c>
    </row>
    <row r="150" spans="2:61" ht="18" x14ac:dyDescent="0.35">
      <c r="B150" s="10">
        <v>46165</v>
      </c>
      <c r="C150" s="102" t="s">
        <v>383</v>
      </c>
      <c r="D150" s="11" t="s">
        <v>248</v>
      </c>
      <c r="E150" s="11" t="s">
        <v>9</v>
      </c>
      <c r="F150" s="12">
        <v>200</v>
      </c>
      <c r="G150" s="13"/>
      <c r="H150" s="14">
        <f t="shared" si="65"/>
        <v>0</v>
      </c>
      <c r="I150" s="14">
        <v>200</v>
      </c>
      <c r="J150" s="14">
        <v>200</v>
      </c>
      <c r="K150" s="15" t="s">
        <v>29</v>
      </c>
      <c r="L150" s="65" t="s">
        <v>396</v>
      </c>
      <c r="M150" s="65">
        <f t="shared" ca="1" si="66"/>
        <v>6</v>
      </c>
      <c r="N150" s="69"/>
      <c r="O150" s="69"/>
      <c r="AZ150" s="86" t="s">
        <v>425</v>
      </c>
      <c r="BA150" s="107">
        <v>244</v>
      </c>
      <c r="BB150" s="86" t="s">
        <v>460</v>
      </c>
      <c r="BC150" s="86" t="s">
        <v>511</v>
      </c>
      <c r="BD150" s="86" t="s">
        <v>510</v>
      </c>
      <c r="BE150" s="86" t="s">
        <v>469</v>
      </c>
      <c r="BF150" s="86" t="s">
        <v>539</v>
      </c>
      <c r="BG150" s="86" t="s">
        <v>464</v>
      </c>
      <c r="BH150" s="86">
        <v>27</v>
      </c>
      <c r="BI150" s="86">
        <v>100000109</v>
      </c>
    </row>
    <row r="151" spans="2:61" ht="18" x14ac:dyDescent="0.35">
      <c r="B151" s="10">
        <v>46165</v>
      </c>
      <c r="C151" s="102" t="s">
        <v>384</v>
      </c>
      <c r="D151" s="11" t="s">
        <v>248</v>
      </c>
      <c r="E151" s="11" t="s">
        <v>9</v>
      </c>
      <c r="F151" s="12">
        <f>100-21</f>
        <v>79</v>
      </c>
      <c r="G151" s="13"/>
      <c r="H151" s="14">
        <f t="shared" si="65"/>
        <v>21</v>
      </c>
      <c r="I151" s="14">
        <v>100</v>
      </c>
      <c r="J151" s="14">
        <v>100</v>
      </c>
      <c r="K151" s="15" t="s">
        <v>29</v>
      </c>
      <c r="L151" s="65" t="s">
        <v>396</v>
      </c>
      <c r="M151" s="65">
        <f t="shared" ca="1" si="66"/>
        <v>6</v>
      </c>
      <c r="N151" s="69"/>
      <c r="O151" s="69"/>
      <c r="AZ151" s="86" t="s">
        <v>425</v>
      </c>
      <c r="BA151" s="107">
        <v>245</v>
      </c>
      <c r="BB151" s="86" t="s">
        <v>460</v>
      </c>
      <c r="BC151" s="86" t="s">
        <v>511</v>
      </c>
      <c r="BD151" s="86" t="s">
        <v>510</v>
      </c>
      <c r="BE151" s="86" t="s">
        <v>455</v>
      </c>
      <c r="BF151" s="86" t="s">
        <v>456</v>
      </c>
      <c r="BG151" s="86" t="s">
        <v>464</v>
      </c>
      <c r="BH151" s="86">
        <v>27</v>
      </c>
      <c r="BI151" s="86">
        <v>100000111</v>
      </c>
    </row>
    <row r="152" spans="2:61" ht="18" x14ac:dyDescent="0.35">
      <c r="B152" s="10">
        <v>46165</v>
      </c>
      <c r="C152" s="102" t="s">
        <v>385</v>
      </c>
      <c r="D152" s="11" t="s">
        <v>248</v>
      </c>
      <c r="E152" s="11" t="s">
        <v>9</v>
      </c>
      <c r="F152" s="12">
        <v>100</v>
      </c>
      <c r="G152" s="13"/>
      <c r="H152" s="14">
        <f t="shared" si="65"/>
        <v>0</v>
      </c>
      <c r="I152" s="14">
        <v>100</v>
      </c>
      <c r="J152" s="14">
        <v>100</v>
      </c>
      <c r="K152" s="15" t="s">
        <v>29</v>
      </c>
      <c r="L152" s="65" t="s">
        <v>396</v>
      </c>
      <c r="M152" s="65">
        <f t="shared" ca="1" si="66"/>
        <v>6</v>
      </c>
      <c r="N152" s="69"/>
      <c r="O152" s="69"/>
      <c r="AZ152" s="86" t="s">
        <v>425</v>
      </c>
      <c r="BA152" s="107">
        <v>246</v>
      </c>
      <c r="BB152" s="86" t="s">
        <v>460</v>
      </c>
      <c r="BC152" s="86" t="s">
        <v>511</v>
      </c>
      <c r="BD152" s="86" t="s">
        <v>510</v>
      </c>
      <c r="BE152" s="86" t="s">
        <v>469</v>
      </c>
      <c r="BF152" s="86" t="s">
        <v>539</v>
      </c>
      <c r="BG152" s="86" t="s">
        <v>464</v>
      </c>
      <c r="BH152" s="86">
        <v>27</v>
      </c>
      <c r="BI152" s="86">
        <v>100000110</v>
      </c>
    </row>
    <row r="153" spans="2:61" ht="18" x14ac:dyDescent="0.35">
      <c r="B153" s="73">
        <v>46045</v>
      </c>
      <c r="C153" s="74" t="s">
        <v>281</v>
      </c>
      <c r="D153" s="74" t="s">
        <v>248</v>
      </c>
      <c r="E153" s="74" t="s">
        <v>9</v>
      </c>
      <c r="F153" s="79">
        <v>0</v>
      </c>
      <c r="G153" s="81"/>
      <c r="H153" s="75">
        <f t="shared" si="53"/>
        <v>126.598</v>
      </c>
      <c r="I153" s="75">
        <v>126.598</v>
      </c>
      <c r="J153" s="75">
        <v>4809.5529999999999</v>
      </c>
      <c r="K153" s="77" t="s">
        <v>284</v>
      </c>
      <c r="L153" s="78" t="s">
        <v>235</v>
      </c>
      <c r="M153" s="65">
        <f t="shared" ca="1" si="54"/>
        <v>126</v>
      </c>
      <c r="N153" s="69"/>
      <c r="O153" s="69"/>
      <c r="AZ153" s="86" t="s">
        <v>435</v>
      </c>
      <c r="BA153" s="107">
        <v>321</v>
      </c>
      <c r="BB153" s="86" t="s">
        <v>472</v>
      </c>
      <c r="BC153" s="86" t="s">
        <v>484</v>
      </c>
      <c r="BD153" s="86" t="s">
        <v>532</v>
      </c>
    </row>
    <row r="154" spans="2:61" ht="18" x14ac:dyDescent="0.35">
      <c r="B154" s="73">
        <v>46045</v>
      </c>
      <c r="C154" s="104" t="s">
        <v>282</v>
      </c>
      <c r="D154" s="74" t="s">
        <v>261</v>
      </c>
      <c r="E154" s="74" t="s">
        <v>9</v>
      </c>
      <c r="F154" s="79">
        <f>160.534-64-20-30-20</f>
        <v>26.533999999999992</v>
      </c>
      <c r="G154" s="81"/>
      <c r="H154" s="75">
        <f t="shared" ref="H154:H157" si="67">I154-F154</f>
        <v>119.244</v>
      </c>
      <c r="I154" s="75">
        <v>145.77799999999999</v>
      </c>
      <c r="J154" s="75">
        <v>961.16800000000001</v>
      </c>
      <c r="K154" s="77" t="s">
        <v>29</v>
      </c>
      <c r="L154" s="78" t="s">
        <v>235</v>
      </c>
      <c r="M154" s="65">
        <f t="shared" ref="M154:M157" ca="1" si="68">TODAY()-B154</f>
        <v>126</v>
      </c>
      <c r="N154" s="69"/>
      <c r="O154" s="69"/>
      <c r="AZ154" s="86" t="s">
        <v>435</v>
      </c>
      <c r="BA154" s="107">
        <v>322</v>
      </c>
      <c r="BB154" s="86" t="s">
        <v>472</v>
      </c>
      <c r="BC154" s="86" t="s">
        <v>484</v>
      </c>
    </row>
    <row r="155" spans="2:61" ht="18" x14ac:dyDescent="0.35">
      <c r="B155" s="91">
        <v>46085</v>
      </c>
      <c r="C155" s="92" t="s">
        <v>341</v>
      </c>
      <c r="D155" s="92" t="s">
        <v>248</v>
      </c>
      <c r="E155" s="92" t="s">
        <v>9</v>
      </c>
      <c r="F155" s="93">
        <v>0</v>
      </c>
      <c r="G155" s="94"/>
      <c r="H155" s="95">
        <f t="shared" si="67"/>
        <v>3003.3620000000001</v>
      </c>
      <c r="I155" s="95">
        <v>3003.3620000000001</v>
      </c>
      <c r="J155" s="95">
        <v>3981.2449999999999</v>
      </c>
      <c r="K155" s="96" t="s">
        <v>29</v>
      </c>
      <c r="L155" s="97" t="s">
        <v>310</v>
      </c>
      <c r="M155" s="96">
        <f t="shared" ca="1" si="68"/>
        <v>86</v>
      </c>
      <c r="N155" s="69"/>
      <c r="O155" s="69"/>
      <c r="AZ155" s="86" t="s">
        <v>420</v>
      </c>
      <c r="BA155" s="107">
        <v>6</v>
      </c>
      <c r="BB155" s="86" t="s">
        <v>485</v>
      </c>
      <c r="BC155" s="86" t="s">
        <v>486</v>
      </c>
    </row>
    <row r="156" spans="2:61" ht="18" x14ac:dyDescent="0.35">
      <c r="B156" s="91">
        <v>46106</v>
      </c>
      <c r="C156" s="92" t="s">
        <v>335</v>
      </c>
      <c r="D156" s="92" t="s">
        <v>261</v>
      </c>
      <c r="E156" s="92" t="s">
        <v>9</v>
      </c>
      <c r="F156" s="93">
        <v>57.665999999999997</v>
      </c>
      <c r="G156" s="94"/>
      <c r="H156" s="95">
        <f t="shared" si="67"/>
        <v>1791.0600000000002</v>
      </c>
      <c r="I156" s="95">
        <v>1848.7260000000001</v>
      </c>
      <c r="J156" s="95">
        <v>2000</v>
      </c>
      <c r="K156" s="96" t="s">
        <v>29</v>
      </c>
      <c r="L156" s="97" t="s">
        <v>310</v>
      </c>
      <c r="M156" s="96">
        <f t="shared" ca="1" si="68"/>
        <v>65</v>
      </c>
      <c r="N156" s="69"/>
      <c r="O156" s="69"/>
      <c r="AZ156" s="86" t="s">
        <v>420</v>
      </c>
      <c r="BA156" s="107">
        <v>4</v>
      </c>
      <c r="BB156" s="86" t="s">
        <v>505</v>
      </c>
      <c r="BC156" s="86" t="s">
        <v>506</v>
      </c>
    </row>
    <row r="157" spans="2:61" ht="18" x14ac:dyDescent="0.35">
      <c r="B157" s="91">
        <v>46106</v>
      </c>
      <c r="C157" s="92" t="s">
        <v>336</v>
      </c>
      <c r="D157" s="92" t="s">
        <v>248</v>
      </c>
      <c r="E157" s="92" t="s">
        <v>9</v>
      </c>
      <c r="F157" s="94">
        <v>0</v>
      </c>
      <c r="G157" s="94"/>
      <c r="H157" s="95">
        <f t="shared" si="67"/>
        <v>1969.9359999999999</v>
      </c>
      <c r="I157" s="95">
        <v>1969.9359999999999</v>
      </c>
      <c r="J157" s="95">
        <v>1996.271</v>
      </c>
      <c r="K157" s="96" t="s">
        <v>29</v>
      </c>
      <c r="L157" s="97" t="s">
        <v>310</v>
      </c>
      <c r="M157" s="96">
        <f t="shared" ca="1" si="68"/>
        <v>65</v>
      </c>
      <c r="N157" s="69"/>
      <c r="O157" s="69"/>
      <c r="AZ157" s="86" t="s">
        <v>420</v>
      </c>
      <c r="BA157" s="107">
        <v>5</v>
      </c>
      <c r="BB157" s="86" t="s">
        <v>505</v>
      </c>
      <c r="BC157" s="86" t="s">
        <v>506</v>
      </c>
    </row>
    <row r="158" spans="2:61" ht="18" hidden="1" x14ac:dyDescent="0.35">
      <c r="B158" s="19"/>
      <c r="C158" s="26" t="s">
        <v>27</v>
      </c>
      <c r="D158" s="11"/>
      <c r="E158" s="11"/>
      <c r="F158" s="20">
        <f>SUBTOTAL(9,F127:F157)</f>
        <v>2471.8710000000005</v>
      </c>
      <c r="G158" s="21">
        <f>F158</f>
        <v>2471.8710000000005</v>
      </c>
      <c r="H158" s="20">
        <f>SUBTOTAL(9,H127:H157)</f>
        <v>9465.52</v>
      </c>
      <c r="I158" s="20">
        <f>SUBTOTAL(9,I127:I157)</f>
        <v>11937.391</v>
      </c>
      <c r="J158" s="20"/>
      <c r="K158" s="15"/>
      <c r="L158" s="65"/>
      <c r="M158" s="15"/>
      <c r="N158" s="69"/>
      <c r="O158" s="69"/>
      <c r="AZ158" s="86" t="s">
        <v>27</v>
      </c>
    </row>
    <row r="159" spans="2:61" ht="18" hidden="1" x14ac:dyDescent="0.35">
      <c r="B159" s="19"/>
      <c r="C159" s="26"/>
      <c r="D159" s="11"/>
      <c r="E159" s="11"/>
      <c r="F159" s="13"/>
      <c r="G159" s="21"/>
      <c r="H159" s="20"/>
      <c r="I159" s="20"/>
      <c r="J159" s="20"/>
      <c r="K159" s="15"/>
      <c r="L159" s="65"/>
      <c r="M159" s="15"/>
      <c r="N159" s="69"/>
      <c r="O159" s="69"/>
    </row>
    <row r="160" spans="2:61" ht="18" x14ac:dyDescent="0.35">
      <c r="B160" s="10">
        <v>46125</v>
      </c>
      <c r="C160" s="11" t="s">
        <v>346</v>
      </c>
      <c r="D160" s="11" t="s">
        <v>347</v>
      </c>
      <c r="E160" s="11" t="s">
        <v>9</v>
      </c>
      <c r="F160" s="12">
        <f>100-100</f>
        <v>0</v>
      </c>
      <c r="G160" s="21"/>
      <c r="H160" s="14">
        <f t="shared" ref="H160" si="69">I160-F160</f>
        <v>65.27</v>
      </c>
      <c r="I160" s="14">
        <v>65.27</v>
      </c>
      <c r="J160" s="14">
        <v>100</v>
      </c>
      <c r="K160" s="15" t="s">
        <v>29</v>
      </c>
      <c r="L160" s="65" t="s">
        <v>396</v>
      </c>
      <c r="M160" s="15">
        <f t="shared" ref="M160" ca="1" si="70">TODAY()-B160</f>
        <v>46</v>
      </c>
      <c r="N160" s="69"/>
      <c r="O160" s="69"/>
      <c r="AZ160" s="86" t="s">
        <v>540</v>
      </c>
      <c r="BA160" s="107" t="s">
        <v>541</v>
      </c>
      <c r="BB160" s="86" t="s">
        <v>542</v>
      </c>
      <c r="BC160" s="86" t="s">
        <v>543</v>
      </c>
    </row>
    <row r="161" spans="1:58" ht="18" hidden="1" x14ac:dyDescent="0.35">
      <c r="B161" s="10"/>
      <c r="C161" s="26" t="s">
        <v>27</v>
      </c>
      <c r="D161" s="11"/>
      <c r="E161" s="11"/>
      <c r="F161" s="20">
        <f>SUBTOTAL(9,F160:F160)</f>
        <v>0</v>
      </c>
      <c r="G161" s="21">
        <f>F161</f>
        <v>0</v>
      </c>
      <c r="H161" s="20">
        <f>SUBTOTAL(9,H160:H160)</f>
        <v>65.27</v>
      </c>
      <c r="I161" s="20">
        <f>SUBTOTAL(9,I160:I160)</f>
        <v>65.27</v>
      </c>
      <c r="J161" s="20"/>
      <c r="K161" s="15"/>
      <c r="L161" s="65"/>
      <c r="M161" s="15"/>
      <c r="N161" s="69"/>
      <c r="O161" s="69"/>
      <c r="AZ161" s="86" t="s">
        <v>27</v>
      </c>
    </row>
    <row r="162" spans="1:58" ht="18" hidden="1" x14ac:dyDescent="0.35">
      <c r="B162" s="10"/>
      <c r="C162" s="11"/>
      <c r="D162" s="11"/>
      <c r="E162" s="11"/>
      <c r="F162" s="12"/>
      <c r="G162" s="21"/>
      <c r="H162" s="20"/>
      <c r="I162" s="20"/>
      <c r="J162" s="20"/>
      <c r="K162" s="15"/>
      <c r="L162" s="65"/>
      <c r="M162" s="15"/>
      <c r="N162" s="69"/>
      <c r="O162" s="69"/>
    </row>
    <row r="163" spans="1:58" ht="18" hidden="1" x14ac:dyDescent="0.35">
      <c r="A163" s="86">
        <v>6284</v>
      </c>
      <c r="B163" s="10">
        <v>46069</v>
      </c>
      <c r="C163" s="11" t="s">
        <v>292</v>
      </c>
      <c r="D163" s="11" t="s">
        <v>114</v>
      </c>
      <c r="E163" s="11" t="s">
        <v>13</v>
      </c>
      <c r="F163" s="12">
        <v>0</v>
      </c>
      <c r="G163" s="20"/>
      <c r="H163" s="14">
        <f t="shared" ref="H163:H167" si="71">I163-F163</f>
        <v>0.38200000000000001</v>
      </c>
      <c r="I163" s="14">
        <v>0.38200000000000001</v>
      </c>
      <c r="J163" s="14">
        <v>800.42899999999997</v>
      </c>
      <c r="K163" s="15" t="s">
        <v>21</v>
      </c>
      <c r="L163" s="65" t="s">
        <v>396</v>
      </c>
      <c r="M163" s="15">
        <f t="shared" ref="M163:M167" ca="1" si="72">TODAY()-B163</f>
        <v>102</v>
      </c>
      <c r="N163" s="18">
        <v>89694.111907489612</v>
      </c>
      <c r="O163" s="18">
        <v>107.15625</v>
      </c>
      <c r="AZ163" s="86" t="s">
        <v>399</v>
      </c>
      <c r="BA163" s="107">
        <v>6284</v>
      </c>
      <c r="BB163" s="86" t="s">
        <v>544</v>
      </c>
      <c r="BC163" s="86" t="s">
        <v>545</v>
      </c>
    </row>
    <row r="164" spans="1:58" ht="18" hidden="1" x14ac:dyDescent="0.35">
      <c r="A164" s="86">
        <v>6310</v>
      </c>
      <c r="B164" s="10">
        <v>46080</v>
      </c>
      <c r="C164" s="11" t="s">
        <v>302</v>
      </c>
      <c r="D164" s="11" t="s">
        <v>114</v>
      </c>
      <c r="E164" s="11" t="s">
        <v>13</v>
      </c>
      <c r="F164" s="12">
        <v>21.053000000000001</v>
      </c>
      <c r="G164" s="20"/>
      <c r="H164" s="14">
        <f t="shared" si="71"/>
        <v>11.27</v>
      </c>
      <c r="I164" s="14">
        <v>32.323</v>
      </c>
      <c r="J164" s="14">
        <v>1047.319</v>
      </c>
      <c r="K164" s="15" t="s">
        <v>21</v>
      </c>
      <c r="L164" s="65" t="s">
        <v>396</v>
      </c>
      <c r="M164" s="15">
        <f t="shared" ca="1" si="72"/>
        <v>91</v>
      </c>
      <c r="N164" s="18">
        <v>94189.495794797549</v>
      </c>
      <c r="O164" s="18">
        <v>180.32142857142858</v>
      </c>
      <c r="AZ164" s="86" t="s">
        <v>399</v>
      </c>
      <c r="BA164" s="107">
        <v>6310</v>
      </c>
      <c r="BB164" s="86" t="s">
        <v>546</v>
      </c>
    </row>
    <row r="165" spans="1:58" ht="18" x14ac:dyDescent="0.35">
      <c r="B165" s="91">
        <v>46163</v>
      </c>
      <c r="C165" s="92" t="s">
        <v>392</v>
      </c>
      <c r="D165" s="92" t="s">
        <v>114</v>
      </c>
      <c r="E165" s="92" t="s">
        <v>13</v>
      </c>
      <c r="F165" s="93">
        <f>607.03-563</f>
        <v>44.029999999999973</v>
      </c>
      <c r="G165" s="94"/>
      <c r="H165" s="95">
        <f t="shared" si="71"/>
        <v>563</v>
      </c>
      <c r="I165" s="95">
        <v>607.03</v>
      </c>
      <c r="J165" s="95">
        <v>607.03</v>
      </c>
      <c r="K165" s="96" t="s">
        <v>21</v>
      </c>
      <c r="L165" s="65" t="s">
        <v>396</v>
      </c>
      <c r="M165" s="96">
        <f t="shared" ca="1" si="72"/>
        <v>8</v>
      </c>
      <c r="N165" s="69"/>
      <c r="O165" s="69"/>
      <c r="AZ165" s="86" t="s">
        <v>420</v>
      </c>
      <c r="BA165" s="107">
        <v>17</v>
      </c>
      <c r="BB165" s="86" t="s">
        <v>547</v>
      </c>
    </row>
    <row r="166" spans="1:58" ht="18" hidden="1" x14ac:dyDescent="0.35">
      <c r="A166" s="86">
        <v>6373</v>
      </c>
      <c r="B166" s="10">
        <v>46139</v>
      </c>
      <c r="C166" s="11" t="s">
        <v>364</v>
      </c>
      <c r="D166" s="11" t="s">
        <v>114</v>
      </c>
      <c r="E166" s="11" t="s">
        <v>9</v>
      </c>
      <c r="F166" s="12">
        <v>-5.8520000000000003</v>
      </c>
      <c r="G166" s="20"/>
      <c r="H166" s="14">
        <f t="shared" si="71"/>
        <v>331.84</v>
      </c>
      <c r="I166" s="14">
        <v>325.988</v>
      </c>
      <c r="J166" s="14">
        <v>1998.7049999999999</v>
      </c>
      <c r="K166" s="15" t="s">
        <v>23</v>
      </c>
      <c r="L166" s="65" t="s">
        <v>396</v>
      </c>
      <c r="M166" s="15">
        <f t="shared" ca="1" si="72"/>
        <v>32</v>
      </c>
      <c r="N166" s="18">
        <v>135097.68359752669</v>
      </c>
      <c r="O166" s="18">
        <v>164.40909090909091</v>
      </c>
      <c r="AZ166" s="86" t="s">
        <v>399</v>
      </c>
      <c r="BA166" s="107">
        <v>6373</v>
      </c>
      <c r="BB166" s="86" t="s">
        <v>457</v>
      </c>
      <c r="BC166" s="86" t="s">
        <v>458</v>
      </c>
    </row>
    <row r="167" spans="1:58" ht="18" x14ac:dyDescent="0.35">
      <c r="B167" s="91">
        <v>46131</v>
      </c>
      <c r="C167" s="92" t="s">
        <v>357</v>
      </c>
      <c r="D167" s="92" t="s">
        <v>114</v>
      </c>
      <c r="E167" s="92" t="s">
        <v>9</v>
      </c>
      <c r="F167" s="93">
        <v>-8.0090000000000003</v>
      </c>
      <c r="G167" s="94"/>
      <c r="H167" s="95">
        <f t="shared" si="71"/>
        <v>62.99</v>
      </c>
      <c r="I167" s="95">
        <v>54.981000000000002</v>
      </c>
      <c r="J167" s="95">
        <v>2850</v>
      </c>
      <c r="K167" s="96" t="s">
        <v>23</v>
      </c>
      <c r="L167" s="97" t="s">
        <v>310</v>
      </c>
      <c r="M167" s="96">
        <f t="shared" ca="1" si="72"/>
        <v>40</v>
      </c>
      <c r="N167" s="69"/>
      <c r="O167" s="69"/>
      <c r="AZ167" s="86" t="s">
        <v>420</v>
      </c>
      <c r="BA167" s="107">
        <v>12</v>
      </c>
      <c r="BB167" s="86" t="s">
        <v>455</v>
      </c>
      <c r="BC167" s="86" t="s">
        <v>456</v>
      </c>
    </row>
    <row r="168" spans="1:58" ht="18" hidden="1" x14ac:dyDescent="0.35">
      <c r="B168" s="10"/>
      <c r="C168" s="26" t="s">
        <v>27</v>
      </c>
      <c r="D168" s="11"/>
      <c r="E168" s="11"/>
      <c r="F168" s="20">
        <f>SUBTOTAL(9,F163:F167)</f>
        <v>36.020999999999972</v>
      </c>
      <c r="G168" s="21">
        <f>F168</f>
        <v>36.020999999999972</v>
      </c>
      <c r="H168" s="20">
        <f>SUBTOTAL(9,H163:H167)</f>
        <v>625.99</v>
      </c>
      <c r="I168" s="20">
        <f>SUBTOTAL(9,I163:I167)</f>
        <v>662.01099999999997</v>
      </c>
      <c r="J168" s="20"/>
      <c r="K168" s="15"/>
      <c r="L168" s="65"/>
      <c r="M168" s="15"/>
      <c r="N168" s="69"/>
      <c r="O168" s="69"/>
      <c r="AZ168" s="86" t="s">
        <v>27</v>
      </c>
    </row>
    <row r="169" spans="1:58" ht="18" hidden="1" x14ac:dyDescent="0.35">
      <c r="B169" s="19"/>
      <c r="C169" s="11"/>
      <c r="D169" s="11"/>
      <c r="E169" s="11"/>
      <c r="F169" s="13"/>
      <c r="G169" s="13"/>
      <c r="H169" s="20"/>
      <c r="I169" s="20"/>
      <c r="J169" s="20"/>
      <c r="K169" s="15"/>
      <c r="L169" s="65"/>
      <c r="M169" s="15"/>
      <c r="N169" s="69"/>
      <c r="O169" s="69"/>
    </row>
    <row r="170" spans="1:58" ht="18" hidden="1" x14ac:dyDescent="0.35">
      <c r="A170" s="86">
        <v>6254</v>
      </c>
      <c r="B170" s="10">
        <v>46045</v>
      </c>
      <c r="C170" s="11" t="s">
        <v>278</v>
      </c>
      <c r="D170" s="11" t="s">
        <v>149</v>
      </c>
      <c r="E170" s="11" t="s">
        <v>13</v>
      </c>
      <c r="F170" s="12">
        <v>-19.875</v>
      </c>
      <c r="G170" s="20"/>
      <c r="H170" s="14">
        <f t="shared" ref="H170" si="73">I170-F170</f>
        <v>19.876000000000001</v>
      </c>
      <c r="I170" s="14">
        <v>1E-3</v>
      </c>
      <c r="J170" s="14">
        <v>508.04500000000002</v>
      </c>
      <c r="K170" s="15" t="s">
        <v>21</v>
      </c>
      <c r="L170" s="65" t="s">
        <v>396</v>
      </c>
      <c r="M170" s="15">
        <f t="shared" ref="M170" ca="1" si="74">TODAY()-B170</f>
        <v>126</v>
      </c>
      <c r="N170" s="18">
        <v>18242.918392156866</v>
      </c>
      <c r="O170" s="18">
        <v>34.125999999999998</v>
      </c>
      <c r="AZ170" s="86" t="s">
        <v>399</v>
      </c>
      <c r="BA170" s="107">
        <v>6254</v>
      </c>
      <c r="BB170" s="86" t="s">
        <v>548</v>
      </c>
      <c r="BC170" s="86" t="s">
        <v>549</v>
      </c>
    </row>
    <row r="171" spans="1:58" ht="18" x14ac:dyDescent="0.35">
      <c r="B171" s="58">
        <v>46104</v>
      </c>
      <c r="C171" s="98" t="s">
        <v>340</v>
      </c>
      <c r="D171" s="57" t="s">
        <v>149</v>
      </c>
      <c r="E171" s="57" t="s">
        <v>9</v>
      </c>
      <c r="F171" s="59">
        <f>113.97-10</f>
        <v>103.97</v>
      </c>
      <c r="G171" s="61"/>
      <c r="H171" s="56">
        <f t="shared" ref="H171" si="75">I171-F171</f>
        <v>172.79999999999998</v>
      </c>
      <c r="I171" s="56">
        <v>276.77</v>
      </c>
      <c r="J171" s="56">
        <v>500</v>
      </c>
      <c r="K171" s="60" t="s">
        <v>32</v>
      </c>
      <c r="L171" s="66" t="s">
        <v>226</v>
      </c>
      <c r="M171" s="15">
        <f t="shared" ref="M171" ca="1" si="76">TODAY()-B171</f>
        <v>67</v>
      </c>
      <c r="N171" s="70"/>
      <c r="O171" s="70"/>
      <c r="AZ171" s="86" t="s">
        <v>425</v>
      </c>
      <c r="BA171" s="107" t="s">
        <v>550</v>
      </c>
      <c r="BB171" s="86" t="s">
        <v>551</v>
      </c>
      <c r="BC171" s="86" t="s">
        <v>552</v>
      </c>
      <c r="BD171" s="86">
        <v>18</v>
      </c>
      <c r="BE171" s="86">
        <v>3</v>
      </c>
      <c r="BF171" s="86">
        <v>2026</v>
      </c>
    </row>
    <row r="172" spans="1:58" ht="18" hidden="1" x14ac:dyDescent="0.35">
      <c r="B172" s="19"/>
      <c r="C172" s="26" t="s">
        <v>27</v>
      </c>
      <c r="D172" s="11"/>
      <c r="E172" s="11"/>
      <c r="F172" s="20">
        <f>SUBTOTAL(9,F170:F170)</f>
        <v>0</v>
      </c>
      <c r="G172" s="21">
        <f>F172</f>
        <v>0</v>
      </c>
      <c r="H172" s="20">
        <f>SUBTOTAL(9,H170:H170)</f>
        <v>0</v>
      </c>
      <c r="I172" s="20">
        <f>SUBTOTAL(9,I169:I170)</f>
        <v>0</v>
      </c>
      <c r="J172" s="20"/>
      <c r="K172" s="15"/>
      <c r="L172" s="65"/>
      <c r="M172" s="15"/>
      <c r="N172" s="69"/>
      <c r="O172" s="69"/>
      <c r="AZ172" s="86" t="s">
        <v>27</v>
      </c>
    </row>
    <row r="173" spans="1:58" ht="18" hidden="1" x14ac:dyDescent="0.35">
      <c r="B173" s="19"/>
      <c r="C173" s="26"/>
      <c r="D173" s="11"/>
      <c r="E173" s="11"/>
      <c r="F173" s="13"/>
      <c r="G173" s="21"/>
      <c r="H173" s="20"/>
      <c r="I173" s="20"/>
      <c r="J173" s="20"/>
      <c r="K173" s="15"/>
      <c r="L173" s="65"/>
      <c r="M173" s="15"/>
      <c r="N173" s="69"/>
      <c r="O173" s="69"/>
    </row>
    <row r="174" spans="1:58" ht="18" hidden="1" x14ac:dyDescent="0.35">
      <c r="A174" s="86">
        <v>6272</v>
      </c>
      <c r="B174" s="10">
        <v>46071</v>
      </c>
      <c r="C174" s="11" t="s">
        <v>296</v>
      </c>
      <c r="D174" s="11" t="s">
        <v>154</v>
      </c>
      <c r="E174" s="11" t="s">
        <v>9</v>
      </c>
      <c r="F174" s="12">
        <f>1047.84-828-600-100-50-90</f>
        <v>-620.16000000000008</v>
      </c>
      <c r="G174" s="21"/>
      <c r="H174" s="14">
        <f t="shared" ref="H174" si="77">I174-F174</f>
        <v>620.24000000000012</v>
      </c>
      <c r="I174" s="14">
        <v>0.08</v>
      </c>
      <c r="J174" s="14">
        <v>1047.8399999999999</v>
      </c>
      <c r="K174" s="15" t="s">
        <v>32</v>
      </c>
      <c r="L174" s="65" t="s">
        <v>396</v>
      </c>
      <c r="M174" s="15">
        <f t="shared" ref="M174" ca="1" si="78">TODAY()-B174</f>
        <v>100</v>
      </c>
      <c r="N174" s="18">
        <v>113532.59999618263</v>
      </c>
      <c r="O174" s="18">
        <v>155.9</v>
      </c>
      <c r="AZ174" s="86" t="s">
        <v>399</v>
      </c>
      <c r="BA174" s="107">
        <v>6272</v>
      </c>
      <c r="BB174" s="86" t="s">
        <v>465</v>
      </c>
    </row>
    <row r="175" spans="1:58" ht="18" hidden="1" x14ac:dyDescent="0.35">
      <c r="A175" s="86">
        <v>6271</v>
      </c>
      <c r="B175" s="10">
        <v>46063</v>
      </c>
      <c r="C175" s="11" t="s">
        <v>287</v>
      </c>
      <c r="D175" s="11" t="s">
        <v>225</v>
      </c>
      <c r="E175" s="11" t="s">
        <v>9</v>
      </c>
      <c r="F175" s="12">
        <f>1125.224-200-298-18-100-195-150</f>
        <v>164.22399999999993</v>
      </c>
      <c r="G175" s="21"/>
      <c r="H175" s="14">
        <f t="shared" ref="H175" si="79">I175-F175</f>
        <v>392.72</v>
      </c>
      <c r="I175" s="14">
        <v>556.94399999999996</v>
      </c>
      <c r="J175" s="14">
        <v>1869.5719999999999</v>
      </c>
      <c r="K175" s="15" t="s">
        <v>32</v>
      </c>
      <c r="L175" s="65" t="s">
        <v>396</v>
      </c>
      <c r="M175" s="15">
        <f t="shared" ref="M175" ca="1" si="80">TODAY()-B175</f>
        <v>108</v>
      </c>
      <c r="N175" s="18">
        <v>104906.49999572095</v>
      </c>
      <c r="O175" s="18">
        <v>146.5</v>
      </c>
      <c r="AZ175" s="86" t="s">
        <v>399</v>
      </c>
      <c r="BA175" s="107">
        <v>6271</v>
      </c>
      <c r="BB175" s="86" t="s">
        <v>544</v>
      </c>
      <c r="BC175" s="86" t="s">
        <v>545</v>
      </c>
    </row>
    <row r="176" spans="1:58" ht="18" hidden="1" x14ac:dyDescent="0.35">
      <c r="A176" s="86">
        <v>6196</v>
      </c>
      <c r="B176" s="10">
        <v>45996</v>
      </c>
      <c r="C176" s="11" t="s">
        <v>264</v>
      </c>
      <c r="D176" s="11" t="s">
        <v>225</v>
      </c>
      <c r="E176" s="11" t="s">
        <v>227</v>
      </c>
      <c r="F176" s="12">
        <v>-59.215000000000003</v>
      </c>
      <c r="G176" s="21"/>
      <c r="H176" s="14">
        <f t="shared" ref="H176" si="81">I176-F176</f>
        <v>59.82</v>
      </c>
      <c r="I176" s="14">
        <v>0.60499999999999998</v>
      </c>
      <c r="J176" s="14">
        <v>1451.973</v>
      </c>
      <c r="K176" s="15" t="s">
        <v>136</v>
      </c>
      <c r="L176" s="65" t="s">
        <v>396</v>
      </c>
      <c r="M176" s="15">
        <f t="shared" ref="M176" ca="1" si="82">TODAY()-B176</f>
        <v>175</v>
      </c>
      <c r="N176" s="18">
        <v>101594.60000055042</v>
      </c>
      <c r="O176" s="18">
        <v>124.83448275862068</v>
      </c>
      <c r="AZ176" s="86" t="s">
        <v>399</v>
      </c>
      <c r="BA176" s="107">
        <v>6196</v>
      </c>
      <c r="BB176" s="86" t="s">
        <v>553</v>
      </c>
      <c r="BC176" s="86" t="s">
        <v>452</v>
      </c>
    </row>
    <row r="177" spans="1:55" ht="18" hidden="1" x14ac:dyDescent="0.35">
      <c r="B177" s="19"/>
      <c r="C177" s="26" t="s">
        <v>27</v>
      </c>
      <c r="D177" s="11"/>
      <c r="E177" s="11"/>
      <c r="F177" s="20">
        <f>SUBTOTAL(9,F174:F176)</f>
        <v>0</v>
      </c>
      <c r="G177" s="21">
        <f>F177</f>
        <v>0</v>
      </c>
      <c r="H177" s="20">
        <f>SUBTOTAL(9,H174:H176)</f>
        <v>0</v>
      </c>
      <c r="I177" s="20">
        <f>SUBTOTAL(9,I174:I176)</f>
        <v>0</v>
      </c>
      <c r="J177" s="20"/>
      <c r="K177" s="15"/>
      <c r="L177" s="65"/>
      <c r="M177" s="15"/>
      <c r="N177" s="69"/>
      <c r="O177" s="69"/>
      <c r="AZ177" s="86" t="s">
        <v>27</v>
      </c>
    </row>
    <row r="178" spans="1:55" ht="18" hidden="1" x14ac:dyDescent="0.35">
      <c r="B178" s="19"/>
      <c r="C178" s="26"/>
      <c r="D178" s="11"/>
      <c r="E178" s="11"/>
      <c r="F178" s="20"/>
      <c r="G178" s="21"/>
      <c r="H178" s="20"/>
      <c r="I178" s="20"/>
      <c r="J178" s="20"/>
      <c r="K178" s="15"/>
      <c r="L178" s="65"/>
      <c r="M178" s="15"/>
      <c r="N178" s="69"/>
      <c r="O178" s="69"/>
    </row>
    <row r="179" spans="1:55" ht="18" hidden="1" x14ac:dyDescent="0.35">
      <c r="A179" s="86">
        <v>6280</v>
      </c>
      <c r="B179" s="10">
        <v>46037</v>
      </c>
      <c r="C179" s="11" t="s">
        <v>275</v>
      </c>
      <c r="D179" s="11" t="s">
        <v>159</v>
      </c>
      <c r="E179" s="11" t="s">
        <v>166</v>
      </c>
      <c r="F179" s="12">
        <v>0.29299999999999998</v>
      </c>
      <c r="G179" s="13"/>
      <c r="H179" s="14">
        <f t="shared" ref="H179:H186" si="83">I179-F179</f>
        <v>36.71</v>
      </c>
      <c r="I179" s="14">
        <v>37.003</v>
      </c>
      <c r="J179" s="14">
        <v>4023.86</v>
      </c>
      <c r="K179" s="15" t="s">
        <v>167</v>
      </c>
      <c r="L179" s="65" t="s">
        <v>396</v>
      </c>
      <c r="M179" s="15">
        <f t="shared" ref="M179:M186" ca="1" si="84">TODAY()-B179</f>
        <v>134</v>
      </c>
      <c r="N179" s="18">
        <v>28833.439999404811</v>
      </c>
      <c r="O179" s="18">
        <v>40.388181818181813</v>
      </c>
      <c r="AZ179" s="86" t="s">
        <v>399</v>
      </c>
      <c r="BA179" s="107">
        <v>6280</v>
      </c>
      <c r="BB179" s="86" t="s">
        <v>554</v>
      </c>
      <c r="BC179" s="86" t="s">
        <v>555</v>
      </c>
    </row>
    <row r="180" spans="1:55" ht="18" hidden="1" x14ac:dyDescent="0.35">
      <c r="A180" s="86">
        <v>6348</v>
      </c>
      <c r="B180" s="10">
        <v>46111</v>
      </c>
      <c r="C180" s="11" t="s">
        <v>334</v>
      </c>
      <c r="D180" s="11" t="s">
        <v>159</v>
      </c>
      <c r="E180" s="11" t="s">
        <v>166</v>
      </c>
      <c r="F180" s="12">
        <f>4454.687-516-1873-486.68-244-26-30-370-30+500-48-73-263-162-425-19-500-24+115+25-26-25-20</f>
        <v>-65.993000000000166</v>
      </c>
      <c r="G180" s="13"/>
      <c r="H180" s="14">
        <f t="shared" si="83"/>
        <v>550.15200000000016</v>
      </c>
      <c r="I180" s="14">
        <v>484.15899999999999</v>
      </c>
      <c r="J180" s="14">
        <v>4454.6869999999999</v>
      </c>
      <c r="K180" s="15" t="s">
        <v>167</v>
      </c>
      <c r="L180" s="65" t="s">
        <v>396</v>
      </c>
      <c r="M180" s="15">
        <f t="shared" ca="1" si="84"/>
        <v>60</v>
      </c>
      <c r="N180" s="18">
        <v>30023.927499283338</v>
      </c>
      <c r="O180" s="18">
        <v>60.71120689655173</v>
      </c>
      <c r="AZ180" s="86" t="s">
        <v>399</v>
      </c>
      <c r="BA180" s="107">
        <v>6348</v>
      </c>
      <c r="BB180" s="86" t="s">
        <v>556</v>
      </c>
      <c r="BC180" s="86" t="s">
        <v>557</v>
      </c>
    </row>
    <row r="181" spans="1:55" ht="18" hidden="1" x14ac:dyDescent="0.35">
      <c r="A181" s="86">
        <v>6252</v>
      </c>
      <c r="B181" s="10">
        <v>46027</v>
      </c>
      <c r="C181" s="11" t="s">
        <v>273</v>
      </c>
      <c r="D181" s="11" t="s">
        <v>159</v>
      </c>
      <c r="E181" s="11" t="s">
        <v>13</v>
      </c>
      <c r="F181" s="12">
        <v>0</v>
      </c>
      <c r="G181" s="13"/>
      <c r="H181" s="14">
        <f t="shared" si="83"/>
        <v>11.332000000000001</v>
      </c>
      <c r="I181" s="14">
        <v>11.332000000000001</v>
      </c>
      <c r="J181" s="14">
        <v>10459.857</v>
      </c>
      <c r="K181" s="15" t="s">
        <v>21</v>
      </c>
      <c r="L181" s="65" t="s">
        <v>396</v>
      </c>
      <c r="M181" s="15">
        <f t="shared" ca="1" si="84"/>
        <v>144</v>
      </c>
      <c r="N181" s="18">
        <v>29548.237499999999</v>
      </c>
      <c r="O181" s="18">
        <v>30.853333333333328</v>
      </c>
      <c r="AZ181" s="86" t="s">
        <v>399</v>
      </c>
      <c r="BA181" s="107">
        <v>6252</v>
      </c>
      <c r="BB181" s="86" t="s">
        <v>558</v>
      </c>
      <c r="BC181" s="86" t="s">
        <v>559</v>
      </c>
    </row>
    <row r="182" spans="1:55" ht="18" hidden="1" x14ac:dyDescent="0.35">
      <c r="A182" s="86">
        <v>6291</v>
      </c>
      <c r="B182" s="10">
        <v>46067</v>
      </c>
      <c r="C182" s="11" t="s">
        <v>288</v>
      </c>
      <c r="D182" s="11" t="s">
        <v>159</v>
      </c>
      <c r="E182" s="11" t="s">
        <v>13</v>
      </c>
      <c r="F182" s="12">
        <v>0</v>
      </c>
      <c r="G182" s="13"/>
      <c r="H182" s="14">
        <f t="shared" si="83"/>
        <v>1.9E-2</v>
      </c>
      <c r="I182" s="14">
        <v>1.9E-2</v>
      </c>
      <c r="J182" s="14">
        <v>20118.866999999998</v>
      </c>
      <c r="K182" s="15" t="s">
        <v>21</v>
      </c>
      <c r="L182" s="65" t="s">
        <v>396</v>
      </c>
      <c r="M182" s="15">
        <f t="shared" ca="1" si="84"/>
        <v>104</v>
      </c>
      <c r="N182" s="18">
        <v>28332.895000109449</v>
      </c>
      <c r="O182" s="18">
        <v>38.032941176470594</v>
      </c>
      <c r="AZ182" s="86" t="s">
        <v>399</v>
      </c>
      <c r="BA182" s="107">
        <v>6291</v>
      </c>
      <c r="BB182" s="86" t="s">
        <v>560</v>
      </c>
      <c r="BC182" s="86" t="s">
        <v>561</v>
      </c>
    </row>
    <row r="183" spans="1:55" ht="18" hidden="1" x14ac:dyDescent="0.35">
      <c r="A183" s="86">
        <v>6385</v>
      </c>
      <c r="B183" s="10">
        <v>46121</v>
      </c>
      <c r="C183" s="11" t="s">
        <v>343</v>
      </c>
      <c r="D183" s="11" t="s">
        <v>159</v>
      </c>
      <c r="E183" s="11" t="s">
        <v>13</v>
      </c>
      <c r="F183" s="12">
        <f>2991.197-167.506-62-600-23-825-483-40-200-64-25+26-40-250-32-16</f>
        <v>189.69100000000026</v>
      </c>
      <c r="G183" s="13"/>
      <c r="H183" s="14">
        <f t="shared" si="83"/>
        <v>293.22399999999976</v>
      </c>
      <c r="I183" s="14">
        <v>482.91500000000002</v>
      </c>
      <c r="J183" s="14">
        <v>2991.1970000000001</v>
      </c>
      <c r="K183" s="15" t="s">
        <v>21</v>
      </c>
      <c r="L183" s="65" t="s">
        <v>396</v>
      </c>
      <c r="M183" s="15">
        <f t="shared" ca="1" si="84"/>
        <v>50</v>
      </c>
      <c r="N183" s="18">
        <v>71288</v>
      </c>
      <c r="O183" s="18">
        <v>66.515384615384619</v>
      </c>
      <c r="AZ183" s="86" t="s">
        <v>399</v>
      </c>
      <c r="BA183" s="107">
        <v>6385</v>
      </c>
      <c r="BB183" s="86" t="s">
        <v>562</v>
      </c>
      <c r="BC183" s="86" t="s">
        <v>563</v>
      </c>
    </row>
    <row r="184" spans="1:55" s="89" customFormat="1" ht="18" hidden="1" x14ac:dyDescent="0.35">
      <c r="A184" s="89">
        <v>6267</v>
      </c>
      <c r="B184" s="88">
        <v>46032</v>
      </c>
      <c r="C184" s="26" t="s">
        <v>274</v>
      </c>
      <c r="D184" s="26" t="s">
        <v>159</v>
      </c>
      <c r="E184" s="26" t="s">
        <v>9</v>
      </c>
      <c r="F184" s="13">
        <v>0</v>
      </c>
      <c r="G184" s="13"/>
      <c r="H184" s="21">
        <f t="shared" si="83"/>
        <v>12.464</v>
      </c>
      <c r="I184" s="21">
        <v>12.464</v>
      </c>
      <c r="J184" s="21">
        <v>4981.598</v>
      </c>
      <c r="K184" s="23" t="s">
        <v>29</v>
      </c>
      <c r="L184" s="65" t="s">
        <v>396</v>
      </c>
      <c r="M184" s="23">
        <f t="shared" ca="1" si="84"/>
        <v>139</v>
      </c>
      <c r="N184" s="18">
        <v>29393.24</v>
      </c>
      <c r="O184" s="18">
        <v>37.986538461538466</v>
      </c>
      <c r="AZ184" s="89" t="s">
        <v>399</v>
      </c>
      <c r="BA184" s="108">
        <v>6267</v>
      </c>
      <c r="BB184" s="89" t="s">
        <v>564</v>
      </c>
      <c r="BC184" s="89" t="s">
        <v>565</v>
      </c>
    </row>
    <row r="185" spans="1:55" s="89" customFormat="1" ht="18" hidden="1" x14ac:dyDescent="0.35">
      <c r="A185" s="89">
        <v>6329</v>
      </c>
      <c r="B185" s="88">
        <v>46073</v>
      </c>
      <c r="C185" s="26" t="s">
        <v>301</v>
      </c>
      <c r="D185" s="26" t="s">
        <v>159</v>
      </c>
      <c r="E185" s="26" t="s">
        <v>9</v>
      </c>
      <c r="F185" s="13">
        <f>5879.747-846-650-615-3319+1000-914+25-488+64-260-160+160</f>
        <v>-123.2529999999997</v>
      </c>
      <c r="G185" s="13"/>
      <c r="H185" s="21">
        <f t="shared" si="83"/>
        <v>145.06099999999969</v>
      </c>
      <c r="I185" s="21">
        <v>21.808</v>
      </c>
      <c r="J185" s="21">
        <v>5879.7470000000003</v>
      </c>
      <c r="K185" s="23" t="s">
        <v>152</v>
      </c>
      <c r="L185" s="65" t="s">
        <v>396</v>
      </c>
      <c r="M185" s="23">
        <f t="shared" ca="1" si="84"/>
        <v>98</v>
      </c>
      <c r="N185" s="18">
        <v>27220.000000000004</v>
      </c>
      <c r="O185" s="18">
        <v>67.10588235294118</v>
      </c>
      <c r="AZ185" s="89" t="s">
        <v>399</v>
      </c>
      <c r="BA185" s="108">
        <v>6329</v>
      </c>
      <c r="BB185" s="89" t="s">
        <v>417</v>
      </c>
      <c r="BC185" s="89" t="s">
        <v>566</v>
      </c>
    </row>
    <row r="186" spans="1:55" ht="18" hidden="1" x14ac:dyDescent="0.35">
      <c r="A186" s="86">
        <v>6263</v>
      </c>
      <c r="B186" s="10">
        <v>46010</v>
      </c>
      <c r="C186" s="11" t="s">
        <v>269</v>
      </c>
      <c r="D186" s="11" t="s">
        <v>159</v>
      </c>
      <c r="E186" s="11" t="s">
        <v>16</v>
      </c>
      <c r="F186" s="12">
        <v>0</v>
      </c>
      <c r="G186" s="13"/>
      <c r="H186" s="14">
        <f t="shared" si="83"/>
        <v>24.088000000000001</v>
      </c>
      <c r="I186" s="14">
        <v>24.088000000000001</v>
      </c>
      <c r="J186" s="14">
        <v>5242.9709999999995</v>
      </c>
      <c r="K186" s="15" t="s">
        <v>23</v>
      </c>
      <c r="L186" s="65" t="s">
        <v>396</v>
      </c>
      <c r="M186" s="15">
        <f t="shared" ca="1" si="84"/>
        <v>161</v>
      </c>
      <c r="N186" s="18">
        <v>29641.987500952378</v>
      </c>
      <c r="O186" s="18">
        <v>33.934054054054052</v>
      </c>
      <c r="AZ186" s="86" t="s">
        <v>399</v>
      </c>
      <c r="BA186" s="107">
        <v>6263</v>
      </c>
      <c r="BB186" s="86" t="s">
        <v>482</v>
      </c>
      <c r="BC186" s="86" t="s">
        <v>567</v>
      </c>
    </row>
    <row r="187" spans="1:55" ht="18" hidden="1" x14ac:dyDescent="0.35">
      <c r="A187" s="86">
        <v>6251</v>
      </c>
      <c r="B187" s="10">
        <v>46009</v>
      </c>
      <c r="C187" s="11" t="s">
        <v>270</v>
      </c>
      <c r="D187" s="11" t="s">
        <v>159</v>
      </c>
      <c r="E187" s="11" t="s">
        <v>16</v>
      </c>
      <c r="F187" s="12">
        <v>0</v>
      </c>
      <c r="G187" s="13"/>
      <c r="H187" s="14">
        <f t="shared" ref="H187:H188" si="85">I187-F187</f>
        <v>8.0000000000000002E-3</v>
      </c>
      <c r="I187" s="14">
        <v>8.0000000000000002E-3</v>
      </c>
      <c r="J187" s="14">
        <v>5185.6229999999996</v>
      </c>
      <c r="K187" s="15" t="s">
        <v>23</v>
      </c>
      <c r="L187" s="65" t="s">
        <v>396</v>
      </c>
      <c r="M187" s="15">
        <f t="shared" ref="M187:M188" ca="1" si="86">TODAY()-B187</f>
        <v>162</v>
      </c>
      <c r="N187" s="18">
        <v>28612.299999980729</v>
      </c>
      <c r="O187" s="18">
        <v>33.417741935483868</v>
      </c>
      <c r="AZ187" s="86" t="s">
        <v>399</v>
      </c>
      <c r="BA187" s="107">
        <v>6251</v>
      </c>
      <c r="BB187" s="86" t="s">
        <v>495</v>
      </c>
      <c r="BC187" s="86" t="s">
        <v>568</v>
      </c>
    </row>
    <row r="188" spans="1:55" ht="18" hidden="1" x14ac:dyDescent="0.35">
      <c r="A188" s="86">
        <v>6334</v>
      </c>
      <c r="B188" s="10">
        <v>46099</v>
      </c>
      <c r="C188" s="11" t="s">
        <v>331</v>
      </c>
      <c r="D188" s="11" t="s">
        <v>159</v>
      </c>
      <c r="E188" s="11" t="s">
        <v>16</v>
      </c>
      <c r="F188" s="12">
        <f>8521.987-80-3922-500-1461-50-22-150-170-16.102-1542-358-500-25+25-100</f>
        <v>-349.11500000000069</v>
      </c>
      <c r="G188" s="13"/>
      <c r="H188" s="14">
        <f t="shared" si="85"/>
        <v>1345.6000000000008</v>
      </c>
      <c r="I188" s="14">
        <v>996.48500000000001</v>
      </c>
      <c r="J188" s="14">
        <v>8521.9869999999992</v>
      </c>
      <c r="K188" s="15" t="s">
        <v>23</v>
      </c>
      <c r="L188" s="65" t="s">
        <v>396</v>
      </c>
      <c r="M188" s="15">
        <f t="shared" ca="1" si="86"/>
        <v>72</v>
      </c>
      <c r="N188" s="18">
        <v>29000.724999999999</v>
      </c>
      <c r="O188" s="18">
        <v>61.36774193548387</v>
      </c>
      <c r="AZ188" s="86" t="s">
        <v>399</v>
      </c>
      <c r="BA188" s="107">
        <v>6334</v>
      </c>
      <c r="BB188" s="86" t="s">
        <v>558</v>
      </c>
      <c r="BC188" s="86" t="s">
        <v>559</v>
      </c>
    </row>
    <row r="189" spans="1:55" ht="18.600000000000001" hidden="1" thickBot="1" x14ac:dyDescent="0.4">
      <c r="B189" s="19"/>
      <c r="C189" s="26" t="s">
        <v>27</v>
      </c>
      <c r="D189" s="11"/>
      <c r="E189" s="11"/>
      <c r="F189" s="20">
        <f>SUBTOTAL(9,F179:F188)</f>
        <v>0</v>
      </c>
      <c r="G189" s="21">
        <f>F189</f>
        <v>0</v>
      </c>
      <c r="H189" s="20">
        <f>SUBTOTAL(9,H179:H188)</f>
        <v>0</v>
      </c>
      <c r="I189" s="20">
        <f>SUBTOTAL(9,I179:I188)</f>
        <v>0</v>
      </c>
      <c r="J189" s="20"/>
      <c r="K189" s="33"/>
      <c r="L189" s="67"/>
      <c r="M189" s="33"/>
      <c r="N189" s="71"/>
      <c r="O189" s="71">
        <v>340.29989425974929</v>
      </c>
    </row>
    <row r="190" spans="1:55" ht="18.600000000000001" hidden="1" thickBot="1" x14ac:dyDescent="0.4">
      <c r="B190" s="36"/>
      <c r="C190" s="37" t="s">
        <v>171</v>
      </c>
      <c r="D190" s="38"/>
      <c r="E190" s="38"/>
      <c r="F190" s="39"/>
      <c r="G190" s="40">
        <f>SUM(G3:G189)</f>
        <v>12835.210000000003</v>
      </c>
      <c r="H190" s="40">
        <f>SUMIF(C2:C189,C189,H2:H189)</f>
        <v>14941.948000000002</v>
      </c>
      <c r="I190" s="40">
        <f>SUMIF(C2:C189,C189,I2:I189)</f>
        <v>27777.157999999999</v>
      </c>
      <c r="J190" s="40"/>
      <c r="K190" s="41"/>
      <c r="L190" s="68"/>
      <c r="M190" s="42"/>
      <c r="N190" s="43"/>
      <c r="O190" s="43"/>
    </row>
    <row r="191" spans="1:55" hidden="1" x14ac:dyDescent="0.35"/>
    <row r="192" spans="1:55" ht="18" x14ac:dyDescent="0.35">
      <c r="I192" s="90"/>
      <c r="J192" s="44"/>
    </row>
    <row r="193" spans="8:11" ht="18" x14ac:dyDescent="0.35">
      <c r="I193" s="90"/>
      <c r="J193" s="90"/>
    </row>
    <row r="194" spans="8:11" ht="18" x14ac:dyDescent="0.35">
      <c r="I194" s="90"/>
      <c r="J194" s="90"/>
      <c r="K194" s="99"/>
    </row>
    <row r="195" spans="8:11" ht="18" x14ac:dyDescent="0.35">
      <c r="H195" s="44"/>
      <c r="I195" s="90"/>
      <c r="J195" s="44"/>
      <c r="K195" s="99"/>
    </row>
    <row r="196" spans="8:11" x14ac:dyDescent="0.35">
      <c r="H196" s="44"/>
      <c r="I196" s="44"/>
      <c r="J196" s="44"/>
    </row>
    <row r="197" spans="8:11" x14ac:dyDescent="0.35">
      <c r="H197" s="44"/>
      <c r="I197" s="44"/>
      <c r="J197" s="44"/>
    </row>
    <row r="198" spans="8:11" x14ac:dyDescent="0.35">
      <c r="H198" s="44"/>
      <c r="I198" s="44"/>
      <c r="J198" s="44"/>
    </row>
    <row r="199" spans="8:11" x14ac:dyDescent="0.35">
      <c r="H199" s="44"/>
      <c r="I199" s="44"/>
      <c r="J199" s="44"/>
    </row>
    <row r="200" spans="8:11" x14ac:dyDescent="0.35">
      <c r="H200" s="44"/>
      <c r="I200" s="44"/>
      <c r="J200" s="44"/>
    </row>
    <row r="201" spans="8:11" x14ac:dyDescent="0.35">
      <c r="H201" s="44"/>
      <c r="I201" s="44"/>
      <c r="J201" s="44"/>
    </row>
    <row r="202" spans="8:11" x14ac:dyDescent="0.35">
      <c r="H202" s="44"/>
      <c r="I202" s="44"/>
      <c r="J202" s="44"/>
    </row>
  </sheetData>
  <autoFilter ref="A2:O191" xr:uid="{00000000-0001-0000-0100-000000000000}">
    <filterColumn colId="3">
      <customFilters>
        <customFilter operator="notEqual" val=" "/>
      </customFilters>
    </filterColumn>
    <filterColumn colId="13">
      <filters blank="1"/>
    </filterColumn>
  </autoFilter>
  <mergeCells count="1">
    <mergeCell ref="B1:M1"/>
  </mergeCells>
  <conditionalFormatting sqref="F1:F1048576 I74:J77 I114:J124 I126:J157 I162:J167">
    <cfRule type="cellIs" dxfId="35" priority="1" operator="lessThan">
      <formula>0</formula>
    </cfRule>
  </conditionalFormatting>
  <conditionalFormatting sqref="H13">
    <cfRule type="cellIs" dxfId="34" priority="184" operator="lessThan">
      <formula>0</formula>
    </cfRule>
  </conditionalFormatting>
  <conditionalFormatting sqref="H28:H29">
    <cfRule type="cellIs" dxfId="33" priority="279" operator="lessThan">
      <formula>0</formula>
    </cfRule>
  </conditionalFormatting>
  <conditionalFormatting sqref="H32:H33">
    <cfRule type="cellIs" dxfId="32" priority="81" operator="lessThan">
      <formula>0</formula>
    </cfRule>
  </conditionalFormatting>
  <conditionalFormatting sqref="H57">
    <cfRule type="cellIs" dxfId="31" priority="141" operator="lessThan">
      <formula>0</formula>
    </cfRule>
  </conditionalFormatting>
  <conditionalFormatting sqref="H81:H82">
    <cfRule type="cellIs" dxfId="30" priority="697" operator="lessThan">
      <formula>0</formula>
    </cfRule>
  </conditionalFormatting>
  <conditionalFormatting sqref="H172">
    <cfRule type="cellIs" dxfId="29" priority="144" operator="lessThan">
      <formula>0</formula>
    </cfRule>
  </conditionalFormatting>
  <conditionalFormatting sqref="H161:I161">
    <cfRule type="cellIs" dxfId="28" priority="7" operator="lessThan">
      <formula>0</formula>
    </cfRule>
  </conditionalFormatting>
  <conditionalFormatting sqref="H18:J18">
    <cfRule type="cellIs" dxfId="27" priority="49" operator="lessThan">
      <formula>0</formula>
    </cfRule>
  </conditionalFormatting>
  <conditionalFormatting sqref="H35:J36">
    <cfRule type="cellIs" dxfId="26" priority="42" operator="lessThan">
      <formula>0</formula>
    </cfRule>
  </conditionalFormatting>
  <conditionalFormatting sqref="H42:J42">
    <cfRule type="cellIs" dxfId="25" priority="203" operator="lessThan">
      <formula>0</formula>
    </cfRule>
  </conditionalFormatting>
  <conditionalFormatting sqref="H56:J56">
    <cfRule type="cellIs" dxfId="24" priority="31" operator="lessThan">
      <formula>0</formula>
    </cfRule>
  </conditionalFormatting>
  <conditionalFormatting sqref="H78:J78">
    <cfRule type="cellIs" dxfId="23" priority="355" operator="lessThan">
      <formula>0</formula>
    </cfRule>
  </conditionalFormatting>
  <conditionalFormatting sqref="H84:J84">
    <cfRule type="cellIs" dxfId="22" priority="15" operator="lessThan">
      <formula>0</formula>
    </cfRule>
  </conditionalFormatting>
  <conditionalFormatting sqref="H101:J101">
    <cfRule type="cellIs" dxfId="21" priority="583" operator="lessThan">
      <formula>0</formula>
    </cfRule>
  </conditionalFormatting>
  <conditionalFormatting sqref="H105:J105">
    <cfRule type="cellIs" dxfId="20" priority="660" operator="lessThan">
      <formula>0</formula>
    </cfRule>
  </conditionalFormatting>
  <conditionalFormatting sqref="H108:J108">
    <cfRule type="cellIs" dxfId="19" priority="291" operator="lessThan">
      <formula>0</formula>
    </cfRule>
  </conditionalFormatting>
  <conditionalFormatting sqref="H113:J113">
    <cfRule type="cellIs" dxfId="18" priority="151" operator="lessThan">
      <formula>0</formula>
    </cfRule>
  </conditionalFormatting>
  <conditionalFormatting sqref="H168:J168">
    <cfRule type="cellIs" dxfId="17" priority="220" operator="lessThan">
      <formula>0</formula>
    </cfRule>
  </conditionalFormatting>
  <conditionalFormatting sqref="H177:J177">
    <cfRule type="cellIs" dxfId="16" priority="439" operator="lessThan">
      <formula>0</formula>
    </cfRule>
  </conditionalFormatting>
  <conditionalFormatting sqref="H189:J189">
    <cfRule type="cellIs" dxfId="15" priority="780" operator="lessThan">
      <formula>0</formula>
    </cfRule>
  </conditionalFormatting>
  <conditionalFormatting sqref="I1:J17">
    <cfRule type="cellIs" dxfId="14" priority="5" operator="lessThan">
      <formula>0</formula>
    </cfRule>
  </conditionalFormatting>
  <conditionalFormatting sqref="I19:J34">
    <cfRule type="cellIs" dxfId="13" priority="29" operator="lessThan">
      <formula>0</formula>
    </cfRule>
  </conditionalFormatting>
  <conditionalFormatting sqref="I43:J52">
    <cfRule type="cellIs" dxfId="12" priority="4" operator="lessThan">
      <formula>0</formula>
    </cfRule>
  </conditionalFormatting>
  <conditionalFormatting sqref="I57:J58">
    <cfRule type="cellIs" dxfId="11" priority="310" operator="lessThan">
      <formula>0</formula>
    </cfRule>
  </conditionalFormatting>
  <conditionalFormatting sqref="I60:J62">
    <cfRule type="cellIs" dxfId="10" priority="604" operator="lessThan">
      <formula>0</formula>
    </cfRule>
  </conditionalFormatting>
  <conditionalFormatting sqref="I64:J67">
    <cfRule type="cellIs" dxfId="9" priority="2" operator="lessThan">
      <formula>0</formula>
    </cfRule>
  </conditionalFormatting>
  <conditionalFormatting sqref="I69:J72">
    <cfRule type="cellIs" dxfId="8" priority="263" operator="lessThan">
      <formula>0</formula>
    </cfRule>
  </conditionalFormatting>
  <conditionalFormatting sqref="I79:J83">
    <cfRule type="cellIs" dxfId="7" priority="17" operator="lessThan">
      <formula>0</formula>
    </cfRule>
  </conditionalFormatting>
  <conditionalFormatting sqref="I85:J100">
    <cfRule type="cellIs" dxfId="6" priority="12" operator="lessThan">
      <formula>0</formula>
    </cfRule>
  </conditionalFormatting>
  <conditionalFormatting sqref="I109:J112">
    <cfRule type="cellIs" dxfId="5" priority="14" operator="lessThan">
      <formula>0</formula>
    </cfRule>
  </conditionalFormatting>
  <conditionalFormatting sqref="I169:J176">
    <cfRule type="cellIs" dxfId="4" priority="19" operator="lessThan">
      <formula>0</formula>
    </cfRule>
  </conditionalFormatting>
  <conditionalFormatting sqref="I181:J188">
    <cfRule type="cellIs" dxfId="3" priority="13" operator="lessThan">
      <formula>0</formula>
    </cfRule>
  </conditionalFormatting>
  <conditionalFormatting sqref="K26:L26 I37:J41 I54:J54 I102:J104 I106:J107 I159:J160 I178:J178 I192 I193:J194 I195">
    <cfRule type="cellIs" dxfId="2" priority="880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BC411-68DB-4893-8909-E500872076B4}">
  <sheetPr>
    <pageSetUpPr fitToPage="1"/>
  </sheetPr>
  <dimension ref="A1:BC87"/>
  <sheetViews>
    <sheetView tabSelected="1" topLeftCell="J1" zoomScale="90" zoomScaleNormal="90" workbookViewId="0">
      <pane ySplit="2" topLeftCell="A68" activePane="bottomLeft" state="frozen"/>
      <selection pane="bottomLeft" activeCell="O1" sqref="O1:R1048576"/>
    </sheetView>
  </sheetViews>
  <sheetFormatPr defaultColWidth="9.109375" defaultRowHeight="15.6" x14ac:dyDescent="0.3"/>
  <cols>
    <col min="1" max="1" width="16.109375" style="1" customWidth="1"/>
    <col min="2" max="2" width="34" customWidth="1"/>
    <col min="3" max="3" width="25.6640625" customWidth="1"/>
    <col min="4" max="4" width="14.33203125" customWidth="1"/>
    <col min="5" max="5" width="17.6640625" style="1" customWidth="1"/>
    <col min="6" max="6" width="22.6640625" customWidth="1"/>
    <col min="7" max="8" width="20.33203125" customWidth="1"/>
    <col min="9" max="9" width="26.6640625" style="1" customWidth="1"/>
    <col min="10" max="10" width="18.44140625" style="1" bestFit="1" customWidth="1"/>
    <col min="11" max="11" width="24.6640625" style="1" bestFit="1" customWidth="1"/>
    <col min="12" max="13" width="29.6640625" style="114" customWidth="1"/>
    <col min="14" max="15" width="9.109375" style="86"/>
    <col min="16" max="16" width="17.88671875" style="109" bestFit="1" customWidth="1"/>
    <col min="17" max="17" width="19.33203125" style="109" customWidth="1"/>
    <col min="18" max="18" width="17.77734375" style="109" bestFit="1" customWidth="1"/>
    <col min="19" max="50" width="9.109375" style="86"/>
    <col min="51" max="51" width="13" style="107" customWidth="1"/>
    <col min="52" max="16381" width="9.109375" style="86"/>
    <col min="16382" max="16384" width="22.5546875" style="86" customWidth="1"/>
  </cols>
  <sheetData>
    <row r="1" spans="1:55" ht="33" customHeight="1" thickBot="1" x14ac:dyDescent="0.35">
      <c r="A1" s="115" t="s">
        <v>394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10"/>
      <c r="M1" s="110"/>
    </row>
    <row r="2" spans="1:55" ht="36.6" thickBot="1" x14ac:dyDescent="0.4">
      <c r="A2" s="5" t="s">
        <v>232</v>
      </c>
      <c r="B2" s="6" t="s">
        <v>1</v>
      </c>
      <c r="C2" s="6" t="s">
        <v>2</v>
      </c>
      <c r="D2" s="6" t="s">
        <v>3</v>
      </c>
      <c r="E2" s="7" t="s">
        <v>4</v>
      </c>
      <c r="F2" s="7" t="s">
        <v>5</v>
      </c>
      <c r="G2" s="7" t="s">
        <v>6</v>
      </c>
      <c r="H2" s="7" t="s">
        <v>279</v>
      </c>
      <c r="I2" s="7" t="s">
        <v>7</v>
      </c>
      <c r="J2" s="64" t="s">
        <v>397</v>
      </c>
      <c r="K2" s="62" t="s">
        <v>231</v>
      </c>
      <c r="L2" s="111" t="s">
        <v>398</v>
      </c>
      <c r="M2" s="111" t="s">
        <v>572</v>
      </c>
      <c r="N2" s="89" t="s">
        <v>571</v>
      </c>
    </row>
    <row r="3" spans="1:55" ht="18" x14ac:dyDescent="0.35">
      <c r="A3" s="10">
        <v>45983</v>
      </c>
      <c r="B3" s="80" t="s">
        <v>262</v>
      </c>
      <c r="C3" s="11" t="s">
        <v>11</v>
      </c>
      <c r="D3" s="11" t="s">
        <v>16</v>
      </c>
      <c r="E3" s="87">
        <v>0</v>
      </c>
      <c r="F3" s="14">
        <f t="shared" ref="F3:F34" si="0">G3-E3</f>
        <v>0.14000000000000001</v>
      </c>
      <c r="G3" s="14">
        <v>0.14000000000000001</v>
      </c>
      <c r="H3" s="14">
        <v>1573.43</v>
      </c>
      <c r="I3" s="15" t="s">
        <v>23</v>
      </c>
      <c r="J3" s="65" t="s">
        <v>396</v>
      </c>
      <c r="K3" s="16">
        <f ca="1">IF(E3&gt;25, TODAY()-A3, 0)</f>
        <v>0</v>
      </c>
      <c r="L3" s="112">
        <v>28549.62</v>
      </c>
      <c r="M3" s="112">
        <v>35358</v>
      </c>
      <c r="N3" s="86">
        <f>M3*1.05</f>
        <v>37125.9</v>
      </c>
      <c r="AX3" s="86" t="s">
        <v>399</v>
      </c>
      <c r="AY3" s="107">
        <v>6243</v>
      </c>
      <c r="AZ3" s="86" t="s">
        <v>400</v>
      </c>
      <c r="BA3" s="86" t="s">
        <v>401</v>
      </c>
    </row>
    <row r="4" spans="1:55" ht="18" x14ac:dyDescent="0.35">
      <c r="A4" s="10">
        <v>46058</v>
      </c>
      <c r="B4" s="11" t="s">
        <v>285</v>
      </c>
      <c r="C4" s="11" t="s">
        <v>11</v>
      </c>
      <c r="D4" s="11" t="s">
        <v>16</v>
      </c>
      <c r="E4" s="12">
        <v>0</v>
      </c>
      <c r="F4" s="14">
        <f t="shared" si="0"/>
        <v>2.87</v>
      </c>
      <c r="G4" s="14">
        <v>2.87</v>
      </c>
      <c r="H4" s="14">
        <v>1425</v>
      </c>
      <c r="I4" s="15" t="s">
        <v>23</v>
      </c>
      <c r="J4" s="65" t="s">
        <v>396</v>
      </c>
      <c r="K4" s="16">
        <f t="shared" ref="K4:K67" ca="1" si="1">IF(E4&gt;25, TODAY()-A4, 0)</f>
        <v>0</v>
      </c>
      <c r="L4" s="112">
        <v>30212.812000000002</v>
      </c>
      <c r="M4" s="112">
        <v>38762.499999999993</v>
      </c>
      <c r="N4" s="86">
        <f t="shared" ref="M4:N67" si="2">M4*1.05</f>
        <v>40700.624999999993</v>
      </c>
      <c r="AX4" s="86" t="s">
        <v>399</v>
      </c>
      <c r="AY4" s="107">
        <v>6316</v>
      </c>
      <c r="AZ4" s="86" t="s">
        <v>402</v>
      </c>
      <c r="BA4" s="86" t="s">
        <v>403</v>
      </c>
    </row>
    <row r="5" spans="1:55" ht="18" x14ac:dyDescent="0.35">
      <c r="A5" s="10">
        <v>46074</v>
      </c>
      <c r="B5" s="11" t="s">
        <v>298</v>
      </c>
      <c r="C5" s="11" t="s">
        <v>11</v>
      </c>
      <c r="D5" s="11" t="s">
        <v>16</v>
      </c>
      <c r="E5" s="12">
        <v>0</v>
      </c>
      <c r="F5" s="14">
        <f t="shared" si="0"/>
        <v>29.106999999999999</v>
      </c>
      <c r="G5" s="14">
        <v>29.106999999999999</v>
      </c>
      <c r="H5" s="14">
        <v>1362.808</v>
      </c>
      <c r="I5" s="15" t="s">
        <v>23</v>
      </c>
      <c r="J5" s="65" t="s">
        <v>396</v>
      </c>
      <c r="K5" s="16">
        <f t="shared" ca="1" si="1"/>
        <v>0</v>
      </c>
      <c r="L5" s="112">
        <v>36627.980999524509</v>
      </c>
      <c r="M5" s="112">
        <v>46583.333333333336</v>
      </c>
      <c r="N5" s="86">
        <f t="shared" si="2"/>
        <v>48912.500000000007</v>
      </c>
      <c r="AX5" s="86" t="s">
        <v>399</v>
      </c>
      <c r="AY5" s="107">
        <v>6302</v>
      </c>
      <c r="AZ5" s="86" t="s">
        <v>404</v>
      </c>
      <c r="BA5" s="86" t="s">
        <v>405</v>
      </c>
      <c r="BB5" s="86" t="s">
        <v>406</v>
      </c>
      <c r="BC5" s="86" t="s">
        <v>407</v>
      </c>
    </row>
    <row r="6" spans="1:55" ht="18" x14ac:dyDescent="0.35">
      <c r="A6" s="10">
        <v>46089</v>
      </c>
      <c r="B6" s="11" t="s">
        <v>311</v>
      </c>
      <c r="C6" s="11" t="s">
        <v>11</v>
      </c>
      <c r="D6" s="11" t="s">
        <v>16</v>
      </c>
      <c r="E6" s="12">
        <f>2002.368-50-21-100-100-50-417-120-25-170-50+245-20-20-875-20+484-45-10-25-30-96+30-155-20+25-96</f>
        <v>271.36799999999994</v>
      </c>
      <c r="F6" s="14">
        <f t="shared" si="0"/>
        <v>372.54100000000005</v>
      </c>
      <c r="G6" s="14">
        <v>643.90899999999999</v>
      </c>
      <c r="H6" s="14">
        <v>2002.3679999999999</v>
      </c>
      <c r="I6" s="15" t="s">
        <v>23</v>
      </c>
      <c r="J6" s="65" t="s">
        <v>396</v>
      </c>
      <c r="K6" s="16">
        <f t="shared" ca="1" si="1"/>
        <v>82</v>
      </c>
      <c r="L6" s="112">
        <v>35873.199996204487</v>
      </c>
      <c r="M6" s="112">
        <v>54988.461538461546</v>
      </c>
      <c r="N6" s="86">
        <f t="shared" si="2"/>
        <v>57737.884615384624</v>
      </c>
      <c r="AX6" s="86" t="s">
        <v>399</v>
      </c>
      <c r="AY6" s="107">
        <v>6321</v>
      </c>
      <c r="AZ6" s="86" t="s">
        <v>408</v>
      </c>
      <c r="BA6" s="86" t="s">
        <v>409</v>
      </c>
    </row>
    <row r="7" spans="1:55" ht="18" x14ac:dyDescent="0.35">
      <c r="A7" s="10">
        <v>45929</v>
      </c>
      <c r="B7" s="11" t="s">
        <v>252</v>
      </c>
      <c r="C7" s="11" t="s">
        <v>11</v>
      </c>
      <c r="D7" s="11" t="s">
        <v>19</v>
      </c>
      <c r="E7" s="12">
        <v>0</v>
      </c>
      <c r="F7" s="14">
        <f t="shared" si="0"/>
        <v>0.54</v>
      </c>
      <c r="G7" s="14">
        <v>0.54</v>
      </c>
      <c r="H7" s="14">
        <v>995.53300000000002</v>
      </c>
      <c r="I7" s="15" t="s">
        <v>290</v>
      </c>
      <c r="J7" s="65" t="s">
        <v>396</v>
      </c>
      <c r="K7" s="16">
        <f t="shared" ca="1" si="1"/>
        <v>0</v>
      </c>
      <c r="L7" s="112">
        <v>31406.49249798763</v>
      </c>
      <c r="M7" s="112">
        <v>30500</v>
      </c>
      <c r="N7" s="86">
        <f t="shared" si="2"/>
        <v>32025</v>
      </c>
      <c r="AX7" s="86" t="s">
        <v>399</v>
      </c>
      <c r="AY7" s="107" t="s">
        <v>411</v>
      </c>
      <c r="AZ7" s="86" t="s">
        <v>412</v>
      </c>
      <c r="BA7" s="86" t="s">
        <v>413</v>
      </c>
    </row>
    <row r="8" spans="1:55" ht="18" x14ac:dyDescent="0.35">
      <c r="A8" s="10">
        <v>46066</v>
      </c>
      <c r="B8" s="11" t="s">
        <v>289</v>
      </c>
      <c r="C8" s="11" t="s">
        <v>11</v>
      </c>
      <c r="D8" s="11" t="s">
        <v>19</v>
      </c>
      <c r="E8" s="12">
        <v>0</v>
      </c>
      <c r="F8" s="14">
        <f t="shared" si="0"/>
        <v>22.387</v>
      </c>
      <c r="G8" s="14">
        <v>22.387</v>
      </c>
      <c r="H8" s="14">
        <v>950.01199999999994</v>
      </c>
      <c r="I8" s="15" t="s">
        <v>290</v>
      </c>
      <c r="J8" s="65" t="s">
        <v>396</v>
      </c>
      <c r="K8" s="16">
        <f t="shared" ca="1" si="1"/>
        <v>0</v>
      </c>
      <c r="L8" s="112">
        <v>32103.198496440051</v>
      </c>
      <c r="M8" s="112">
        <v>41461.538461538461</v>
      </c>
      <c r="N8" s="86">
        <f t="shared" si="2"/>
        <v>43534.615384615383</v>
      </c>
      <c r="AX8" s="86" t="s">
        <v>399</v>
      </c>
      <c r="AY8" s="107" t="s">
        <v>414</v>
      </c>
      <c r="AZ8" s="86" t="s">
        <v>415</v>
      </c>
      <c r="BA8" s="86" t="s">
        <v>416</v>
      </c>
    </row>
    <row r="9" spans="1:55" ht="18" x14ac:dyDescent="0.35">
      <c r="A9" s="10">
        <v>46118</v>
      </c>
      <c r="B9" s="11" t="s">
        <v>339</v>
      </c>
      <c r="C9" s="11" t="s">
        <v>11</v>
      </c>
      <c r="D9" s="11" t="s">
        <v>19</v>
      </c>
      <c r="E9" s="12">
        <f>1891.307-25-25-25</f>
        <v>1816.307</v>
      </c>
      <c r="F9" s="14">
        <f t="shared" si="0"/>
        <v>26.650000000000091</v>
      </c>
      <c r="G9" s="14">
        <v>1842.9570000000001</v>
      </c>
      <c r="H9" s="14">
        <v>1891.307</v>
      </c>
      <c r="I9" s="15" t="s">
        <v>290</v>
      </c>
      <c r="J9" s="65" t="s">
        <v>396</v>
      </c>
      <c r="K9" s="16">
        <f t="shared" ca="1" si="1"/>
        <v>53</v>
      </c>
      <c r="L9" s="112">
        <v>41470</v>
      </c>
      <c r="M9" s="112">
        <v>48000</v>
      </c>
      <c r="N9" s="86">
        <f t="shared" si="2"/>
        <v>50400</v>
      </c>
      <c r="AX9" s="86" t="s">
        <v>399</v>
      </c>
      <c r="AY9" s="107">
        <v>6377</v>
      </c>
      <c r="AZ9" s="86" t="s">
        <v>417</v>
      </c>
      <c r="BA9" s="86" t="s">
        <v>418</v>
      </c>
    </row>
    <row r="10" spans="1:55" ht="18" x14ac:dyDescent="0.35">
      <c r="A10" s="10">
        <v>46136</v>
      </c>
      <c r="B10" s="11" t="s">
        <v>361</v>
      </c>
      <c r="C10" s="11" t="s">
        <v>11</v>
      </c>
      <c r="D10" s="11" t="s">
        <v>9</v>
      </c>
      <c r="E10" s="12">
        <f>1890.959-507.99-262-530-484-202-70+70+120</f>
        <v>24.969000000000051</v>
      </c>
      <c r="F10" s="14">
        <f t="shared" si="0"/>
        <v>66.533999999999949</v>
      </c>
      <c r="G10" s="14">
        <v>91.503</v>
      </c>
      <c r="H10" s="14">
        <v>1890.9590000000001</v>
      </c>
      <c r="I10" s="15" t="s">
        <v>362</v>
      </c>
      <c r="J10" s="65" t="s">
        <v>396</v>
      </c>
      <c r="K10" s="16">
        <f t="shared" ca="1" si="1"/>
        <v>0</v>
      </c>
      <c r="L10" s="112">
        <v>37847.972500000003</v>
      </c>
      <c r="M10" s="112">
        <v>48333.333333333336</v>
      </c>
      <c r="N10" s="86">
        <f t="shared" si="2"/>
        <v>50750.000000000007</v>
      </c>
      <c r="AX10" s="86" t="s">
        <v>399</v>
      </c>
      <c r="AY10" s="107">
        <v>6395</v>
      </c>
      <c r="AZ10" s="86" t="s">
        <v>419</v>
      </c>
    </row>
    <row r="11" spans="1:55" ht="18" x14ac:dyDescent="0.35">
      <c r="A11" s="10">
        <v>46136</v>
      </c>
      <c r="B11" s="11" t="s">
        <v>360</v>
      </c>
      <c r="C11" s="11" t="s">
        <v>240</v>
      </c>
      <c r="D11" s="11" t="s">
        <v>9</v>
      </c>
      <c r="E11" s="12">
        <v>0</v>
      </c>
      <c r="F11" s="14">
        <f t="shared" si="0"/>
        <v>54.277000000000001</v>
      </c>
      <c r="G11" s="14">
        <v>54.277000000000001</v>
      </c>
      <c r="H11" s="14">
        <v>475</v>
      </c>
      <c r="I11" s="15" t="s">
        <v>32</v>
      </c>
      <c r="J11" s="65" t="s">
        <v>396</v>
      </c>
      <c r="K11" s="16">
        <f t="shared" ca="1" si="1"/>
        <v>0</v>
      </c>
      <c r="L11" s="112">
        <v>135178.45000000001</v>
      </c>
      <c r="M11" s="112">
        <v>145291.66666666666</v>
      </c>
      <c r="N11" s="86">
        <f t="shared" si="2"/>
        <v>152556.25</v>
      </c>
      <c r="AX11" s="86" t="s">
        <v>399</v>
      </c>
      <c r="AY11" s="107">
        <v>6365</v>
      </c>
      <c r="AZ11" s="86" t="s">
        <v>419</v>
      </c>
    </row>
    <row r="12" spans="1:55" ht="18" x14ac:dyDescent="0.35">
      <c r="A12" s="10">
        <v>46142</v>
      </c>
      <c r="B12" s="11" t="s">
        <v>365</v>
      </c>
      <c r="C12" s="11" t="s">
        <v>240</v>
      </c>
      <c r="D12" s="11" t="s">
        <v>9</v>
      </c>
      <c r="E12" s="12">
        <f>953.922-75.801-71-25-20-40</f>
        <v>722.12099999999998</v>
      </c>
      <c r="F12" s="14">
        <f t="shared" si="0"/>
        <v>46.571000000000026</v>
      </c>
      <c r="G12" s="14">
        <v>768.69200000000001</v>
      </c>
      <c r="H12" s="14">
        <v>953.92200000000003</v>
      </c>
      <c r="I12" s="15" t="s">
        <v>32</v>
      </c>
      <c r="J12" s="65" t="s">
        <v>396</v>
      </c>
      <c r="K12" s="16">
        <f t="shared" ca="1" si="1"/>
        <v>29</v>
      </c>
      <c r="L12" s="112">
        <v>138749.20000333976</v>
      </c>
      <c r="M12" s="112">
        <v>138375</v>
      </c>
      <c r="N12" s="86">
        <f t="shared" si="2"/>
        <v>145293.75</v>
      </c>
      <c r="AX12" s="86" t="s">
        <v>399</v>
      </c>
      <c r="AY12" s="107">
        <v>6381</v>
      </c>
      <c r="AZ12" s="86" t="s">
        <v>423</v>
      </c>
      <c r="BA12" s="86" t="s">
        <v>424</v>
      </c>
    </row>
    <row r="13" spans="1:55" ht="18" x14ac:dyDescent="0.35">
      <c r="A13" s="10">
        <v>46051</v>
      </c>
      <c r="B13" s="11" t="s">
        <v>283</v>
      </c>
      <c r="C13" s="11" t="s">
        <v>46</v>
      </c>
      <c r="D13" s="11" t="s">
        <v>9</v>
      </c>
      <c r="E13" s="12">
        <v>0</v>
      </c>
      <c r="F13" s="14">
        <f t="shared" si="0"/>
        <v>24.3</v>
      </c>
      <c r="G13" s="14">
        <v>24.3</v>
      </c>
      <c r="H13" s="14">
        <v>1894.95</v>
      </c>
      <c r="I13" s="15" t="s">
        <v>32</v>
      </c>
      <c r="J13" s="65" t="s">
        <v>396</v>
      </c>
      <c r="K13" s="16">
        <f t="shared" ca="1" si="1"/>
        <v>0</v>
      </c>
      <c r="L13" s="112">
        <v>69118.005599531913</v>
      </c>
      <c r="M13" s="112">
        <v>97307.14285714287</v>
      </c>
      <c r="N13" s="86">
        <f t="shared" si="2"/>
        <v>102172.50000000001</v>
      </c>
      <c r="AX13" s="86" t="s">
        <v>399</v>
      </c>
      <c r="AY13" s="107">
        <v>6259</v>
      </c>
      <c r="AZ13" s="86" t="s">
        <v>429</v>
      </c>
      <c r="BA13" s="86" t="s">
        <v>430</v>
      </c>
    </row>
    <row r="14" spans="1:55" ht="18" x14ac:dyDescent="0.35">
      <c r="A14" s="10">
        <v>46125</v>
      </c>
      <c r="B14" s="11" t="s">
        <v>348</v>
      </c>
      <c r="C14" s="11" t="s">
        <v>46</v>
      </c>
      <c r="D14" s="11" t="s">
        <v>9</v>
      </c>
      <c r="E14" s="13">
        <f>164.975-50</f>
        <v>114.97499999999999</v>
      </c>
      <c r="F14" s="14">
        <f t="shared" si="0"/>
        <v>0.4100000000000108</v>
      </c>
      <c r="G14" s="14">
        <v>115.38500000000001</v>
      </c>
      <c r="H14" s="14">
        <v>190.678</v>
      </c>
      <c r="I14" s="15" t="s">
        <v>32</v>
      </c>
      <c r="J14" s="65" t="s">
        <v>396</v>
      </c>
      <c r="K14" s="16">
        <f t="shared" ca="1" si="1"/>
        <v>46</v>
      </c>
      <c r="L14" s="112">
        <v>122399.73526049151</v>
      </c>
      <c r="M14" s="112">
        <v>130500</v>
      </c>
      <c r="N14" s="86">
        <f t="shared" si="2"/>
        <v>137025</v>
      </c>
      <c r="AX14" s="86" t="s">
        <v>399</v>
      </c>
      <c r="AY14" s="107">
        <v>6382</v>
      </c>
      <c r="AZ14" s="86" t="s">
        <v>429</v>
      </c>
      <c r="BA14" s="86" t="s">
        <v>430</v>
      </c>
    </row>
    <row r="15" spans="1:55" ht="18" x14ac:dyDescent="0.35">
      <c r="A15" s="10">
        <v>46136</v>
      </c>
      <c r="B15" s="11" t="s">
        <v>359</v>
      </c>
      <c r="C15" s="11" t="s">
        <v>46</v>
      </c>
      <c r="D15" s="11" t="s">
        <v>9</v>
      </c>
      <c r="E15" s="12">
        <v>0</v>
      </c>
      <c r="F15" s="14">
        <f t="shared" si="0"/>
        <v>584.10900000000004</v>
      </c>
      <c r="G15" s="14">
        <v>584.10900000000004</v>
      </c>
      <c r="H15" s="14">
        <v>1499.963</v>
      </c>
      <c r="I15" s="15" t="s">
        <v>29</v>
      </c>
      <c r="J15" s="65" t="s">
        <v>396</v>
      </c>
      <c r="K15" s="16">
        <f t="shared" ca="1" si="1"/>
        <v>0</v>
      </c>
      <c r="L15" s="112">
        <v>119875.24999616656</v>
      </c>
      <c r="M15" s="112">
        <v>118458.33333333333</v>
      </c>
      <c r="N15" s="86">
        <f t="shared" si="2"/>
        <v>124381.25</v>
      </c>
      <c r="AX15" s="86" t="s">
        <v>399</v>
      </c>
      <c r="AY15" s="107">
        <v>6364</v>
      </c>
      <c r="AZ15" s="86" t="s">
        <v>419</v>
      </c>
    </row>
    <row r="16" spans="1:55" ht="18" x14ac:dyDescent="0.35">
      <c r="A16" s="10">
        <v>46148</v>
      </c>
      <c r="B16" s="11" t="s">
        <v>372</v>
      </c>
      <c r="C16" s="11" t="s">
        <v>46</v>
      </c>
      <c r="D16" s="11" t="s">
        <v>9</v>
      </c>
      <c r="E16" s="12">
        <f>1890.449-45-16-13-16-63-16-244</f>
        <v>1477.4490000000001</v>
      </c>
      <c r="F16" s="14">
        <f t="shared" si="0"/>
        <v>413</v>
      </c>
      <c r="G16" s="14">
        <v>1890.4490000000001</v>
      </c>
      <c r="H16" s="14">
        <v>1890.4490000000001</v>
      </c>
      <c r="I16" s="15" t="s">
        <v>276</v>
      </c>
      <c r="J16" s="65" t="s">
        <v>396</v>
      </c>
      <c r="K16" s="16">
        <f t="shared" ca="1" si="1"/>
        <v>23</v>
      </c>
      <c r="L16" s="112">
        <v>115240.48080034263</v>
      </c>
      <c r="M16" s="112">
        <v>120500</v>
      </c>
      <c r="N16" s="86">
        <f t="shared" si="2"/>
        <v>126525</v>
      </c>
      <c r="AX16" s="86" t="s">
        <v>399</v>
      </c>
      <c r="AY16" s="107">
        <v>6349</v>
      </c>
      <c r="AZ16" s="86" t="s">
        <v>404</v>
      </c>
      <c r="BA16" s="86" t="s">
        <v>405</v>
      </c>
      <c r="BB16" s="86" t="s">
        <v>406</v>
      </c>
      <c r="BC16" s="86" t="s">
        <v>407</v>
      </c>
    </row>
    <row r="17" spans="1:53" ht="18" x14ac:dyDescent="0.35">
      <c r="A17" s="10">
        <v>45948</v>
      </c>
      <c r="B17" s="11" t="s">
        <v>254</v>
      </c>
      <c r="C17" s="11" t="s">
        <v>46</v>
      </c>
      <c r="D17" s="11" t="s">
        <v>19</v>
      </c>
      <c r="E17" s="12">
        <v>2.42</v>
      </c>
      <c r="F17" s="14">
        <f t="shared" si="0"/>
        <v>0</v>
      </c>
      <c r="G17" s="14">
        <v>2.42</v>
      </c>
      <c r="H17" s="14">
        <v>646.42700000000002</v>
      </c>
      <c r="I17" s="15" t="s">
        <v>26</v>
      </c>
      <c r="J17" s="65" t="s">
        <v>396</v>
      </c>
      <c r="K17" s="16">
        <f t="shared" ca="1" si="1"/>
        <v>0</v>
      </c>
      <c r="L17" s="112">
        <v>68975.426198724832</v>
      </c>
      <c r="M17" s="112">
        <v>79182.5</v>
      </c>
      <c r="N17" s="86">
        <f t="shared" si="2"/>
        <v>83141.625</v>
      </c>
      <c r="AX17" s="86" t="s">
        <v>399</v>
      </c>
      <c r="AY17" s="107">
        <v>6181</v>
      </c>
      <c r="AZ17" s="86" t="s">
        <v>431</v>
      </c>
      <c r="BA17" s="86" t="s">
        <v>432</v>
      </c>
    </row>
    <row r="18" spans="1:53" ht="18" x14ac:dyDescent="0.35">
      <c r="A18" s="10">
        <v>46098</v>
      </c>
      <c r="B18" s="11" t="s">
        <v>329</v>
      </c>
      <c r="C18" s="11" t="s">
        <v>46</v>
      </c>
      <c r="D18" s="11" t="s">
        <v>19</v>
      </c>
      <c r="E18" s="12">
        <f>665.028-21-101-60+30-10-100-116+165+100-9-75-22-135-50+21+50-10-30-50-127+50-70</f>
        <v>95.02800000000002</v>
      </c>
      <c r="F18" s="14">
        <f t="shared" si="0"/>
        <v>134.04</v>
      </c>
      <c r="G18" s="14">
        <v>229.06800000000001</v>
      </c>
      <c r="H18" s="14">
        <v>665.02800000000002</v>
      </c>
      <c r="I18" s="15" t="s">
        <v>319</v>
      </c>
      <c r="J18" s="65" t="s">
        <v>396</v>
      </c>
      <c r="K18" s="16">
        <f t="shared" ca="1" si="1"/>
        <v>73</v>
      </c>
      <c r="L18" s="112">
        <v>80021.287504684806</v>
      </c>
      <c r="M18" s="112">
        <v>121314.28571428571</v>
      </c>
      <c r="N18" s="86">
        <f t="shared" si="2"/>
        <v>127380</v>
      </c>
      <c r="AX18" s="86" t="s">
        <v>399</v>
      </c>
      <c r="AY18" s="107">
        <v>6356</v>
      </c>
      <c r="AZ18" s="86" t="s">
        <v>433</v>
      </c>
      <c r="BA18" s="86" t="s">
        <v>434</v>
      </c>
    </row>
    <row r="19" spans="1:53" ht="18" x14ac:dyDescent="0.35">
      <c r="A19" s="10">
        <v>45903</v>
      </c>
      <c r="B19" s="11" t="s">
        <v>244</v>
      </c>
      <c r="C19" s="11" t="s">
        <v>234</v>
      </c>
      <c r="D19" s="11" t="s">
        <v>9</v>
      </c>
      <c r="E19" s="12">
        <v>0</v>
      </c>
      <c r="F19" s="14">
        <f t="shared" si="0"/>
        <v>54.613</v>
      </c>
      <c r="G19" s="14">
        <v>54.613</v>
      </c>
      <c r="H19" s="14">
        <v>945.69399999999996</v>
      </c>
      <c r="I19" s="15" t="s">
        <v>245</v>
      </c>
      <c r="J19" s="65" t="s">
        <v>396</v>
      </c>
      <c r="K19" s="16">
        <f t="shared" ca="1" si="1"/>
        <v>0</v>
      </c>
      <c r="L19" s="112">
        <v>97203.575602479716</v>
      </c>
      <c r="M19" s="112">
        <v>125863.23529411765</v>
      </c>
      <c r="N19" s="86">
        <f t="shared" si="2"/>
        <v>132156.39705882352</v>
      </c>
      <c r="AX19" s="86" t="s">
        <v>399</v>
      </c>
      <c r="AY19" s="107">
        <v>6074</v>
      </c>
      <c r="AZ19" s="86" t="s">
        <v>441</v>
      </c>
      <c r="BA19" s="86" t="s">
        <v>442</v>
      </c>
    </row>
    <row r="20" spans="1:53" ht="18" x14ac:dyDescent="0.35">
      <c r="A20" s="10">
        <v>45901</v>
      </c>
      <c r="B20" s="11" t="s">
        <v>241</v>
      </c>
      <c r="C20" s="11" t="s">
        <v>242</v>
      </c>
      <c r="D20" s="11" t="s">
        <v>9</v>
      </c>
      <c r="E20" s="12">
        <v>0</v>
      </c>
      <c r="F20" s="14">
        <f t="shared" si="0"/>
        <v>2.0670000000000002</v>
      </c>
      <c r="G20" s="14">
        <v>2.0670000000000002</v>
      </c>
      <c r="H20" s="14">
        <v>1988.6969999999999</v>
      </c>
      <c r="I20" s="15" t="s">
        <v>47</v>
      </c>
      <c r="J20" s="65" t="s">
        <v>396</v>
      </c>
      <c r="K20" s="16">
        <f t="shared" ca="1" si="1"/>
        <v>0</v>
      </c>
      <c r="L20" s="112">
        <v>76781.866500553791</v>
      </c>
      <c r="M20" s="112">
        <v>86766.666666666672</v>
      </c>
      <c r="N20" s="86">
        <f t="shared" si="2"/>
        <v>91105.000000000015</v>
      </c>
      <c r="AX20" s="86" t="s">
        <v>399</v>
      </c>
      <c r="AY20" s="107">
        <v>6070</v>
      </c>
      <c r="AZ20" s="86" t="s">
        <v>400</v>
      </c>
      <c r="BA20" s="86" t="s">
        <v>445</v>
      </c>
    </row>
    <row r="21" spans="1:53" ht="18" x14ac:dyDescent="0.35">
      <c r="A21" s="10">
        <v>45936</v>
      </c>
      <c r="B21" s="11" t="s">
        <v>251</v>
      </c>
      <c r="C21" s="11" t="s">
        <v>53</v>
      </c>
      <c r="D21" s="11" t="s">
        <v>9</v>
      </c>
      <c r="E21" s="12">
        <v>0</v>
      </c>
      <c r="F21" s="14">
        <f t="shared" si="0"/>
        <v>10.446</v>
      </c>
      <c r="G21" s="14">
        <v>10.446</v>
      </c>
      <c r="H21" s="14">
        <v>1498.79</v>
      </c>
      <c r="I21" s="15" t="s">
        <v>32</v>
      </c>
      <c r="J21" s="65" t="s">
        <v>396</v>
      </c>
      <c r="K21" s="16">
        <f t="shared" ca="1" si="1"/>
        <v>0</v>
      </c>
      <c r="L21" s="112">
        <v>81078.699998206124</v>
      </c>
      <c r="M21" s="112">
        <v>94012.195121951227</v>
      </c>
      <c r="N21" s="86">
        <f t="shared" si="2"/>
        <v>98712.804878048788</v>
      </c>
      <c r="AX21" s="86" t="s">
        <v>399</v>
      </c>
      <c r="AY21" s="107" t="s">
        <v>446</v>
      </c>
      <c r="AZ21" s="86" t="s">
        <v>447</v>
      </c>
      <c r="BA21" s="86" t="s">
        <v>448</v>
      </c>
    </row>
    <row r="22" spans="1:53" ht="18" x14ac:dyDescent="0.35">
      <c r="A22" s="10">
        <v>45978</v>
      </c>
      <c r="B22" s="11" t="s">
        <v>258</v>
      </c>
      <c r="C22" s="11" t="s">
        <v>53</v>
      </c>
      <c r="D22" s="11" t="s">
        <v>9</v>
      </c>
      <c r="E22" s="13">
        <v>0</v>
      </c>
      <c r="F22" s="14">
        <f t="shared" si="0"/>
        <v>75.727000000000004</v>
      </c>
      <c r="G22" s="14">
        <v>75.727000000000004</v>
      </c>
      <c r="H22" s="14">
        <v>473.96699999999998</v>
      </c>
      <c r="I22" s="15" t="s">
        <v>32</v>
      </c>
      <c r="J22" s="65" t="s">
        <v>570</v>
      </c>
      <c r="K22" s="16">
        <f t="shared" ca="1" si="1"/>
        <v>0</v>
      </c>
      <c r="L22" s="112">
        <v>74825.100000000006</v>
      </c>
      <c r="M22" s="112">
        <v>80453.125</v>
      </c>
      <c r="N22" s="86">
        <f t="shared" si="2"/>
        <v>84475.78125</v>
      </c>
      <c r="AX22" s="86" t="s">
        <v>399</v>
      </c>
      <c r="AY22" s="107">
        <v>6233</v>
      </c>
      <c r="AZ22" s="86" t="s">
        <v>400</v>
      </c>
      <c r="BA22" s="86" t="s">
        <v>449</v>
      </c>
    </row>
    <row r="23" spans="1:53" ht="18" x14ac:dyDescent="0.35">
      <c r="A23" s="10">
        <v>46098</v>
      </c>
      <c r="B23" s="11" t="s">
        <v>327</v>
      </c>
      <c r="C23" s="11" t="s">
        <v>53</v>
      </c>
      <c r="D23" s="11" t="s">
        <v>19</v>
      </c>
      <c r="E23" s="12">
        <v>0</v>
      </c>
      <c r="F23" s="14">
        <f t="shared" si="0"/>
        <v>297.60199999999998</v>
      </c>
      <c r="G23" s="14">
        <v>297.60199999999998</v>
      </c>
      <c r="H23" s="14">
        <v>1896.9870000000001</v>
      </c>
      <c r="I23" s="15" t="s">
        <v>328</v>
      </c>
      <c r="J23" s="65" t="s">
        <v>396</v>
      </c>
      <c r="K23" s="16">
        <f t="shared" ca="1" si="1"/>
        <v>0</v>
      </c>
      <c r="L23" s="112">
        <v>82696.160000756689</v>
      </c>
      <c r="M23" s="112">
        <v>135746.15384615384</v>
      </c>
      <c r="N23" s="86">
        <f t="shared" si="2"/>
        <v>142533.46153846153</v>
      </c>
      <c r="AX23" s="86" t="s">
        <v>399</v>
      </c>
      <c r="AY23" s="107">
        <v>6355</v>
      </c>
      <c r="AZ23" s="86" t="s">
        <v>433</v>
      </c>
      <c r="BA23" s="86" t="s">
        <v>434</v>
      </c>
    </row>
    <row r="24" spans="1:53" ht="18" x14ac:dyDescent="0.35">
      <c r="A24" s="10">
        <v>45905</v>
      </c>
      <c r="B24" s="26" t="s">
        <v>243</v>
      </c>
      <c r="C24" s="11" t="s">
        <v>67</v>
      </c>
      <c r="D24" s="11" t="s">
        <v>9</v>
      </c>
      <c r="E24" s="13">
        <f>306.391-25+25</f>
        <v>306.39100000000002</v>
      </c>
      <c r="F24" s="14">
        <f t="shared" si="0"/>
        <v>2.7399999999999523</v>
      </c>
      <c r="G24" s="14">
        <v>309.13099999999997</v>
      </c>
      <c r="H24" s="14">
        <v>1890.7629999999999</v>
      </c>
      <c r="I24" s="15" t="s">
        <v>238</v>
      </c>
      <c r="J24" s="65" t="s">
        <v>396</v>
      </c>
      <c r="K24" s="16">
        <f t="shared" ca="1" si="1"/>
        <v>266</v>
      </c>
      <c r="L24" s="112">
        <v>85783.554520907652</v>
      </c>
      <c r="M24" s="112">
        <v>93039.062499999971</v>
      </c>
      <c r="N24" s="86">
        <f t="shared" si="2"/>
        <v>97691.015624999971</v>
      </c>
      <c r="AX24" s="86" t="s">
        <v>399</v>
      </c>
      <c r="AY24" s="107">
        <v>6072</v>
      </c>
      <c r="AZ24" s="86" t="s">
        <v>441</v>
      </c>
      <c r="BA24" s="86" t="s">
        <v>442</v>
      </c>
    </row>
    <row r="25" spans="1:53" ht="18" x14ac:dyDescent="0.35">
      <c r="A25" s="10">
        <v>46123</v>
      </c>
      <c r="B25" s="11" t="s">
        <v>345</v>
      </c>
      <c r="C25" s="11" t="s">
        <v>67</v>
      </c>
      <c r="D25" s="11" t="s">
        <v>9</v>
      </c>
      <c r="E25" s="12">
        <f>238.948-80-21-90+11+21</f>
        <v>79.948000000000008</v>
      </c>
      <c r="F25" s="14">
        <f t="shared" si="0"/>
        <v>74.87</v>
      </c>
      <c r="G25" s="14">
        <v>154.81800000000001</v>
      </c>
      <c r="H25" s="14">
        <v>240</v>
      </c>
      <c r="I25" s="15" t="s">
        <v>32</v>
      </c>
      <c r="J25" s="65" t="s">
        <v>396</v>
      </c>
      <c r="K25" s="16">
        <f t="shared" ca="1" si="1"/>
        <v>48</v>
      </c>
      <c r="L25" s="112">
        <v>122996.25</v>
      </c>
      <c r="M25" s="112">
        <v>168116.66666666669</v>
      </c>
      <c r="N25" s="86">
        <f t="shared" si="2"/>
        <v>176522.50000000003</v>
      </c>
      <c r="AX25" s="86" t="s">
        <v>399</v>
      </c>
      <c r="AY25" s="107">
        <v>6371</v>
      </c>
      <c r="AZ25" s="86" t="s">
        <v>454</v>
      </c>
      <c r="BA25" s="86">
        <v>1</v>
      </c>
    </row>
    <row r="26" spans="1:53" ht="18" x14ac:dyDescent="0.35">
      <c r="A26" s="10">
        <v>46131</v>
      </c>
      <c r="B26" s="11" t="s">
        <v>354</v>
      </c>
      <c r="C26" s="11" t="s">
        <v>67</v>
      </c>
      <c r="D26" s="11" t="s">
        <v>9</v>
      </c>
      <c r="E26" s="12">
        <v>0</v>
      </c>
      <c r="F26" s="14">
        <f t="shared" si="0"/>
        <v>454.39699999999999</v>
      </c>
      <c r="G26" s="14">
        <v>454.39699999999999</v>
      </c>
      <c r="H26" s="14">
        <v>498.637</v>
      </c>
      <c r="I26" s="15" t="s">
        <v>32</v>
      </c>
      <c r="J26" s="65" t="s">
        <v>396</v>
      </c>
      <c r="K26" s="16">
        <f t="shared" ca="1" si="1"/>
        <v>0</v>
      </c>
      <c r="L26" s="112">
        <v>158133.30000520751</v>
      </c>
      <c r="M26" s="112">
        <v>168125</v>
      </c>
      <c r="N26" s="86">
        <f t="shared" si="2"/>
        <v>176531.25</v>
      </c>
      <c r="AX26" s="86" t="s">
        <v>399</v>
      </c>
      <c r="AY26" s="107">
        <v>6378</v>
      </c>
      <c r="AZ26" s="86" t="s">
        <v>455</v>
      </c>
      <c r="BA26" s="86" t="s">
        <v>456</v>
      </c>
    </row>
    <row r="27" spans="1:53" ht="18" x14ac:dyDescent="0.35">
      <c r="A27" s="10">
        <v>46098</v>
      </c>
      <c r="B27" s="11" t="s">
        <v>330</v>
      </c>
      <c r="C27" s="11" t="s">
        <v>67</v>
      </c>
      <c r="D27" s="11" t="s">
        <v>19</v>
      </c>
      <c r="E27" s="12">
        <v>0</v>
      </c>
      <c r="F27" s="14">
        <f t="shared" si="0"/>
        <v>2.2989999999999999</v>
      </c>
      <c r="G27" s="14">
        <v>2.2989999999999999</v>
      </c>
      <c r="H27" s="14">
        <v>475.56900000000002</v>
      </c>
      <c r="I27" s="15" t="s">
        <v>319</v>
      </c>
      <c r="J27" s="65" t="s">
        <v>235</v>
      </c>
      <c r="K27" s="16">
        <f t="shared" ca="1" si="1"/>
        <v>0</v>
      </c>
      <c r="L27" s="112">
        <v>80483.78748986336</v>
      </c>
      <c r="M27" s="112">
        <v>149242.85714285716</v>
      </c>
      <c r="N27" s="86">
        <f t="shared" si="2"/>
        <v>156705.00000000003</v>
      </c>
      <c r="AX27" s="86" t="s">
        <v>399</v>
      </c>
      <c r="AY27" s="107">
        <v>6357</v>
      </c>
      <c r="AZ27" s="86" t="s">
        <v>433</v>
      </c>
      <c r="BA27" s="86" t="s">
        <v>434</v>
      </c>
    </row>
    <row r="28" spans="1:53" ht="18" x14ac:dyDescent="0.35">
      <c r="A28" s="10">
        <v>46156</v>
      </c>
      <c r="B28" s="11" t="s">
        <v>379</v>
      </c>
      <c r="C28" s="11" t="s">
        <v>230</v>
      </c>
      <c r="D28" s="11" t="s">
        <v>13</v>
      </c>
      <c r="E28" s="14">
        <v>0</v>
      </c>
      <c r="F28" s="14">
        <f t="shared" si="0"/>
        <v>177.042</v>
      </c>
      <c r="G28" s="14">
        <v>177.042</v>
      </c>
      <c r="H28" s="14">
        <v>305.59199999999998</v>
      </c>
      <c r="I28" s="15" t="s">
        <v>21</v>
      </c>
      <c r="J28" s="65" t="s">
        <v>396</v>
      </c>
      <c r="K28" s="16">
        <f t="shared" ca="1" si="1"/>
        <v>0</v>
      </c>
      <c r="L28" s="112">
        <v>115522.70162041044</v>
      </c>
      <c r="M28" s="112">
        <v>135388.88888888888</v>
      </c>
      <c r="N28" s="86">
        <f t="shared" si="2"/>
        <v>142158.33333333331</v>
      </c>
      <c r="AX28" s="86" t="s">
        <v>399</v>
      </c>
      <c r="AY28" s="107">
        <v>6401</v>
      </c>
      <c r="AZ28" s="86" t="s">
        <v>441</v>
      </c>
      <c r="BA28" s="86" t="s">
        <v>467</v>
      </c>
    </row>
    <row r="29" spans="1:53" ht="18" x14ac:dyDescent="0.35">
      <c r="A29" s="10">
        <v>46161</v>
      </c>
      <c r="B29" s="11" t="s">
        <v>380</v>
      </c>
      <c r="C29" s="11" t="s">
        <v>233</v>
      </c>
      <c r="D29" s="11" t="s">
        <v>9</v>
      </c>
      <c r="E29" s="14">
        <f>734.477-153.14</f>
        <v>581.33699999999999</v>
      </c>
      <c r="F29" s="14">
        <f t="shared" si="0"/>
        <v>87.639999999999986</v>
      </c>
      <c r="G29" s="14">
        <v>668.97699999999998</v>
      </c>
      <c r="H29" s="14">
        <v>734.47699999999998</v>
      </c>
      <c r="I29" s="15" t="s">
        <v>29</v>
      </c>
      <c r="J29" s="65" t="s">
        <v>396</v>
      </c>
      <c r="K29" s="16">
        <f t="shared" ca="1" si="1"/>
        <v>10</v>
      </c>
      <c r="L29" s="112">
        <v>62954.159000213767</v>
      </c>
      <c r="M29" s="112">
        <v>112000</v>
      </c>
      <c r="N29" s="86">
        <f t="shared" si="2"/>
        <v>117600</v>
      </c>
      <c r="AX29" s="86" t="s">
        <v>399</v>
      </c>
      <c r="AY29" s="107">
        <v>6335</v>
      </c>
      <c r="AZ29" s="86" t="s">
        <v>400</v>
      </c>
      <c r="BA29" s="86" t="s">
        <v>459</v>
      </c>
    </row>
    <row r="30" spans="1:53" ht="18" x14ac:dyDescent="0.35">
      <c r="A30" s="10">
        <v>46127</v>
      </c>
      <c r="B30" s="11" t="s">
        <v>349</v>
      </c>
      <c r="C30" s="11" t="s">
        <v>82</v>
      </c>
      <c r="D30" s="11" t="s">
        <v>19</v>
      </c>
      <c r="E30" s="14">
        <v>0</v>
      </c>
      <c r="F30" s="14">
        <f t="shared" si="0"/>
        <v>27.986999999999998</v>
      </c>
      <c r="G30" s="14">
        <v>27.986999999999998</v>
      </c>
      <c r="H30" s="14">
        <v>715.29399999999998</v>
      </c>
      <c r="I30" s="15" t="s">
        <v>26</v>
      </c>
      <c r="J30" s="65" t="s">
        <v>396</v>
      </c>
      <c r="K30" s="16">
        <f t="shared" ca="1" si="1"/>
        <v>0</v>
      </c>
      <c r="L30" s="112">
        <v>136677.64974961345</v>
      </c>
      <c r="M30" s="112">
        <v>186900</v>
      </c>
      <c r="N30" s="86">
        <f t="shared" si="2"/>
        <v>196245</v>
      </c>
      <c r="AX30" s="86" t="s">
        <v>399</v>
      </c>
      <c r="AY30" s="107">
        <v>6370</v>
      </c>
      <c r="AZ30" s="86" t="s">
        <v>455</v>
      </c>
      <c r="BA30" s="86" t="s">
        <v>456</v>
      </c>
    </row>
    <row r="31" spans="1:53" ht="18" x14ac:dyDescent="0.35">
      <c r="A31" s="10">
        <v>45999</v>
      </c>
      <c r="B31" s="11" t="s">
        <v>265</v>
      </c>
      <c r="C31" s="11" t="s">
        <v>229</v>
      </c>
      <c r="D31" s="11" t="s">
        <v>13</v>
      </c>
      <c r="E31" s="12">
        <v>0</v>
      </c>
      <c r="F31" s="14">
        <f t="shared" si="0"/>
        <v>0.23</v>
      </c>
      <c r="G31" s="14">
        <v>0.23</v>
      </c>
      <c r="H31" s="14">
        <v>1989.6610000000001</v>
      </c>
      <c r="I31" s="15" t="s">
        <v>21</v>
      </c>
      <c r="J31" s="65" t="s">
        <v>396</v>
      </c>
      <c r="K31" s="16">
        <f t="shared" ca="1" si="1"/>
        <v>0</v>
      </c>
      <c r="L31" s="112">
        <v>42510.80050251256</v>
      </c>
      <c r="M31" s="112">
        <v>52024.237288135591</v>
      </c>
      <c r="N31" s="86">
        <f t="shared" si="2"/>
        <v>54625.449152542373</v>
      </c>
      <c r="AX31" s="86" t="s">
        <v>399</v>
      </c>
      <c r="AY31" s="107">
        <v>6238</v>
      </c>
      <c r="AZ31" s="86" t="s">
        <v>457</v>
      </c>
      <c r="BA31" s="86" t="s">
        <v>474</v>
      </c>
    </row>
    <row r="32" spans="1:53" ht="18" x14ac:dyDescent="0.35">
      <c r="A32" s="10">
        <v>46148</v>
      </c>
      <c r="B32" s="11" t="s">
        <v>371</v>
      </c>
      <c r="C32" s="11" t="s">
        <v>229</v>
      </c>
      <c r="D32" s="11" t="s">
        <v>13</v>
      </c>
      <c r="E32" s="12">
        <f>2099.561-336-60-10-181-90-35-25-30-229-62-125-43-100-61-115</f>
        <v>597.56100000000015</v>
      </c>
      <c r="F32" s="14">
        <f t="shared" si="0"/>
        <v>704.88199999999983</v>
      </c>
      <c r="G32" s="14">
        <v>1302.443</v>
      </c>
      <c r="H32" s="14">
        <v>2099.5610000000001</v>
      </c>
      <c r="I32" s="15" t="s">
        <v>21</v>
      </c>
      <c r="J32" s="65" t="s">
        <v>396</v>
      </c>
      <c r="K32" s="16">
        <f t="shared" ca="1" si="1"/>
        <v>23</v>
      </c>
      <c r="L32" s="112">
        <v>75695.217000125253</v>
      </c>
      <c r="M32" s="112">
        <v>69475</v>
      </c>
      <c r="N32" s="86">
        <f t="shared" si="2"/>
        <v>72948.75</v>
      </c>
      <c r="AX32" s="86" t="s">
        <v>399</v>
      </c>
      <c r="AY32" s="107">
        <v>6383</v>
      </c>
      <c r="AZ32" s="86" t="s">
        <v>472</v>
      </c>
      <c r="BA32" s="86" t="s">
        <v>473</v>
      </c>
    </row>
    <row r="33" spans="1:54" ht="18" x14ac:dyDescent="0.35">
      <c r="A33" s="10">
        <v>45948</v>
      </c>
      <c r="B33" s="11" t="s">
        <v>253</v>
      </c>
      <c r="C33" s="11" t="s">
        <v>229</v>
      </c>
      <c r="D33" s="11" t="s">
        <v>9</v>
      </c>
      <c r="E33" s="12">
        <f>93.71-60-25</f>
        <v>8.7099999999999937</v>
      </c>
      <c r="F33" s="14">
        <f t="shared" si="0"/>
        <v>2.3520000000000056</v>
      </c>
      <c r="G33" s="14">
        <v>11.061999999999999</v>
      </c>
      <c r="H33" s="14">
        <v>4979.1419999999998</v>
      </c>
      <c r="I33" s="15" t="s">
        <v>32</v>
      </c>
      <c r="J33" s="65" t="s">
        <v>396</v>
      </c>
      <c r="K33" s="16">
        <f t="shared" ca="1" si="1"/>
        <v>0</v>
      </c>
      <c r="L33" s="112">
        <v>47695.293400000002</v>
      </c>
      <c r="M33" s="112">
        <v>46246.851851851854</v>
      </c>
      <c r="N33" s="86">
        <f t="shared" si="2"/>
        <v>48559.194444444445</v>
      </c>
      <c r="AX33" s="86" t="s">
        <v>399</v>
      </c>
      <c r="AY33" s="107">
        <v>6146</v>
      </c>
      <c r="AZ33" s="86" t="s">
        <v>400</v>
      </c>
      <c r="BA33" s="86" t="s">
        <v>475</v>
      </c>
    </row>
    <row r="34" spans="1:54" ht="18" x14ac:dyDescent="0.35">
      <c r="A34" s="10">
        <v>46123</v>
      </c>
      <c r="B34" s="11" t="s">
        <v>344</v>
      </c>
      <c r="C34" s="11" t="s">
        <v>84</v>
      </c>
      <c r="D34" s="11" t="s">
        <v>9</v>
      </c>
      <c r="E34" s="12">
        <v>0</v>
      </c>
      <c r="F34" s="14">
        <f t="shared" si="0"/>
        <v>294.79700000000003</v>
      </c>
      <c r="G34" s="14">
        <v>294.79700000000003</v>
      </c>
      <c r="H34" s="14">
        <v>999.42700000000002</v>
      </c>
      <c r="I34" s="15" t="s">
        <v>47</v>
      </c>
      <c r="J34" s="65" t="s">
        <v>396</v>
      </c>
      <c r="K34" s="16">
        <f t="shared" ca="1" si="1"/>
        <v>0</v>
      </c>
      <c r="L34" s="112">
        <v>78611.74750131827</v>
      </c>
      <c r="M34" s="112">
        <v>110720.58823529411</v>
      </c>
      <c r="N34" s="86">
        <f t="shared" si="2"/>
        <v>116256.61764705883</v>
      </c>
      <c r="AX34" s="86" t="s">
        <v>399</v>
      </c>
      <c r="AY34" s="107">
        <v>6323</v>
      </c>
      <c r="AZ34" s="86" t="s">
        <v>454</v>
      </c>
      <c r="BA34" s="86">
        <v>1</v>
      </c>
    </row>
    <row r="35" spans="1:54" ht="18" x14ac:dyDescent="0.35">
      <c r="A35" s="10">
        <v>46068</v>
      </c>
      <c r="B35" s="11" t="s">
        <v>293</v>
      </c>
      <c r="C35" s="11" t="s">
        <v>294</v>
      </c>
      <c r="D35" s="11" t="s">
        <v>9</v>
      </c>
      <c r="E35" s="12">
        <f>106.651-15-25-20</f>
        <v>46.650999999999996</v>
      </c>
      <c r="F35" s="14">
        <f t="shared" ref="F35:F66" si="3">G35-E35</f>
        <v>25.160000000000011</v>
      </c>
      <c r="G35" s="14">
        <v>71.811000000000007</v>
      </c>
      <c r="H35" s="14">
        <v>426.50099999999998</v>
      </c>
      <c r="I35" s="15" t="s">
        <v>32</v>
      </c>
      <c r="J35" s="65" t="s">
        <v>396</v>
      </c>
      <c r="K35" s="16">
        <f t="shared" ca="1" si="1"/>
        <v>103</v>
      </c>
      <c r="L35" s="112">
        <v>84836.10996793129</v>
      </c>
      <c r="M35" s="112">
        <v>107650</v>
      </c>
      <c r="N35" s="86">
        <f t="shared" si="2"/>
        <v>113032.5</v>
      </c>
      <c r="AX35" s="86" t="s">
        <v>399</v>
      </c>
      <c r="AY35" s="107">
        <v>6270</v>
      </c>
      <c r="AZ35" s="86" t="s">
        <v>476</v>
      </c>
    </row>
    <row r="36" spans="1:54" ht="18" x14ac:dyDescent="0.35">
      <c r="A36" s="10">
        <v>46013</v>
      </c>
      <c r="B36" s="11" t="s">
        <v>271</v>
      </c>
      <c r="C36" s="11" t="s">
        <v>88</v>
      </c>
      <c r="D36" s="11" t="s">
        <v>9</v>
      </c>
      <c r="E36" s="14">
        <v>30.721</v>
      </c>
      <c r="F36" s="14">
        <f t="shared" si="3"/>
        <v>21.148999999999997</v>
      </c>
      <c r="G36" s="14">
        <v>51.87</v>
      </c>
      <c r="H36" s="14">
        <v>2838.95</v>
      </c>
      <c r="I36" s="15" t="s">
        <v>29</v>
      </c>
      <c r="J36" s="65" t="s">
        <v>396</v>
      </c>
      <c r="K36" s="16">
        <f t="shared" ca="1" si="1"/>
        <v>158</v>
      </c>
      <c r="L36" s="112">
        <v>72839.8</v>
      </c>
      <c r="M36" s="112">
        <v>75423.399999999994</v>
      </c>
      <c r="N36" s="86">
        <f t="shared" si="2"/>
        <v>79194.569999999992</v>
      </c>
      <c r="AX36" s="86" t="s">
        <v>399</v>
      </c>
      <c r="AY36" s="107">
        <v>6230</v>
      </c>
      <c r="AZ36" s="86" t="s">
        <v>400</v>
      </c>
      <c r="BA36" s="86" t="s">
        <v>440</v>
      </c>
    </row>
    <row r="37" spans="1:54" ht="18" x14ac:dyDescent="0.35">
      <c r="A37" s="10">
        <v>46091</v>
      </c>
      <c r="B37" s="11" t="s">
        <v>317</v>
      </c>
      <c r="C37" s="11" t="s">
        <v>88</v>
      </c>
      <c r="D37" s="11" t="s">
        <v>9</v>
      </c>
      <c r="E37" s="14">
        <f>1570.567-208.51-260-25+21+185-400</f>
        <v>883.05700000000002</v>
      </c>
      <c r="F37" s="14">
        <f t="shared" si="3"/>
        <v>516.90100000000007</v>
      </c>
      <c r="G37" s="14">
        <v>1399.9580000000001</v>
      </c>
      <c r="H37" s="14">
        <v>1575</v>
      </c>
      <c r="I37" s="15" t="s">
        <v>32</v>
      </c>
      <c r="J37" s="65" t="s">
        <v>396</v>
      </c>
      <c r="K37" s="16">
        <f t="shared" ca="1" si="1"/>
        <v>80</v>
      </c>
      <c r="L37" s="112">
        <v>75312.05</v>
      </c>
      <c r="M37" s="112">
        <v>101250</v>
      </c>
      <c r="N37" s="86">
        <f t="shared" si="2"/>
        <v>106312.5</v>
      </c>
      <c r="AX37" s="86" t="s">
        <v>399</v>
      </c>
      <c r="AY37" s="107">
        <v>6311</v>
      </c>
      <c r="AZ37" s="86" t="s">
        <v>400</v>
      </c>
      <c r="BA37" s="86" t="s">
        <v>440</v>
      </c>
    </row>
    <row r="38" spans="1:54" ht="18" x14ac:dyDescent="0.35">
      <c r="A38" s="10">
        <v>46136</v>
      </c>
      <c r="B38" s="11" t="s">
        <v>358</v>
      </c>
      <c r="C38" s="11" t="s">
        <v>88</v>
      </c>
      <c r="D38" s="11" t="s">
        <v>9</v>
      </c>
      <c r="E38" s="14">
        <f>1970.256</f>
        <v>1970.2560000000001</v>
      </c>
      <c r="F38" s="14">
        <f t="shared" si="3"/>
        <v>0</v>
      </c>
      <c r="G38" s="14">
        <f>1960.109+10.147</f>
        <v>1970.2559999999999</v>
      </c>
      <c r="H38" s="14">
        <v>1984.7159999999999</v>
      </c>
      <c r="I38" s="15" t="s">
        <v>369</v>
      </c>
      <c r="J38" s="65" t="s">
        <v>396</v>
      </c>
      <c r="K38" s="16">
        <f t="shared" ca="1" si="1"/>
        <v>35</v>
      </c>
      <c r="L38" s="112">
        <v>105708.066751112</v>
      </c>
      <c r="M38" s="113">
        <f t="shared" si="2"/>
        <v>110993.4700886676</v>
      </c>
      <c r="N38" s="86">
        <f t="shared" si="2"/>
        <v>116543.14359310099</v>
      </c>
      <c r="AX38" s="86" t="s">
        <v>399</v>
      </c>
      <c r="AY38" s="107">
        <v>6344</v>
      </c>
      <c r="AZ38" s="86" t="s">
        <v>482</v>
      </c>
      <c r="BA38" s="86" t="s">
        <v>483</v>
      </c>
    </row>
    <row r="39" spans="1:54" ht="18" x14ac:dyDescent="0.35">
      <c r="A39" s="10">
        <v>46009</v>
      </c>
      <c r="B39" s="11" t="s">
        <v>267</v>
      </c>
      <c r="C39" s="11" t="s">
        <v>88</v>
      </c>
      <c r="D39" s="11" t="s">
        <v>13</v>
      </c>
      <c r="E39" s="12">
        <v>0</v>
      </c>
      <c r="F39" s="14">
        <f t="shared" si="3"/>
        <v>0.751</v>
      </c>
      <c r="G39" s="14">
        <v>0.751</v>
      </c>
      <c r="H39" s="14">
        <v>1416.0609999999999</v>
      </c>
      <c r="I39" s="15" t="s">
        <v>21</v>
      </c>
      <c r="J39" s="65" t="s">
        <v>396</v>
      </c>
      <c r="K39" s="16">
        <f t="shared" ca="1" si="1"/>
        <v>0</v>
      </c>
      <c r="L39" s="112">
        <v>73348.744000000006</v>
      </c>
      <c r="M39" s="112">
        <v>77436.206896551725</v>
      </c>
      <c r="N39" s="86">
        <f t="shared" si="2"/>
        <v>81308.017241379319</v>
      </c>
      <c r="AX39" s="86" t="s">
        <v>399</v>
      </c>
      <c r="AY39" s="107">
        <v>6231</v>
      </c>
      <c r="AZ39" s="86" t="s">
        <v>400</v>
      </c>
      <c r="BA39" s="86" t="s">
        <v>440</v>
      </c>
    </row>
    <row r="40" spans="1:54" ht="18" x14ac:dyDescent="0.35">
      <c r="A40" s="10">
        <v>46082</v>
      </c>
      <c r="B40" s="11" t="s">
        <v>315</v>
      </c>
      <c r="C40" s="11" t="s">
        <v>88</v>
      </c>
      <c r="D40" s="11" t="s">
        <v>13</v>
      </c>
      <c r="E40" s="12">
        <v>0</v>
      </c>
      <c r="F40" s="14">
        <f t="shared" si="3"/>
        <v>188.077</v>
      </c>
      <c r="G40" s="14">
        <v>188.077</v>
      </c>
      <c r="H40" s="14">
        <v>1895.021</v>
      </c>
      <c r="I40" s="15" t="s">
        <v>21</v>
      </c>
      <c r="J40" s="65" t="s">
        <v>396</v>
      </c>
      <c r="K40" s="16">
        <f t="shared" ca="1" si="1"/>
        <v>0</v>
      </c>
      <c r="L40" s="112">
        <v>76093.460000000006</v>
      </c>
      <c r="M40" s="112">
        <v>99808.888888888891</v>
      </c>
      <c r="N40" s="86">
        <f t="shared" si="2"/>
        <v>104799.33333333334</v>
      </c>
      <c r="AX40" s="86" t="s">
        <v>399</v>
      </c>
      <c r="AY40" s="107">
        <v>6307</v>
      </c>
      <c r="AZ40" s="86" t="s">
        <v>472</v>
      </c>
      <c r="BA40" s="86" t="s">
        <v>487</v>
      </c>
    </row>
    <row r="41" spans="1:54" ht="18" x14ac:dyDescent="0.35">
      <c r="A41" s="10">
        <v>46082</v>
      </c>
      <c r="B41" s="11" t="s">
        <v>316</v>
      </c>
      <c r="C41" s="11" t="s">
        <v>88</v>
      </c>
      <c r="D41" s="11" t="s">
        <v>13</v>
      </c>
      <c r="E41" s="12">
        <f>1904.769-118-700-160-20-75-30-140-25-92-20</f>
        <v>524.76900000000001</v>
      </c>
      <c r="F41" s="14">
        <f t="shared" si="3"/>
        <v>537.11000000000013</v>
      </c>
      <c r="G41" s="14">
        <f>1904.769-219.49-174.81-223.05-225.54</f>
        <v>1061.8790000000001</v>
      </c>
      <c r="H41" s="14">
        <v>1904.769</v>
      </c>
      <c r="I41" s="15" t="s">
        <v>21</v>
      </c>
      <c r="J41" s="65" t="s">
        <v>396</v>
      </c>
      <c r="K41" s="16">
        <f t="shared" ca="1" si="1"/>
        <v>89</v>
      </c>
      <c r="L41" s="112">
        <v>76093.460001026295</v>
      </c>
      <c r="M41" s="112">
        <v>107634.99999999999</v>
      </c>
      <c r="N41" s="86">
        <f t="shared" si="2"/>
        <v>113016.74999999999</v>
      </c>
      <c r="AX41" s="86" t="s">
        <v>399</v>
      </c>
      <c r="AY41" s="107">
        <v>6308</v>
      </c>
      <c r="AZ41" s="86" t="s">
        <v>472</v>
      </c>
      <c r="BA41" s="86" t="s">
        <v>487</v>
      </c>
    </row>
    <row r="42" spans="1:54" ht="18" x14ac:dyDescent="0.35">
      <c r="A42" s="10">
        <v>46060</v>
      </c>
      <c r="B42" s="11" t="s">
        <v>286</v>
      </c>
      <c r="C42" s="11" t="s">
        <v>88</v>
      </c>
      <c r="D42" s="11" t="s">
        <v>19</v>
      </c>
      <c r="E42" s="12">
        <v>0</v>
      </c>
      <c r="F42" s="14">
        <f t="shared" si="3"/>
        <v>30.495999999999999</v>
      </c>
      <c r="G42" s="14">
        <v>30.495999999999999</v>
      </c>
      <c r="H42" s="14">
        <v>1911.7260000000001</v>
      </c>
      <c r="I42" s="15" t="s">
        <v>26</v>
      </c>
      <c r="J42" s="65" t="s">
        <v>396</v>
      </c>
      <c r="K42" s="16">
        <f t="shared" ca="1" si="1"/>
        <v>0</v>
      </c>
      <c r="L42" s="112">
        <v>72676.141649462676</v>
      </c>
      <c r="M42" s="112">
        <v>84935.416666666672</v>
      </c>
      <c r="N42" s="86">
        <f t="shared" si="2"/>
        <v>89182.187500000015</v>
      </c>
      <c r="AX42" s="86" t="s">
        <v>399</v>
      </c>
      <c r="AY42" s="107">
        <v>6273</v>
      </c>
      <c r="AZ42" s="86" t="s">
        <v>457</v>
      </c>
      <c r="BA42" s="86" t="s">
        <v>458</v>
      </c>
    </row>
    <row r="43" spans="1:54" ht="18" x14ac:dyDescent="0.35">
      <c r="A43" s="10">
        <v>46131</v>
      </c>
      <c r="B43" s="11" t="s">
        <v>353</v>
      </c>
      <c r="C43" s="11" t="s">
        <v>88</v>
      </c>
      <c r="D43" s="11" t="s">
        <v>19</v>
      </c>
      <c r="E43" s="12">
        <v>0</v>
      </c>
      <c r="F43" s="14">
        <f t="shared" si="3"/>
        <v>4.8049999999999997</v>
      </c>
      <c r="G43" s="14">
        <v>4.8049999999999997</v>
      </c>
      <c r="H43" s="14">
        <v>1048.539</v>
      </c>
      <c r="I43" s="15" t="s">
        <v>26</v>
      </c>
      <c r="J43" s="65" t="s">
        <v>396</v>
      </c>
      <c r="K43" s="16">
        <f t="shared" ca="1" si="1"/>
        <v>0</v>
      </c>
      <c r="L43" s="112">
        <v>109058.93699709786</v>
      </c>
      <c r="M43" s="112">
        <v>98195.454545454559</v>
      </c>
      <c r="N43" s="86">
        <f t="shared" si="2"/>
        <v>103105.22727272729</v>
      </c>
      <c r="AX43" s="86" t="s">
        <v>399</v>
      </c>
      <c r="AY43" s="107">
        <v>6353</v>
      </c>
      <c r="AZ43" s="86" t="s">
        <v>491</v>
      </c>
      <c r="BA43" s="86" t="s">
        <v>492</v>
      </c>
    </row>
    <row r="44" spans="1:54" ht="18" x14ac:dyDescent="0.35">
      <c r="A44" s="10">
        <v>46086</v>
      </c>
      <c r="B44" s="11" t="s">
        <v>307</v>
      </c>
      <c r="C44" s="11" t="s">
        <v>88</v>
      </c>
      <c r="D44" s="11" t="s">
        <v>166</v>
      </c>
      <c r="E44" s="12">
        <v>0</v>
      </c>
      <c r="F44" s="14">
        <f t="shared" si="3"/>
        <v>375.72300000000001</v>
      </c>
      <c r="G44" s="14">
        <v>375.72300000000001</v>
      </c>
      <c r="H44" s="14">
        <v>2100</v>
      </c>
      <c r="I44" s="15" t="s">
        <v>167</v>
      </c>
      <c r="J44" s="65" t="s">
        <v>396</v>
      </c>
      <c r="K44" s="16">
        <f t="shared" ca="1" si="1"/>
        <v>0</v>
      </c>
      <c r="L44" s="112">
        <v>76908.904399999999</v>
      </c>
      <c r="M44" s="112">
        <v>98971.739130434784</v>
      </c>
      <c r="N44" s="86">
        <f t="shared" si="2"/>
        <v>103920.32608695653</v>
      </c>
      <c r="AX44" s="86" t="s">
        <v>399</v>
      </c>
      <c r="AY44" s="107">
        <v>6297</v>
      </c>
      <c r="AZ44" s="86" t="s">
        <v>451</v>
      </c>
      <c r="BA44" s="86" t="s">
        <v>493</v>
      </c>
    </row>
    <row r="45" spans="1:54" ht="18" x14ac:dyDescent="0.35">
      <c r="A45" s="10">
        <v>45989</v>
      </c>
      <c r="B45" s="11" t="s">
        <v>263</v>
      </c>
      <c r="C45" s="11" t="s">
        <v>108</v>
      </c>
      <c r="D45" s="11" t="s">
        <v>9</v>
      </c>
      <c r="E45" s="12">
        <v>0</v>
      </c>
      <c r="F45" s="14">
        <f t="shared" si="3"/>
        <v>0.49399999999999999</v>
      </c>
      <c r="G45" s="14">
        <v>0.49399999999999999</v>
      </c>
      <c r="H45" s="14">
        <v>487.03500000000003</v>
      </c>
      <c r="I45" s="15" t="s">
        <v>32</v>
      </c>
      <c r="J45" s="65" t="s">
        <v>396</v>
      </c>
      <c r="K45" s="16">
        <f t="shared" ca="1" si="1"/>
        <v>0</v>
      </c>
      <c r="L45" s="112">
        <v>108126.4485086545</v>
      </c>
      <c r="M45" s="112">
        <v>119716.66666666666</v>
      </c>
      <c r="N45" s="86">
        <f t="shared" si="2"/>
        <v>125702.5</v>
      </c>
      <c r="AX45" s="86" t="s">
        <v>399</v>
      </c>
      <c r="AY45" s="107">
        <v>6215</v>
      </c>
      <c r="AZ45" s="86" t="s">
        <v>495</v>
      </c>
      <c r="BA45" s="86" t="s">
        <v>496</v>
      </c>
      <c r="BB45" s="86" t="s">
        <v>416</v>
      </c>
    </row>
    <row r="46" spans="1:54" ht="18" x14ac:dyDescent="0.35">
      <c r="A46" s="10">
        <v>46131</v>
      </c>
      <c r="B46" s="11" t="s">
        <v>351</v>
      </c>
      <c r="C46" s="11" t="s">
        <v>228</v>
      </c>
      <c r="D46" s="11" t="s">
        <v>13</v>
      </c>
      <c r="E46" s="12">
        <f>472.89-100-22+22-25-45-20-128-20-16-100</f>
        <v>18.889999999999986</v>
      </c>
      <c r="F46" s="14">
        <f t="shared" si="3"/>
        <v>290.52000000000004</v>
      </c>
      <c r="G46" s="14">
        <v>309.41000000000003</v>
      </c>
      <c r="H46" s="14">
        <v>472.89</v>
      </c>
      <c r="I46" s="15" t="s">
        <v>21</v>
      </c>
      <c r="J46" s="65" t="s">
        <v>396</v>
      </c>
      <c r="K46" s="16">
        <f t="shared" ca="1" si="1"/>
        <v>0</v>
      </c>
      <c r="L46" s="112">
        <v>102678</v>
      </c>
      <c r="M46" s="112">
        <v>124400</v>
      </c>
      <c r="N46" s="86">
        <f t="shared" si="2"/>
        <v>130620</v>
      </c>
      <c r="AX46" s="86" t="s">
        <v>399</v>
      </c>
      <c r="AY46" s="107">
        <v>6338</v>
      </c>
      <c r="AZ46" s="86" t="s">
        <v>441</v>
      </c>
      <c r="BA46" s="86" t="s">
        <v>497</v>
      </c>
    </row>
    <row r="47" spans="1:54" ht="18" x14ac:dyDescent="0.35">
      <c r="A47" s="10">
        <v>46128</v>
      </c>
      <c r="B47" s="11" t="s">
        <v>350</v>
      </c>
      <c r="C47" s="11" t="s">
        <v>228</v>
      </c>
      <c r="D47" s="11" t="s">
        <v>16</v>
      </c>
      <c r="E47" s="12">
        <f>948.442-200-27-21-14.5-46-25-35-12-10-46.6-12-85-26-7-26-80-26-20-100</f>
        <v>129.34199999999998</v>
      </c>
      <c r="F47" s="14">
        <f t="shared" si="3"/>
        <v>357.84000000000003</v>
      </c>
      <c r="G47" s="14">
        <v>487.18200000000002</v>
      </c>
      <c r="H47" s="14">
        <v>948.44200000000001</v>
      </c>
      <c r="I47" s="15" t="s">
        <v>23</v>
      </c>
      <c r="J47" s="65" t="s">
        <v>396</v>
      </c>
      <c r="K47" s="16">
        <f t="shared" ca="1" si="1"/>
        <v>43</v>
      </c>
      <c r="L47" s="112">
        <v>104476.125</v>
      </c>
      <c r="M47" s="112">
        <v>126543.47826086957</v>
      </c>
      <c r="N47" s="86">
        <f t="shared" si="2"/>
        <v>132870.65217391305</v>
      </c>
      <c r="AX47" s="86" t="s">
        <v>399</v>
      </c>
      <c r="AY47" s="107">
        <v>6374</v>
      </c>
      <c r="AZ47" s="86" t="s">
        <v>431</v>
      </c>
      <c r="BA47" s="86" t="s">
        <v>432</v>
      </c>
    </row>
    <row r="48" spans="1:54" ht="18" x14ac:dyDescent="0.35">
      <c r="A48" s="10">
        <v>45937</v>
      </c>
      <c r="B48" s="11" t="s">
        <v>250</v>
      </c>
      <c r="C48" s="11" t="s">
        <v>122</v>
      </c>
      <c r="D48" s="11" t="s">
        <v>9</v>
      </c>
      <c r="E48" s="12">
        <v>19.943999999999999</v>
      </c>
      <c r="F48" s="14">
        <f t="shared" si="3"/>
        <v>0</v>
      </c>
      <c r="G48" s="14">
        <v>19.943999999999999</v>
      </c>
      <c r="H48" s="14">
        <v>3136.0839999999998</v>
      </c>
      <c r="I48" s="15" t="s">
        <v>32</v>
      </c>
      <c r="J48" s="65" t="s">
        <v>396</v>
      </c>
      <c r="K48" s="16">
        <f t="shared" ca="1" si="1"/>
        <v>0</v>
      </c>
      <c r="L48" s="112">
        <v>74098.748101587305</v>
      </c>
      <c r="M48" s="112">
        <v>71075</v>
      </c>
      <c r="N48" s="86">
        <f t="shared" si="2"/>
        <v>74628.75</v>
      </c>
      <c r="AX48" s="86" t="s">
        <v>399</v>
      </c>
      <c r="AY48" s="107">
        <v>6161</v>
      </c>
      <c r="AZ48" s="86" t="s">
        <v>498</v>
      </c>
      <c r="BA48" s="86">
        <v>28</v>
      </c>
    </row>
    <row r="49" spans="1:53" ht="18" x14ac:dyDescent="0.35">
      <c r="A49" s="10">
        <v>46054</v>
      </c>
      <c r="B49" s="11" t="s">
        <v>291</v>
      </c>
      <c r="C49" s="11" t="s">
        <v>122</v>
      </c>
      <c r="D49" s="11" t="s">
        <v>9</v>
      </c>
      <c r="E49" s="12">
        <v>0.3</v>
      </c>
      <c r="F49" s="14">
        <f t="shared" si="3"/>
        <v>19.099999999999998</v>
      </c>
      <c r="G49" s="14">
        <v>19.399999999999999</v>
      </c>
      <c r="H49" s="14">
        <v>199.7</v>
      </c>
      <c r="I49" s="15" t="s">
        <v>29</v>
      </c>
      <c r="J49" s="65" t="s">
        <v>396</v>
      </c>
      <c r="K49" s="16">
        <f t="shared" ca="1" si="1"/>
        <v>0</v>
      </c>
      <c r="L49" s="112">
        <v>78753.000799999994</v>
      </c>
      <c r="M49" s="112">
        <v>106250</v>
      </c>
      <c r="N49" s="86">
        <f t="shared" si="2"/>
        <v>111562.5</v>
      </c>
      <c r="AX49" s="86" t="s">
        <v>399</v>
      </c>
      <c r="AY49" s="107">
        <v>6301</v>
      </c>
      <c r="AZ49" s="86" t="s">
        <v>499</v>
      </c>
    </row>
    <row r="50" spans="1:53" ht="18" x14ac:dyDescent="0.35">
      <c r="A50" s="10">
        <v>46131</v>
      </c>
      <c r="B50" s="11" t="s">
        <v>355</v>
      </c>
      <c r="C50" s="11" t="s">
        <v>122</v>
      </c>
      <c r="D50" s="11" t="s">
        <v>9</v>
      </c>
      <c r="E50" s="12">
        <f>1219.877-57-111-49-120-30-165-150</f>
        <v>537.87699999999995</v>
      </c>
      <c r="F50" s="14">
        <f t="shared" si="3"/>
        <v>1173.942</v>
      </c>
      <c r="G50" s="14">
        <v>1711.819</v>
      </c>
      <c r="H50" s="14">
        <v>1725</v>
      </c>
      <c r="I50" s="15" t="s">
        <v>378</v>
      </c>
      <c r="J50" s="65" t="s">
        <v>396</v>
      </c>
      <c r="K50" s="16">
        <f t="shared" ca="1" si="1"/>
        <v>40</v>
      </c>
      <c r="L50" s="112">
        <v>121100.12849855072</v>
      </c>
      <c r="M50" s="112">
        <v>118000</v>
      </c>
      <c r="N50" s="86">
        <f t="shared" si="2"/>
        <v>123900</v>
      </c>
      <c r="AX50" s="86" t="s">
        <v>399</v>
      </c>
      <c r="AY50" s="107">
        <v>6350</v>
      </c>
      <c r="AZ50" s="86" t="s">
        <v>455</v>
      </c>
      <c r="BA50" s="86" t="s">
        <v>456</v>
      </c>
    </row>
    <row r="51" spans="1:53" ht="18" x14ac:dyDescent="0.35">
      <c r="A51" s="10">
        <v>46131</v>
      </c>
      <c r="B51" s="11" t="s">
        <v>356</v>
      </c>
      <c r="C51" s="11" t="s">
        <v>122</v>
      </c>
      <c r="D51" s="11" t="s">
        <v>9</v>
      </c>
      <c r="E51" s="12">
        <v>0</v>
      </c>
      <c r="F51" s="14">
        <f t="shared" si="3"/>
        <v>243.34800000000001</v>
      </c>
      <c r="G51" s="14">
        <v>243.34800000000001</v>
      </c>
      <c r="H51" s="14">
        <v>947.17899999999997</v>
      </c>
      <c r="I51" s="15" t="s">
        <v>29</v>
      </c>
      <c r="J51" s="65" t="s">
        <v>396</v>
      </c>
      <c r="K51" s="16">
        <f t="shared" ca="1" si="1"/>
        <v>0</v>
      </c>
      <c r="L51" s="112">
        <v>119403.44</v>
      </c>
      <c r="M51" s="112">
        <v>114321.42857142857</v>
      </c>
      <c r="N51" s="86">
        <f t="shared" si="2"/>
        <v>120037.5</v>
      </c>
      <c r="AX51" s="86" t="s">
        <v>399</v>
      </c>
      <c r="AY51" s="107">
        <v>6366</v>
      </c>
      <c r="AZ51" s="86" t="s">
        <v>455</v>
      </c>
      <c r="BA51" s="86" t="s">
        <v>456</v>
      </c>
    </row>
    <row r="52" spans="1:53" ht="18" x14ac:dyDescent="0.35">
      <c r="A52" s="10">
        <v>46136</v>
      </c>
      <c r="B52" s="11" t="s">
        <v>363</v>
      </c>
      <c r="C52" s="11" t="s">
        <v>122</v>
      </c>
      <c r="D52" s="11" t="s">
        <v>9</v>
      </c>
      <c r="E52" s="12">
        <v>313.59300000000002</v>
      </c>
      <c r="F52" s="14">
        <f t="shared" si="3"/>
        <v>0</v>
      </c>
      <c r="G52" s="14">
        <v>313.59300000000002</v>
      </c>
      <c r="H52" s="14">
        <v>313.59300000000002</v>
      </c>
      <c r="I52" s="15" t="s">
        <v>32</v>
      </c>
      <c r="J52" s="65" t="s">
        <v>396</v>
      </c>
      <c r="K52" s="16">
        <f t="shared" ca="1" si="1"/>
        <v>35</v>
      </c>
      <c r="L52" s="112">
        <v>122525</v>
      </c>
      <c r="M52" s="113">
        <f>M51</f>
        <v>114321.42857142857</v>
      </c>
      <c r="N52" s="86">
        <f>N51</f>
        <v>120037.5</v>
      </c>
      <c r="AX52" s="86" t="s">
        <v>399</v>
      </c>
      <c r="AY52" s="107">
        <v>6375</v>
      </c>
      <c r="AZ52" s="86" t="s">
        <v>500</v>
      </c>
      <c r="BA52" s="86" t="s">
        <v>501</v>
      </c>
    </row>
    <row r="53" spans="1:53" ht="18" x14ac:dyDescent="0.35">
      <c r="A53" s="10">
        <v>46144</v>
      </c>
      <c r="B53" s="11" t="s">
        <v>366</v>
      </c>
      <c r="C53" s="11" t="s">
        <v>122</v>
      </c>
      <c r="D53" s="11" t="s">
        <v>9</v>
      </c>
      <c r="E53" s="12">
        <v>969.38099999999997</v>
      </c>
      <c r="F53" s="14">
        <f t="shared" si="3"/>
        <v>0</v>
      </c>
      <c r="G53" s="14">
        <v>969.38099999999997</v>
      </c>
      <c r="H53" s="14">
        <v>969.38099999999997</v>
      </c>
      <c r="I53" s="15" t="s">
        <v>276</v>
      </c>
      <c r="J53" s="65" t="s">
        <v>235</v>
      </c>
      <c r="K53" s="16">
        <f t="shared" ca="1" si="1"/>
        <v>27</v>
      </c>
      <c r="L53" s="112">
        <v>121035.884399039</v>
      </c>
      <c r="M53" s="113">
        <f>M52</f>
        <v>114321.42857142857</v>
      </c>
      <c r="N53" s="86">
        <f>N52</f>
        <v>120037.5</v>
      </c>
      <c r="AX53" s="86" t="s">
        <v>399</v>
      </c>
      <c r="AY53" s="107">
        <v>6351</v>
      </c>
      <c r="AZ53" s="86" t="s">
        <v>485</v>
      </c>
      <c r="BA53" s="86" t="s">
        <v>502</v>
      </c>
    </row>
    <row r="54" spans="1:53" ht="18" x14ac:dyDescent="0.35">
      <c r="A54" s="10">
        <v>46005</v>
      </c>
      <c r="B54" s="11" t="s">
        <v>266</v>
      </c>
      <c r="C54" s="11" t="s">
        <v>248</v>
      </c>
      <c r="D54" s="11" t="s">
        <v>19</v>
      </c>
      <c r="E54" s="12">
        <v>0</v>
      </c>
      <c r="F54" s="14">
        <f t="shared" si="3"/>
        <v>111.845</v>
      </c>
      <c r="G54" s="14">
        <v>111.845</v>
      </c>
      <c r="H54" s="14">
        <v>2859.0250000000001</v>
      </c>
      <c r="I54" s="15" t="s">
        <v>26</v>
      </c>
      <c r="J54" s="65" t="s">
        <v>396</v>
      </c>
      <c r="K54" s="16">
        <f t="shared" ca="1" si="1"/>
        <v>0</v>
      </c>
      <c r="L54" s="112">
        <v>72621.029899949528</v>
      </c>
      <c r="M54" s="112">
        <v>78759.302325581404</v>
      </c>
      <c r="N54" s="86">
        <f t="shared" si="2"/>
        <v>82697.267441860473</v>
      </c>
      <c r="AX54" s="86" t="s">
        <v>399</v>
      </c>
      <c r="AY54" s="107">
        <v>6225</v>
      </c>
      <c r="AZ54" s="86" t="s">
        <v>439</v>
      </c>
      <c r="BA54" s="86" t="s">
        <v>451</v>
      </c>
    </row>
    <row r="55" spans="1:53" ht="18" x14ac:dyDescent="0.35">
      <c r="A55" s="10">
        <v>46111</v>
      </c>
      <c r="B55" s="11" t="s">
        <v>333</v>
      </c>
      <c r="C55" s="11" t="s">
        <v>248</v>
      </c>
      <c r="D55" s="11" t="s">
        <v>19</v>
      </c>
      <c r="E55" s="12">
        <v>0</v>
      </c>
      <c r="F55" s="14">
        <f t="shared" si="3"/>
        <v>28.681000000000001</v>
      </c>
      <c r="G55" s="14">
        <f>51.371-22.69</f>
        <v>28.681000000000001</v>
      </c>
      <c r="H55" s="14">
        <v>997.822</v>
      </c>
      <c r="I55" s="15" t="s">
        <v>26</v>
      </c>
      <c r="J55" s="65" t="s">
        <v>396</v>
      </c>
      <c r="K55" s="16">
        <f t="shared" ca="1" si="1"/>
        <v>0</v>
      </c>
      <c r="L55" s="112">
        <v>75719.574999999997</v>
      </c>
      <c r="M55" s="112">
        <v>100071.42857142857</v>
      </c>
      <c r="N55" s="86">
        <f t="shared" si="2"/>
        <v>105075</v>
      </c>
      <c r="AX55" s="86" t="s">
        <v>399</v>
      </c>
      <c r="AY55" s="107">
        <v>6333</v>
      </c>
      <c r="AZ55" s="86" t="s">
        <v>507</v>
      </c>
      <c r="BA55" s="86" t="s">
        <v>508</v>
      </c>
    </row>
    <row r="56" spans="1:53" ht="18" x14ac:dyDescent="0.35">
      <c r="A56" s="10">
        <v>46111</v>
      </c>
      <c r="B56" s="11" t="s">
        <v>332</v>
      </c>
      <c r="C56" s="11" t="s">
        <v>248</v>
      </c>
      <c r="D56" s="11" t="s">
        <v>19</v>
      </c>
      <c r="E56" s="12">
        <f>997.822-258.413-10+21-75-21-18-31-72-10-40+85</f>
        <v>568.40899999999999</v>
      </c>
      <c r="F56" s="14">
        <f t="shared" si="3"/>
        <v>429.41300000000001</v>
      </c>
      <c r="G56" s="14">
        <v>997.822</v>
      </c>
      <c r="H56" s="14">
        <v>997.822</v>
      </c>
      <c r="I56" s="15" t="s">
        <v>26</v>
      </c>
      <c r="J56" s="65" t="s">
        <v>396</v>
      </c>
      <c r="K56" s="16">
        <f t="shared" ca="1" si="1"/>
        <v>60</v>
      </c>
      <c r="L56" s="112">
        <v>76552.167499999996</v>
      </c>
      <c r="M56" s="112">
        <v>109000</v>
      </c>
      <c r="N56" s="86">
        <f t="shared" si="2"/>
        <v>114450</v>
      </c>
      <c r="AX56" s="86" t="s">
        <v>399</v>
      </c>
      <c r="AY56" s="107">
        <v>6317</v>
      </c>
      <c r="AZ56" s="86" t="s">
        <v>507</v>
      </c>
      <c r="BA56" s="86" t="s">
        <v>508</v>
      </c>
    </row>
    <row r="57" spans="1:53" ht="18" x14ac:dyDescent="0.35">
      <c r="A57" s="10">
        <v>46093</v>
      </c>
      <c r="B57" s="11" t="s">
        <v>320</v>
      </c>
      <c r="C57" s="11" t="s">
        <v>261</v>
      </c>
      <c r="D57" s="11" t="s">
        <v>321</v>
      </c>
      <c r="E57" s="12">
        <f>1553.833-150</f>
        <v>1403.8330000000001</v>
      </c>
      <c r="F57" s="14">
        <f t="shared" si="3"/>
        <v>150</v>
      </c>
      <c r="G57" s="14">
        <v>1553.8330000000001</v>
      </c>
      <c r="H57" s="14">
        <v>1553.837</v>
      </c>
      <c r="I57" s="15" t="s">
        <v>23</v>
      </c>
      <c r="J57" s="65" t="s">
        <v>396</v>
      </c>
      <c r="K57" s="16">
        <f t="shared" ca="1" si="1"/>
        <v>78</v>
      </c>
      <c r="L57" s="112">
        <v>81737.600000000006</v>
      </c>
      <c r="M57" s="112">
        <v>108000</v>
      </c>
      <c r="N57" s="86">
        <f t="shared" si="2"/>
        <v>113400</v>
      </c>
      <c r="AX57" s="86" t="s">
        <v>399</v>
      </c>
      <c r="AY57" s="107">
        <v>6346</v>
      </c>
      <c r="AZ57" s="86" t="s">
        <v>472</v>
      </c>
      <c r="BA57" s="86" t="s">
        <v>487</v>
      </c>
    </row>
    <row r="58" spans="1:53" ht="18" x14ac:dyDescent="0.35">
      <c r="A58" s="10">
        <v>46085</v>
      </c>
      <c r="B58" s="11" t="s">
        <v>303</v>
      </c>
      <c r="C58" s="11" t="s">
        <v>248</v>
      </c>
      <c r="D58" s="11" t="s">
        <v>13</v>
      </c>
      <c r="E58" s="12">
        <f>616.995-50-134-25-25+50</f>
        <v>432.995</v>
      </c>
      <c r="F58" s="14">
        <f t="shared" si="3"/>
        <v>33.860000000000014</v>
      </c>
      <c r="G58" s="14">
        <v>466.85500000000002</v>
      </c>
      <c r="H58" s="14">
        <v>947.53499999999997</v>
      </c>
      <c r="I58" s="15" t="s">
        <v>21</v>
      </c>
      <c r="J58" s="65" t="s">
        <v>396</v>
      </c>
      <c r="K58" s="16">
        <f t="shared" ca="1" si="1"/>
        <v>86</v>
      </c>
      <c r="L58" s="112">
        <v>76414.850002523614</v>
      </c>
      <c r="M58" s="112">
        <v>100468.75</v>
      </c>
      <c r="N58" s="86">
        <f t="shared" si="2"/>
        <v>105492.1875</v>
      </c>
      <c r="AX58" s="86" t="s">
        <v>399</v>
      </c>
      <c r="AY58" s="107">
        <v>6309</v>
      </c>
      <c r="AZ58" s="86" t="s">
        <v>400</v>
      </c>
      <c r="BA58" s="86" t="s">
        <v>440</v>
      </c>
    </row>
    <row r="59" spans="1:53" ht="18" x14ac:dyDescent="0.35">
      <c r="A59" s="10">
        <v>45927</v>
      </c>
      <c r="B59" s="11" t="s">
        <v>247</v>
      </c>
      <c r="C59" s="11" t="s">
        <v>248</v>
      </c>
      <c r="D59" s="11" t="s">
        <v>9</v>
      </c>
      <c r="E59" s="12">
        <v>0</v>
      </c>
      <c r="F59" s="14">
        <f t="shared" si="3"/>
        <v>2.5</v>
      </c>
      <c r="G59" s="14">
        <v>2.5</v>
      </c>
      <c r="H59" s="14">
        <v>2836.84</v>
      </c>
      <c r="I59" s="15" t="s">
        <v>249</v>
      </c>
      <c r="J59" s="65" t="s">
        <v>396</v>
      </c>
      <c r="K59" s="16">
        <f t="shared" ca="1" si="1"/>
        <v>0</v>
      </c>
      <c r="L59" s="112">
        <v>66630.392000917753</v>
      </c>
      <c r="M59" s="112">
        <v>71112.5</v>
      </c>
      <c r="N59" s="86">
        <f t="shared" si="2"/>
        <v>74668.125</v>
      </c>
      <c r="AX59" s="86" t="s">
        <v>399</v>
      </c>
      <c r="AY59" s="107">
        <v>6094</v>
      </c>
      <c r="AZ59" s="86" t="s">
        <v>521</v>
      </c>
    </row>
    <row r="60" spans="1:53" ht="18" x14ac:dyDescent="0.35">
      <c r="A60" s="10">
        <v>45965</v>
      </c>
      <c r="B60" s="11" t="s">
        <v>256</v>
      </c>
      <c r="C60" s="11" t="s">
        <v>248</v>
      </c>
      <c r="D60" s="11" t="s">
        <v>9</v>
      </c>
      <c r="E60" s="12">
        <v>0</v>
      </c>
      <c r="F60" s="14">
        <f t="shared" si="3"/>
        <v>7.7329999999999997</v>
      </c>
      <c r="G60" s="14">
        <v>7.7329999999999997</v>
      </c>
      <c r="H60" s="14">
        <v>2995.4349999999999</v>
      </c>
      <c r="I60" s="15" t="s">
        <v>249</v>
      </c>
      <c r="J60" s="65" t="s">
        <v>396</v>
      </c>
      <c r="K60" s="16">
        <f t="shared" ca="1" si="1"/>
        <v>0</v>
      </c>
      <c r="L60" s="112">
        <v>65781.782701267017</v>
      </c>
      <c r="M60" s="112">
        <v>76675.238095238092</v>
      </c>
      <c r="N60" s="86">
        <f t="shared" si="2"/>
        <v>80509</v>
      </c>
      <c r="AX60" s="86" t="s">
        <v>399</v>
      </c>
      <c r="AY60" s="107">
        <v>6145</v>
      </c>
      <c r="AZ60" s="86" t="s">
        <v>485</v>
      </c>
      <c r="BA60" s="86" t="s">
        <v>522</v>
      </c>
    </row>
    <row r="61" spans="1:53" ht="18" x14ac:dyDescent="0.35">
      <c r="A61" s="10">
        <v>45980</v>
      </c>
      <c r="B61" s="11" t="s">
        <v>259</v>
      </c>
      <c r="C61" s="11" t="s">
        <v>248</v>
      </c>
      <c r="D61" s="11" t="s">
        <v>9</v>
      </c>
      <c r="E61" s="12">
        <v>0</v>
      </c>
      <c r="F61" s="14">
        <f t="shared" si="3"/>
        <v>1.173</v>
      </c>
      <c r="G61" s="14">
        <v>1.173</v>
      </c>
      <c r="H61" s="14">
        <v>474.95299999999997</v>
      </c>
      <c r="I61" s="15" t="s">
        <v>32</v>
      </c>
      <c r="J61" s="65" t="s">
        <v>396</v>
      </c>
      <c r="K61" s="16">
        <f t="shared" ca="1" si="1"/>
        <v>0</v>
      </c>
      <c r="L61" s="112">
        <v>65478.2</v>
      </c>
      <c r="M61" s="112">
        <v>78100</v>
      </c>
      <c r="N61" s="86">
        <f t="shared" si="2"/>
        <v>82005</v>
      </c>
      <c r="AX61" s="86" t="s">
        <v>399</v>
      </c>
      <c r="AY61" s="107">
        <v>6188</v>
      </c>
      <c r="AZ61" s="86" t="s">
        <v>417</v>
      </c>
      <c r="BA61" s="86" t="s">
        <v>523</v>
      </c>
    </row>
    <row r="62" spans="1:53" ht="18" x14ac:dyDescent="0.35">
      <c r="A62" s="10">
        <v>46018</v>
      </c>
      <c r="B62" s="11" t="s">
        <v>272</v>
      </c>
      <c r="C62" s="11" t="s">
        <v>248</v>
      </c>
      <c r="D62" s="11" t="s">
        <v>9</v>
      </c>
      <c r="E62" s="12">
        <v>0</v>
      </c>
      <c r="F62" s="14">
        <f t="shared" si="3"/>
        <v>14.218</v>
      </c>
      <c r="G62" s="14">
        <v>14.218</v>
      </c>
      <c r="H62" s="14">
        <v>2086.8789999999999</v>
      </c>
      <c r="I62" s="15" t="s">
        <v>130</v>
      </c>
      <c r="J62" s="65" t="s">
        <v>396</v>
      </c>
      <c r="K62" s="16">
        <f t="shared" ca="1" si="1"/>
        <v>0</v>
      </c>
      <c r="L62" s="112">
        <v>74314.197499999995</v>
      </c>
      <c r="M62" s="112">
        <v>78437.5</v>
      </c>
      <c r="N62" s="86">
        <f t="shared" si="2"/>
        <v>82359.375</v>
      </c>
      <c r="AX62" s="86" t="s">
        <v>399</v>
      </c>
      <c r="AY62" s="107">
        <v>6226</v>
      </c>
      <c r="AZ62" s="86" t="s">
        <v>524</v>
      </c>
      <c r="BA62" s="86" t="s">
        <v>525</v>
      </c>
    </row>
    <row r="63" spans="1:53" ht="18" x14ac:dyDescent="0.35">
      <c r="A63" s="10">
        <v>46069</v>
      </c>
      <c r="B63" s="11" t="s">
        <v>292</v>
      </c>
      <c r="C63" s="11" t="s">
        <v>114</v>
      </c>
      <c r="D63" s="11" t="s">
        <v>13</v>
      </c>
      <c r="E63" s="12">
        <v>0</v>
      </c>
      <c r="F63" s="14">
        <f t="shared" si="3"/>
        <v>0.38200000000000001</v>
      </c>
      <c r="G63" s="14">
        <v>0.38200000000000001</v>
      </c>
      <c r="H63" s="14">
        <v>800.42899999999997</v>
      </c>
      <c r="I63" s="15" t="s">
        <v>21</v>
      </c>
      <c r="J63" s="65" t="s">
        <v>396</v>
      </c>
      <c r="K63" s="16">
        <f t="shared" ca="1" si="1"/>
        <v>0</v>
      </c>
      <c r="L63" s="112">
        <v>89694.111907489612</v>
      </c>
      <c r="M63" s="112">
        <v>107156.25</v>
      </c>
      <c r="N63" s="86">
        <f t="shared" si="2"/>
        <v>112514.0625</v>
      </c>
      <c r="AX63" s="86" t="s">
        <v>399</v>
      </c>
      <c r="AY63" s="107">
        <v>6284</v>
      </c>
      <c r="AZ63" s="86" t="s">
        <v>544</v>
      </c>
      <c r="BA63" s="86" t="s">
        <v>545</v>
      </c>
    </row>
    <row r="64" spans="1:53" ht="18" x14ac:dyDescent="0.35">
      <c r="A64" s="10">
        <v>46080</v>
      </c>
      <c r="B64" s="11" t="s">
        <v>302</v>
      </c>
      <c r="C64" s="11" t="s">
        <v>114</v>
      </c>
      <c r="D64" s="11" t="s">
        <v>13</v>
      </c>
      <c r="E64" s="12">
        <v>21.053000000000001</v>
      </c>
      <c r="F64" s="14">
        <f t="shared" si="3"/>
        <v>11.27</v>
      </c>
      <c r="G64" s="14">
        <v>32.323</v>
      </c>
      <c r="H64" s="14">
        <v>1047.319</v>
      </c>
      <c r="I64" s="15" t="s">
        <v>21</v>
      </c>
      <c r="J64" s="65" t="s">
        <v>396</v>
      </c>
      <c r="K64" s="16">
        <f t="shared" ca="1" si="1"/>
        <v>0</v>
      </c>
      <c r="L64" s="112">
        <v>94189.495794797549</v>
      </c>
      <c r="M64" s="112">
        <v>180321.42857142858</v>
      </c>
      <c r="N64" s="86">
        <f t="shared" si="2"/>
        <v>189337.50000000003</v>
      </c>
      <c r="AX64" s="86" t="s">
        <v>399</v>
      </c>
      <c r="AY64" s="107">
        <v>6310</v>
      </c>
      <c r="AZ64" s="86" t="s">
        <v>546</v>
      </c>
    </row>
    <row r="65" spans="1:53" ht="18" x14ac:dyDescent="0.35">
      <c r="A65" s="10">
        <v>46139</v>
      </c>
      <c r="B65" s="11" t="s">
        <v>364</v>
      </c>
      <c r="C65" s="11" t="s">
        <v>114</v>
      </c>
      <c r="D65" s="11" t="s">
        <v>9</v>
      </c>
      <c r="E65" s="12">
        <v>0</v>
      </c>
      <c r="F65" s="14">
        <f t="shared" si="3"/>
        <v>325.988</v>
      </c>
      <c r="G65" s="14">
        <v>325.988</v>
      </c>
      <c r="H65" s="14">
        <v>1998.7049999999999</v>
      </c>
      <c r="I65" s="15" t="s">
        <v>23</v>
      </c>
      <c r="J65" s="65" t="s">
        <v>570</v>
      </c>
      <c r="K65" s="16">
        <f t="shared" ca="1" si="1"/>
        <v>0</v>
      </c>
      <c r="L65" s="112">
        <v>135097.68359752669</v>
      </c>
      <c r="M65" s="112">
        <v>164409.09090909091</v>
      </c>
      <c r="N65" s="86">
        <f t="shared" si="2"/>
        <v>172629.54545454547</v>
      </c>
      <c r="AX65" s="86" t="s">
        <v>399</v>
      </c>
      <c r="AY65" s="107">
        <v>6373</v>
      </c>
      <c r="AZ65" s="86" t="s">
        <v>457</v>
      </c>
      <c r="BA65" s="86" t="s">
        <v>458</v>
      </c>
    </row>
    <row r="66" spans="1:53" ht="18" x14ac:dyDescent="0.35">
      <c r="A66" s="10">
        <v>46063</v>
      </c>
      <c r="B66" s="11" t="s">
        <v>287</v>
      </c>
      <c r="C66" s="11" t="s">
        <v>225</v>
      </c>
      <c r="D66" s="11" t="s">
        <v>9</v>
      </c>
      <c r="E66" s="12">
        <f>1125.224-200-298-18-100-195-150</f>
        <v>164.22399999999993</v>
      </c>
      <c r="F66" s="14">
        <f t="shared" si="3"/>
        <v>392.72</v>
      </c>
      <c r="G66" s="14">
        <v>556.94399999999996</v>
      </c>
      <c r="H66" s="14">
        <v>1869.5719999999999</v>
      </c>
      <c r="I66" s="15" t="s">
        <v>32</v>
      </c>
      <c r="J66" s="65" t="s">
        <v>396</v>
      </c>
      <c r="K66" s="16">
        <f t="shared" ca="1" si="1"/>
        <v>108</v>
      </c>
      <c r="L66" s="112">
        <v>104906.49999572095</v>
      </c>
      <c r="M66" s="112">
        <v>146500</v>
      </c>
      <c r="N66" s="86">
        <f t="shared" si="2"/>
        <v>153825</v>
      </c>
      <c r="AX66" s="86" t="s">
        <v>399</v>
      </c>
      <c r="AY66" s="107">
        <v>6271</v>
      </c>
      <c r="AZ66" s="86" t="s">
        <v>544</v>
      </c>
      <c r="BA66" s="86" t="s">
        <v>545</v>
      </c>
    </row>
    <row r="67" spans="1:53" ht="18" x14ac:dyDescent="0.35">
      <c r="A67" s="10">
        <v>45996</v>
      </c>
      <c r="B67" s="11" t="s">
        <v>264</v>
      </c>
      <c r="C67" s="11" t="s">
        <v>225</v>
      </c>
      <c r="D67" s="11" t="s">
        <v>227</v>
      </c>
      <c r="E67" s="12">
        <v>0</v>
      </c>
      <c r="F67" s="14">
        <f t="shared" ref="F67:F75" si="4">G67-E67</f>
        <v>0.60499999999999998</v>
      </c>
      <c r="G67" s="14">
        <v>0.60499999999999998</v>
      </c>
      <c r="H67" s="14">
        <v>1451.973</v>
      </c>
      <c r="I67" s="15" t="s">
        <v>136</v>
      </c>
      <c r="J67" s="65" t="s">
        <v>396</v>
      </c>
      <c r="K67" s="16">
        <f t="shared" ca="1" si="1"/>
        <v>0</v>
      </c>
      <c r="L67" s="112">
        <v>101594.60000055042</v>
      </c>
      <c r="M67" s="112">
        <v>124834.48275862068</v>
      </c>
      <c r="N67" s="86">
        <f t="shared" si="2"/>
        <v>131076.20689655171</v>
      </c>
      <c r="AX67" s="86" t="s">
        <v>399</v>
      </c>
      <c r="AY67" s="107">
        <v>6196</v>
      </c>
      <c r="AZ67" s="86" t="s">
        <v>553</v>
      </c>
      <c r="BA67" s="86" t="s">
        <v>452</v>
      </c>
    </row>
    <row r="68" spans="1:53" ht="18" x14ac:dyDescent="0.35">
      <c r="A68" s="10">
        <v>46037</v>
      </c>
      <c r="B68" s="11" t="s">
        <v>275</v>
      </c>
      <c r="C68" s="11" t="s">
        <v>159</v>
      </c>
      <c r="D68" s="11" t="s">
        <v>166</v>
      </c>
      <c r="E68" s="12">
        <v>0.29299999999999998</v>
      </c>
      <c r="F68" s="14">
        <f t="shared" si="4"/>
        <v>36.71</v>
      </c>
      <c r="G68" s="14">
        <v>37.003</v>
      </c>
      <c r="H68" s="14">
        <v>4023.86</v>
      </c>
      <c r="I68" s="15" t="s">
        <v>167</v>
      </c>
      <c r="J68" s="65" t="s">
        <v>396</v>
      </c>
      <c r="K68" s="16">
        <f t="shared" ref="K68:K75" ca="1" si="5">IF(E68&gt;25, TODAY()-A68, 0)</f>
        <v>0</v>
      </c>
      <c r="L68" s="112">
        <v>28833.439999404811</v>
      </c>
      <c r="M68" s="112">
        <v>40388.181818181816</v>
      </c>
      <c r="N68" s="86">
        <f t="shared" ref="N68:N75" si="6">M68*1.05</f>
        <v>42407.590909090912</v>
      </c>
      <c r="AX68" s="86" t="s">
        <v>399</v>
      </c>
      <c r="AY68" s="107">
        <v>6280</v>
      </c>
      <c r="AZ68" s="86" t="s">
        <v>554</v>
      </c>
      <c r="BA68" s="86" t="s">
        <v>555</v>
      </c>
    </row>
    <row r="69" spans="1:53" ht="18" x14ac:dyDescent="0.35">
      <c r="A69" s="10">
        <v>46111</v>
      </c>
      <c r="B69" s="11" t="s">
        <v>334</v>
      </c>
      <c r="C69" s="11" t="s">
        <v>159</v>
      </c>
      <c r="D69" s="11" t="s">
        <v>166</v>
      </c>
      <c r="E69" s="12">
        <v>0</v>
      </c>
      <c r="F69" s="14">
        <f t="shared" si="4"/>
        <v>484.15899999999999</v>
      </c>
      <c r="G69" s="14">
        <v>484.15899999999999</v>
      </c>
      <c r="H69" s="14">
        <v>4454.6869999999999</v>
      </c>
      <c r="I69" s="15" t="s">
        <v>167</v>
      </c>
      <c r="J69" s="65" t="s">
        <v>396</v>
      </c>
      <c r="K69" s="16">
        <f t="shared" ca="1" si="5"/>
        <v>0</v>
      </c>
      <c r="L69" s="112">
        <v>30023.927499283338</v>
      </c>
      <c r="M69" s="112">
        <v>60711.206896551732</v>
      </c>
      <c r="N69" s="86">
        <f t="shared" si="6"/>
        <v>63746.767241379319</v>
      </c>
      <c r="AX69" s="86" t="s">
        <v>399</v>
      </c>
      <c r="AY69" s="107">
        <v>6348</v>
      </c>
      <c r="AZ69" s="86" t="s">
        <v>556</v>
      </c>
      <c r="BA69" s="86" t="s">
        <v>557</v>
      </c>
    </row>
    <row r="70" spans="1:53" ht="18" x14ac:dyDescent="0.35">
      <c r="A70" s="10">
        <v>46027</v>
      </c>
      <c r="B70" s="11" t="s">
        <v>273</v>
      </c>
      <c r="C70" s="11" t="s">
        <v>159</v>
      </c>
      <c r="D70" s="11" t="s">
        <v>13</v>
      </c>
      <c r="E70" s="12">
        <v>0</v>
      </c>
      <c r="F70" s="14">
        <f t="shared" si="4"/>
        <v>11.332000000000001</v>
      </c>
      <c r="G70" s="14">
        <v>11.332000000000001</v>
      </c>
      <c r="H70" s="14">
        <v>10459.857</v>
      </c>
      <c r="I70" s="15" t="s">
        <v>21</v>
      </c>
      <c r="J70" s="65" t="s">
        <v>396</v>
      </c>
      <c r="K70" s="16">
        <f t="shared" ca="1" si="5"/>
        <v>0</v>
      </c>
      <c r="L70" s="112">
        <v>29548.237499999999</v>
      </c>
      <c r="M70" s="112">
        <v>30853.333333333328</v>
      </c>
      <c r="N70" s="86">
        <f t="shared" si="6"/>
        <v>32395.999999999996</v>
      </c>
      <c r="AX70" s="86" t="s">
        <v>399</v>
      </c>
      <c r="AY70" s="107">
        <v>6252</v>
      </c>
      <c r="AZ70" s="86" t="s">
        <v>558</v>
      </c>
      <c r="BA70" s="86" t="s">
        <v>559</v>
      </c>
    </row>
    <row r="71" spans="1:53" ht="18" x14ac:dyDescent="0.35">
      <c r="A71" s="10">
        <v>46121</v>
      </c>
      <c r="B71" s="11" t="s">
        <v>343</v>
      </c>
      <c r="C71" s="11" t="s">
        <v>159</v>
      </c>
      <c r="D71" s="11" t="s">
        <v>13</v>
      </c>
      <c r="E71" s="12">
        <f>2991.197-167.506-62-600-23-825-483-40-200-64-25+26-40-250-32-16</f>
        <v>189.69100000000026</v>
      </c>
      <c r="F71" s="14">
        <f t="shared" si="4"/>
        <v>293.22399999999976</v>
      </c>
      <c r="G71" s="14">
        <v>482.91500000000002</v>
      </c>
      <c r="H71" s="14">
        <v>2991.1970000000001</v>
      </c>
      <c r="I71" s="15" t="s">
        <v>21</v>
      </c>
      <c r="J71" s="65" t="s">
        <v>396</v>
      </c>
      <c r="K71" s="16">
        <f t="shared" ca="1" si="5"/>
        <v>50</v>
      </c>
      <c r="L71" s="112">
        <v>71288</v>
      </c>
      <c r="M71" s="112">
        <v>66515.384615384624</v>
      </c>
      <c r="N71" s="86">
        <f t="shared" si="6"/>
        <v>69841.153846153858</v>
      </c>
      <c r="AX71" s="86" t="s">
        <v>399</v>
      </c>
      <c r="AY71" s="107">
        <v>6385</v>
      </c>
      <c r="AZ71" s="86" t="s">
        <v>562</v>
      </c>
      <c r="BA71" s="86" t="s">
        <v>563</v>
      </c>
    </row>
    <row r="72" spans="1:53" s="89" customFormat="1" ht="18" x14ac:dyDescent="0.35">
      <c r="A72" s="88">
        <v>46032</v>
      </c>
      <c r="B72" s="26" t="s">
        <v>274</v>
      </c>
      <c r="C72" s="26" t="s">
        <v>159</v>
      </c>
      <c r="D72" s="26" t="s">
        <v>9</v>
      </c>
      <c r="E72" s="13">
        <v>0</v>
      </c>
      <c r="F72" s="21">
        <f t="shared" si="4"/>
        <v>12.464</v>
      </c>
      <c r="G72" s="21">
        <v>12.464</v>
      </c>
      <c r="H72" s="21">
        <v>4981.598</v>
      </c>
      <c r="I72" s="23" t="s">
        <v>29</v>
      </c>
      <c r="J72" s="65" t="s">
        <v>396</v>
      </c>
      <c r="K72" s="16">
        <f t="shared" ca="1" si="5"/>
        <v>0</v>
      </c>
      <c r="L72" s="112">
        <v>29393.24</v>
      </c>
      <c r="M72" s="112">
        <v>37986.538461538468</v>
      </c>
      <c r="N72" s="86">
        <f t="shared" si="6"/>
        <v>39885.86538461539</v>
      </c>
      <c r="O72" s="86"/>
      <c r="P72" s="109"/>
      <c r="Q72" s="109"/>
      <c r="R72" s="109"/>
      <c r="AX72" s="89" t="s">
        <v>399</v>
      </c>
      <c r="AY72" s="108">
        <v>6267</v>
      </c>
      <c r="AZ72" s="89" t="s">
        <v>564</v>
      </c>
      <c r="BA72" s="89" t="s">
        <v>565</v>
      </c>
    </row>
    <row r="73" spans="1:53" s="89" customFormat="1" ht="18" x14ac:dyDescent="0.35">
      <c r="A73" s="88">
        <v>46073</v>
      </c>
      <c r="B73" s="26" t="s">
        <v>301</v>
      </c>
      <c r="C73" s="26" t="s">
        <v>159</v>
      </c>
      <c r="D73" s="26" t="s">
        <v>9</v>
      </c>
      <c r="E73" s="13">
        <v>0</v>
      </c>
      <c r="F73" s="21">
        <f t="shared" si="4"/>
        <v>21.808</v>
      </c>
      <c r="G73" s="21">
        <v>21.808</v>
      </c>
      <c r="H73" s="21">
        <v>5879.7470000000003</v>
      </c>
      <c r="I73" s="23" t="s">
        <v>152</v>
      </c>
      <c r="J73" s="65" t="s">
        <v>396</v>
      </c>
      <c r="K73" s="16">
        <f t="shared" ca="1" si="5"/>
        <v>0</v>
      </c>
      <c r="L73" s="112">
        <v>27220.000000000004</v>
      </c>
      <c r="M73" s="112">
        <v>67105.882352941175</v>
      </c>
      <c r="N73" s="86">
        <f t="shared" si="6"/>
        <v>70461.176470588238</v>
      </c>
      <c r="O73" s="86"/>
      <c r="P73" s="109"/>
      <c r="Q73" s="109"/>
      <c r="R73" s="109"/>
      <c r="AX73" s="89" t="s">
        <v>399</v>
      </c>
      <c r="AY73" s="108">
        <v>6329</v>
      </c>
      <c r="AZ73" s="89" t="s">
        <v>417</v>
      </c>
      <c r="BA73" s="89" t="s">
        <v>566</v>
      </c>
    </row>
    <row r="74" spans="1:53" ht="18" x14ac:dyDescent="0.35">
      <c r="A74" s="10">
        <v>46010</v>
      </c>
      <c r="B74" s="11" t="s">
        <v>269</v>
      </c>
      <c r="C74" s="11" t="s">
        <v>159</v>
      </c>
      <c r="D74" s="11" t="s">
        <v>16</v>
      </c>
      <c r="E74" s="12">
        <v>0</v>
      </c>
      <c r="F74" s="14">
        <f t="shared" si="4"/>
        <v>24.088000000000001</v>
      </c>
      <c r="G74" s="14">
        <v>24.088000000000001</v>
      </c>
      <c r="H74" s="14">
        <v>5242.9709999999995</v>
      </c>
      <c r="I74" s="15" t="s">
        <v>23</v>
      </c>
      <c r="J74" s="65" t="s">
        <v>396</v>
      </c>
      <c r="K74" s="16">
        <f t="shared" ca="1" si="5"/>
        <v>0</v>
      </c>
      <c r="L74" s="112">
        <v>29641.987500952378</v>
      </c>
      <c r="M74" s="112">
        <v>33934.054054054053</v>
      </c>
      <c r="N74" s="86">
        <f t="shared" si="6"/>
        <v>35630.75675675676</v>
      </c>
      <c r="AX74" s="86" t="s">
        <v>399</v>
      </c>
      <c r="AY74" s="107">
        <v>6263</v>
      </c>
      <c r="AZ74" s="86" t="s">
        <v>482</v>
      </c>
      <c r="BA74" s="86" t="s">
        <v>567</v>
      </c>
    </row>
    <row r="75" spans="1:53" ht="18" x14ac:dyDescent="0.35">
      <c r="A75" s="10">
        <v>46099</v>
      </c>
      <c r="B75" s="11" t="s">
        <v>331</v>
      </c>
      <c r="C75" s="11" t="s">
        <v>159</v>
      </c>
      <c r="D75" s="11" t="s">
        <v>16</v>
      </c>
      <c r="E75" s="12">
        <v>0</v>
      </c>
      <c r="F75" s="14">
        <f t="shared" si="4"/>
        <v>996.48500000000001</v>
      </c>
      <c r="G75" s="14">
        <v>996.48500000000001</v>
      </c>
      <c r="H75" s="14">
        <v>8521.9869999999992</v>
      </c>
      <c r="I75" s="15" t="s">
        <v>23</v>
      </c>
      <c r="J75" s="65" t="s">
        <v>396</v>
      </c>
      <c r="K75" s="16">
        <f t="shared" ca="1" si="5"/>
        <v>0</v>
      </c>
      <c r="L75" s="112">
        <v>29000.724999999999</v>
      </c>
      <c r="M75" s="112">
        <v>61367.741935483871</v>
      </c>
      <c r="N75" s="86">
        <f t="shared" si="6"/>
        <v>64436.129032258068</v>
      </c>
      <c r="AX75" s="86" t="s">
        <v>399</v>
      </c>
      <c r="AY75" s="107">
        <v>6334</v>
      </c>
      <c r="AZ75" s="86" t="s">
        <v>558</v>
      </c>
      <c r="BA75" s="86" t="s">
        <v>559</v>
      </c>
    </row>
    <row r="76" spans="1:53" x14ac:dyDescent="0.3">
      <c r="E76" s="44"/>
      <c r="F76" s="44"/>
      <c r="G76" s="44"/>
      <c r="H76" s="44"/>
    </row>
    <row r="77" spans="1:53" ht="18" x14ac:dyDescent="0.35">
      <c r="G77" s="90"/>
      <c r="H77" s="44"/>
    </row>
    <row r="78" spans="1:53" ht="18" x14ac:dyDescent="0.35">
      <c r="G78" s="90"/>
      <c r="H78" s="90"/>
    </row>
    <row r="79" spans="1:53" ht="18" x14ac:dyDescent="0.35">
      <c r="G79" s="90"/>
      <c r="H79" s="90"/>
      <c r="I79" s="99"/>
    </row>
    <row r="80" spans="1:53" ht="18" x14ac:dyDescent="0.35">
      <c r="F80" s="44"/>
      <c r="G80" s="90"/>
      <c r="H80" s="44"/>
      <c r="I80" s="99"/>
    </row>
    <row r="81" spans="6:8" x14ac:dyDescent="0.3">
      <c r="F81" s="44"/>
      <c r="G81" s="44"/>
      <c r="H81" s="44"/>
    </row>
    <row r="82" spans="6:8" x14ac:dyDescent="0.3">
      <c r="F82" s="44"/>
      <c r="G82" s="44"/>
      <c r="H82" s="44"/>
    </row>
    <row r="83" spans="6:8" x14ac:dyDescent="0.3">
      <c r="F83" s="44"/>
      <c r="G83" s="44"/>
      <c r="H83" s="44"/>
    </row>
    <row r="84" spans="6:8" x14ac:dyDescent="0.3">
      <c r="F84" s="44"/>
      <c r="G84" s="44"/>
      <c r="H84" s="44"/>
    </row>
    <row r="85" spans="6:8" x14ac:dyDescent="0.3">
      <c r="F85" s="44"/>
      <c r="G85" s="44"/>
      <c r="H85" s="44"/>
    </row>
    <row r="86" spans="6:8" x14ac:dyDescent="0.3">
      <c r="F86" s="44"/>
      <c r="G86" s="44"/>
      <c r="H86" s="44"/>
    </row>
    <row r="87" spans="6:8" x14ac:dyDescent="0.3">
      <c r="F87" s="44"/>
      <c r="G87" s="44"/>
      <c r="H87" s="44"/>
    </row>
  </sheetData>
  <autoFilter ref="A2:M76" xr:uid="{00000000-0001-0000-0100-000000000000}"/>
  <mergeCells count="1">
    <mergeCell ref="A1:K1"/>
  </mergeCells>
  <conditionalFormatting sqref="G77 G78:H79 G80">
    <cfRule type="cellIs" dxfId="1" priority="34" operator="lessThan">
      <formula>0</formula>
    </cfRule>
  </conditionalFormatting>
  <conditionalFormatting sqref="G1:H67 E1:E1048576 G70:H75">
    <cfRule type="cellIs" dxfId="0" priority="1" operator="lessThan">
      <formula>0</formula>
    </cfRule>
  </conditionalFormatting>
  <pageMargins left="0.23622047244094491" right="0.23622047244094491" top="0.39370078740157483" bottom="0.43307086614173229" header="0.31496062992125984" footer="0.31496062992125984"/>
  <pageSetup scale="53" fitToHeight="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4:XEU210"/>
  <sheetViews>
    <sheetView zoomScale="80" zoomScaleNormal="80" workbookViewId="0">
      <pane ySplit="6" topLeftCell="A7" activePane="bottomLeft" state="frozen"/>
      <selection activeCell="E11" sqref="E11"/>
      <selection pane="bottomLeft" activeCell="E11" sqref="E11"/>
    </sheetView>
  </sheetViews>
  <sheetFormatPr defaultRowHeight="17.399999999999999" x14ac:dyDescent="0.35"/>
  <cols>
    <col min="1" max="1" width="16.109375" style="1" customWidth="1"/>
    <col min="2" max="2" width="38" bestFit="1" customWidth="1"/>
    <col min="3" max="3" width="24.5546875" customWidth="1"/>
    <col min="4" max="4" width="14.33203125" customWidth="1"/>
    <col min="5" max="5" width="17.6640625" style="1" customWidth="1"/>
    <col min="6" max="6" width="14.109375" style="2" customWidth="1"/>
    <col min="7" max="7" width="23.33203125" customWidth="1"/>
    <col min="8" max="8" width="20.33203125" customWidth="1"/>
    <col min="9" max="9" width="34.6640625" style="1" customWidth="1"/>
    <col min="10" max="10" width="17.88671875" style="1" customWidth="1"/>
    <col min="11" max="11" width="23.5546875" style="3" customWidth="1"/>
    <col min="12" max="12" width="31.33203125" customWidth="1"/>
    <col min="13" max="13" width="12.88671875" customWidth="1"/>
    <col min="14" max="14" width="12.6640625" customWidth="1"/>
  </cols>
  <sheetData>
    <row r="4" spans="1:14" ht="18" thickBot="1" x14ac:dyDescent="0.4"/>
    <row r="5" spans="1:14" ht="33" customHeight="1" thickBot="1" x14ac:dyDescent="0.35">
      <c r="A5" s="115" t="s">
        <v>172</v>
      </c>
      <c r="B5" s="116"/>
      <c r="C5" s="116"/>
      <c r="D5" s="116"/>
      <c r="E5" s="116"/>
      <c r="F5" s="116"/>
      <c r="G5" s="116"/>
      <c r="H5" s="116"/>
      <c r="I5" s="116"/>
      <c r="J5" s="117"/>
      <c r="K5" s="4"/>
    </row>
    <row r="6" spans="1:14" ht="36.6" thickBot="1" x14ac:dyDescent="0.4">
      <c r="A6" s="5" t="s">
        <v>0</v>
      </c>
      <c r="B6" s="6" t="s">
        <v>1</v>
      </c>
      <c r="C6" s="6" t="s">
        <v>2</v>
      </c>
      <c r="D6" s="6" t="s">
        <v>3</v>
      </c>
      <c r="E6" s="7" t="s">
        <v>4</v>
      </c>
      <c r="F6" s="7" t="s">
        <v>4</v>
      </c>
      <c r="G6" s="7" t="s">
        <v>5</v>
      </c>
      <c r="H6" s="7" t="s">
        <v>6</v>
      </c>
      <c r="I6" s="7" t="s">
        <v>7</v>
      </c>
      <c r="J6" s="8"/>
      <c r="K6" s="9" t="s">
        <v>8</v>
      </c>
      <c r="M6" s="55" t="s">
        <v>224</v>
      </c>
      <c r="N6" t="s">
        <v>173</v>
      </c>
    </row>
    <row r="7" spans="1:14" ht="18" x14ac:dyDescent="0.35">
      <c r="A7" s="10">
        <v>44893</v>
      </c>
      <c r="B7" s="11" t="s">
        <v>10</v>
      </c>
      <c r="C7" s="11" t="s">
        <v>11</v>
      </c>
      <c r="D7" s="11" t="s">
        <v>9</v>
      </c>
      <c r="E7" s="12">
        <v>5.6970000000001164</v>
      </c>
      <c r="F7" s="13"/>
      <c r="G7" s="14">
        <v>0</v>
      </c>
      <c r="H7" s="14">
        <v>5.6970000000001164</v>
      </c>
      <c r="I7" s="15" t="s">
        <v>12</v>
      </c>
      <c r="J7" s="16"/>
      <c r="K7" s="17">
        <v>473</v>
      </c>
      <c r="M7" t="e">
        <v>#N/A</v>
      </c>
      <c r="N7" t="e">
        <v>#N/A</v>
      </c>
    </row>
    <row r="8" spans="1:14" ht="18" x14ac:dyDescent="0.35">
      <c r="A8" s="10">
        <v>44964</v>
      </c>
      <c r="B8" s="11" t="s">
        <v>14</v>
      </c>
      <c r="C8" s="11" t="s">
        <v>11</v>
      </c>
      <c r="D8" s="11" t="s">
        <v>9</v>
      </c>
      <c r="E8" s="12">
        <f t="shared" ref="E8:E15" si="0">H8-G8</f>
        <v>0</v>
      </c>
      <c r="F8" s="13"/>
      <c r="G8" s="14">
        <f>322.189-37.75-166.01-103.19</f>
        <v>15.239000000000033</v>
      </c>
      <c r="H8" s="14">
        <f>322.189-37.75-166.01-103.19</f>
        <v>15.239000000000033</v>
      </c>
      <c r="I8" s="15" t="s">
        <v>15</v>
      </c>
      <c r="J8" s="16"/>
      <c r="K8" s="18">
        <v>435</v>
      </c>
      <c r="M8">
        <v>0</v>
      </c>
      <c r="N8">
        <v>2.8421709430404007E-13</v>
      </c>
    </row>
    <row r="9" spans="1:14" ht="18" x14ac:dyDescent="0.35">
      <c r="A9" s="10">
        <v>44992</v>
      </c>
      <c r="B9" s="11" t="s">
        <v>17</v>
      </c>
      <c r="C9" s="11" t="s">
        <v>11</v>
      </c>
      <c r="D9" s="11" t="s">
        <v>9</v>
      </c>
      <c r="E9" s="12">
        <f t="shared" si="0"/>
        <v>753.14100000000008</v>
      </c>
      <c r="F9" s="13"/>
      <c r="G9" s="14">
        <f>80+18+282-9.83</f>
        <v>370.17</v>
      </c>
      <c r="H9" s="14">
        <f>1392.151-69.52-132.92-56.57-9.83</f>
        <v>1123.3110000000001</v>
      </c>
      <c r="I9" s="15" t="s">
        <v>18</v>
      </c>
      <c r="J9" s="16"/>
      <c r="K9" s="18">
        <v>435.07498157175701</v>
      </c>
      <c r="M9">
        <v>353.94100000000003</v>
      </c>
      <c r="N9">
        <v>-32.848999999999933</v>
      </c>
    </row>
    <row r="10" spans="1:14" ht="18" x14ac:dyDescent="0.35">
      <c r="A10" s="10">
        <v>45007</v>
      </c>
      <c r="B10" s="11" t="s">
        <v>20</v>
      </c>
      <c r="C10" s="11" t="s">
        <v>11</v>
      </c>
      <c r="D10" s="11" t="s">
        <v>13</v>
      </c>
      <c r="E10" s="12">
        <f t="shared" si="0"/>
        <v>120.46399999999994</v>
      </c>
      <c r="F10" s="13"/>
      <c r="G10" s="14">
        <f>693.44-64.12-25.08-24.21-60.09+88-35.06</f>
        <v>572.87999999999988</v>
      </c>
      <c r="H10" s="14">
        <f>901.904-64.12-25.08-24.21-60.09-35.06</f>
        <v>693.34399999999982</v>
      </c>
      <c r="I10" s="15" t="s">
        <v>21</v>
      </c>
      <c r="J10" s="16"/>
      <c r="K10" s="18">
        <v>455.07895326310899</v>
      </c>
      <c r="M10">
        <v>205.05399999999986</v>
      </c>
      <c r="N10">
        <v>71.653999999999883</v>
      </c>
    </row>
    <row r="11" spans="1:14" ht="18" x14ac:dyDescent="0.35">
      <c r="A11" s="10">
        <v>45026</v>
      </c>
      <c r="B11" s="11" t="s">
        <v>22</v>
      </c>
      <c r="C11" s="11" t="s">
        <v>11</v>
      </c>
      <c r="D11" s="11" t="s">
        <v>13</v>
      </c>
      <c r="E11" s="12">
        <f t="shared" si="0"/>
        <v>848.58600000000001</v>
      </c>
      <c r="F11" s="13"/>
      <c r="G11" s="14">
        <v>200</v>
      </c>
      <c r="H11" s="14">
        <v>1048.586</v>
      </c>
      <c r="I11" s="15" t="s">
        <v>21</v>
      </c>
      <c r="J11" s="16"/>
      <c r="K11" s="18">
        <v>455.07995469010302</v>
      </c>
      <c r="M11">
        <v>848.58600000000001</v>
      </c>
      <c r="N11">
        <v>848.58600000000001</v>
      </c>
    </row>
    <row r="12" spans="1:14" ht="18" x14ac:dyDescent="0.35">
      <c r="A12" s="10">
        <v>44959</v>
      </c>
      <c r="B12" s="11" t="s">
        <v>174</v>
      </c>
      <c r="C12" s="11" t="s">
        <v>11</v>
      </c>
      <c r="D12" s="11" t="s">
        <v>16</v>
      </c>
      <c r="E12" s="12">
        <f t="shared" si="0"/>
        <v>123.40899999999998</v>
      </c>
      <c r="F12" s="13"/>
      <c r="G12" s="14">
        <f>105-24.84-7.11</f>
        <v>73.05</v>
      </c>
      <c r="H12" s="14">
        <f>228.409-24.84-7.11</f>
        <v>196.45899999999997</v>
      </c>
      <c r="I12" s="15" t="s">
        <v>23</v>
      </c>
      <c r="J12" s="16"/>
      <c r="K12" s="18">
        <v>441.98</v>
      </c>
      <c r="M12">
        <v>1.9309999999998126</v>
      </c>
      <c r="N12">
        <v>-52.34900000000016</v>
      </c>
    </row>
    <row r="13" spans="1:14" ht="18" x14ac:dyDescent="0.35">
      <c r="A13" s="10">
        <v>45004</v>
      </c>
      <c r="B13" s="11" t="s">
        <v>24</v>
      </c>
      <c r="C13" s="11" t="s">
        <v>11</v>
      </c>
      <c r="D13" s="11" t="s">
        <v>16</v>
      </c>
      <c r="E13" s="12">
        <f>H13-G13</f>
        <v>43.650999999999968</v>
      </c>
      <c r="F13" s="13"/>
      <c r="G13" s="14">
        <f>115.68-21.77</f>
        <v>93.910000000000011</v>
      </c>
      <c r="H13" s="14">
        <f>159.331-21.77</f>
        <v>137.56099999999998</v>
      </c>
      <c r="I13" s="15" t="s">
        <v>23</v>
      </c>
      <c r="J13" s="16"/>
      <c r="K13" s="18">
        <v>455.07914508269999</v>
      </c>
      <c r="M13">
        <v>117.81099999999992</v>
      </c>
      <c r="N13">
        <v>43.471000000000004</v>
      </c>
    </row>
    <row r="14" spans="1:14" ht="18" x14ac:dyDescent="0.35">
      <c r="A14" s="10">
        <v>45061</v>
      </c>
      <c r="B14" s="11" t="s">
        <v>213</v>
      </c>
      <c r="C14" s="11" t="s">
        <v>11</v>
      </c>
      <c r="D14" s="11" t="s">
        <v>16</v>
      </c>
      <c r="E14" s="12">
        <f>H14-G14</f>
        <v>43.650999999999968</v>
      </c>
      <c r="F14" s="13"/>
      <c r="G14" s="14">
        <f>115.68-21.77</f>
        <v>93.910000000000011</v>
      </c>
      <c r="H14" s="14">
        <f>159.331-21.77</f>
        <v>137.56099999999998</v>
      </c>
      <c r="I14" s="15" t="s">
        <v>23</v>
      </c>
      <c r="J14" s="16"/>
      <c r="K14" s="18">
        <v>455.07914508269999</v>
      </c>
      <c r="M14">
        <v>1000.042</v>
      </c>
      <c r="N14">
        <v>1000.0419999999999</v>
      </c>
    </row>
    <row r="15" spans="1:14" ht="18" x14ac:dyDescent="0.35">
      <c r="A15" s="10">
        <v>44855</v>
      </c>
      <c r="B15" s="11" t="s">
        <v>25</v>
      </c>
      <c r="C15" s="11" t="s">
        <v>11</v>
      </c>
      <c r="D15" s="11" t="s">
        <v>19</v>
      </c>
      <c r="E15" s="12">
        <f t="shared" si="0"/>
        <v>2.0150000000000001</v>
      </c>
      <c r="F15" s="13"/>
      <c r="G15" s="14">
        <v>0</v>
      </c>
      <c r="H15" s="14">
        <v>2.0150000000000001</v>
      </c>
      <c r="I15" s="15" t="s">
        <v>26</v>
      </c>
      <c r="J15" s="16"/>
      <c r="K15" s="18">
        <v>495</v>
      </c>
      <c r="M15">
        <v>2.055000000000291</v>
      </c>
      <c r="N15">
        <v>1.095000000000141</v>
      </c>
    </row>
    <row r="16" spans="1:14" ht="18" x14ac:dyDescent="0.35">
      <c r="A16" s="19"/>
      <c r="B16" s="13" t="s">
        <v>27</v>
      </c>
      <c r="C16" s="13"/>
      <c r="D16" s="13"/>
      <c r="E16" s="20">
        <f>SUBTOTAL(9,E7:E15)</f>
        <v>1940.6140000000003</v>
      </c>
      <c r="F16" s="21">
        <f>E16</f>
        <v>1940.6140000000003</v>
      </c>
      <c r="G16" s="20">
        <f>SUBTOTAL(9,G7:G15)</f>
        <v>1419.1590000000001</v>
      </c>
      <c r="H16" s="20">
        <f>SUBTOTAL(9,H7:H15)</f>
        <v>3359.7730000000001</v>
      </c>
      <c r="I16" s="15"/>
      <c r="J16" s="16"/>
      <c r="K16" s="18"/>
    </row>
    <row r="17" spans="1:14" ht="18" x14ac:dyDescent="0.35">
      <c r="A17" s="19"/>
      <c r="B17" s="13"/>
      <c r="C17" s="13"/>
      <c r="D17" s="13"/>
      <c r="E17" s="20"/>
      <c r="F17" s="21"/>
      <c r="G17" s="20"/>
      <c r="H17" s="20"/>
      <c r="I17" s="15"/>
      <c r="J17" s="16"/>
      <c r="K17" s="18"/>
    </row>
    <row r="18" spans="1:14" ht="18" x14ac:dyDescent="0.35">
      <c r="A18" s="10">
        <v>44893</v>
      </c>
      <c r="B18" s="11" t="s">
        <v>175</v>
      </c>
      <c r="C18" s="12" t="s">
        <v>28</v>
      </c>
      <c r="D18" s="12" t="s">
        <v>9</v>
      </c>
      <c r="E18" s="12">
        <f t="shared" ref="E18:E19" si="1">H18-G18</f>
        <v>528.90800000000002</v>
      </c>
      <c r="F18" s="14"/>
      <c r="G18" s="22">
        <f>20</f>
        <v>20</v>
      </c>
      <c r="H18" s="22">
        <f>565.828-16.92</f>
        <v>548.90800000000002</v>
      </c>
      <c r="I18" s="15" t="s">
        <v>29</v>
      </c>
      <c r="J18" s="16"/>
      <c r="K18" s="18">
        <v>1290</v>
      </c>
      <c r="M18">
        <v>56.535999999999831</v>
      </c>
      <c r="N18">
        <v>36.215999999999951</v>
      </c>
    </row>
    <row r="19" spans="1:14" ht="18" x14ac:dyDescent="0.35">
      <c r="A19" s="10">
        <v>44893</v>
      </c>
      <c r="B19" s="11" t="s">
        <v>176</v>
      </c>
      <c r="C19" s="12" t="s">
        <v>28</v>
      </c>
      <c r="D19" s="12" t="s">
        <v>9</v>
      </c>
      <c r="E19" s="12">
        <f t="shared" si="1"/>
        <v>528.90800000000002</v>
      </c>
      <c r="F19" s="14"/>
      <c r="G19" s="22">
        <f>20</f>
        <v>20</v>
      </c>
      <c r="H19" s="22">
        <f>565.828-16.92</f>
        <v>548.90800000000002</v>
      </c>
      <c r="I19" s="15" t="s">
        <v>29</v>
      </c>
      <c r="J19" s="16"/>
      <c r="K19" s="18">
        <v>1290</v>
      </c>
      <c r="M19">
        <v>482.28800000000001</v>
      </c>
      <c r="N19">
        <v>482.28800000000001</v>
      </c>
    </row>
    <row r="20" spans="1:14" ht="18" x14ac:dyDescent="0.35">
      <c r="A20" s="10"/>
      <c r="B20" s="13" t="s">
        <v>27</v>
      </c>
      <c r="C20" s="12"/>
      <c r="D20" s="12"/>
      <c r="E20" s="20">
        <f>SUBTOTAL(9,E19:E19)</f>
        <v>528.90800000000002</v>
      </c>
      <c r="F20" s="21">
        <f>E20</f>
        <v>528.90800000000002</v>
      </c>
      <c r="G20" s="20">
        <f>SUBTOTAL(9,G19:G19)</f>
        <v>20</v>
      </c>
      <c r="H20" s="20">
        <f>SUBTOTAL(9,H19:H19)</f>
        <v>548.90800000000002</v>
      </c>
      <c r="I20" s="15"/>
      <c r="J20" s="16"/>
      <c r="K20" s="18"/>
    </row>
    <row r="21" spans="1:14" ht="18" x14ac:dyDescent="0.35">
      <c r="A21" s="19"/>
      <c r="B21" s="13"/>
      <c r="C21" s="13"/>
      <c r="D21" s="13"/>
      <c r="E21" s="13"/>
      <c r="F21" s="21"/>
      <c r="G21" s="20"/>
      <c r="H21" s="20"/>
      <c r="I21" s="15"/>
      <c r="J21" s="16"/>
      <c r="K21" s="18"/>
    </row>
    <row r="22" spans="1:14" ht="18" x14ac:dyDescent="0.35">
      <c r="A22" s="10">
        <v>44910</v>
      </c>
      <c r="B22" s="12" t="s">
        <v>30</v>
      </c>
      <c r="C22" s="12" t="s">
        <v>31</v>
      </c>
      <c r="D22" s="12" t="s">
        <v>9</v>
      </c>
      <c r="E22" s="12">
        <f t="shared" ref="E22:E24" si="2">H22-G22</f>
        <v>0</v>
      </c>
      <c r="F22" s="21"/>
      <c r="G22" s="22">
        <v>10.776999999999999</v>
      </c>
      <c r="H22" s="22">
        <v>10.776999999999999</v>
      </c>
      <c r="I22" s="15" t="s">
        <v>32</v>
      </c>
      <c r="J22" s="16"/>
      <c r="K22" s="18">
        <v>680.11914634146342</v>
      </c>
      <c r="M22">
        <v>-10.642999999999972</v>
      </c>
      <c r="N22">
        <v>-0.41299999999995407</v>
      </c>
    </row>
    <row r="23" spans="1:14" ht="18" x14ac:dyDescent="0.35">
      <c r="A23" s="10">
        <v>44847</v>
      </c>
      <c r="B23" s="12" t="s">
        <v>33</v>
      </c>
      <c r="C23" s="12" t="s">
        <v>31</v>
      </c>
      <c r="D23" s="12" t="s">
        <v>16</v>
      </c>
      <c r="E23" s="12">
        <f t="shared" si="2"/>
        <v>0</v>
      </c>
      <c r="F23" s="21"/>
      <c r="G23" s="22">
        <v>22.535</v>
      </c>
      <c r="H23" s="22">
        <v>22.535</v>
      </c>
      <c r="I23" s="15" t="s">
        <v>23</v>
      </c>
      <c r="J23" s="16"/>
      <c r="K23" s="18">
        <v>670</v>
      </c>
      <c r="M23">
        <v>23.591000000000065</v>
      </c>
      <c r="N23">
        <v>-0.73900000000003274</v>
      </c>
    </row>
    <row r="24" spans="1:14" ht="18" x14ac:dyDescent="0.35">
      <c r="A24" s="10">
        <v>44789</v>
      </c>
      <c r="B24" s="12" t="s">
        <v>34</v>
      </c>
      <c r="C24" s="12" t="s">
        <v>31</v>
      </c>
      <c r="D24" s="12" t="s">
        <v>19</v>
      </c>
      <c r="E24" s="12">
        <f t="shared" si="2"/>
        <v>0</v>
      </c>
      <c r="F24" s="21"/>
      <c r="G24" s="22">
        <v>2.1280000000000001</v>
      </c>
      <c r="H24" s="22">
        <v>2.1280000000000001</v>
      </c>
      <c r="I24" s="15" t="s">
        <v>19</v>
      </c>
      <c r="J24" s="16"/>
      <c r="K24" s="18">
        <v>762</v>
      </c>
      <c r="M24">
        <v>7.32000000000005</v>
      </c>
      <c r="N24">
        <v>0.43000000000006366</v>
      </c>
    </row>
    <row r="25" spans="1:14" ht="18" x14ac:dyDescent="0.35">
      <c r="A25" s="19"/>
      <c r="B25" s="13" t="s">
        <v>27</v>
      </c>
      <c r="C25" s="13"/>
      <c r="D25" s="13"/>
      <c r="E25" s="20">
        <f>SUBTOTAL(9,E22:E24)</f>
        <v>0</v>
      </c>
      <c r="F25" s="21">
        <f>E25</f>
        <v>0</v>
      </c>
      <c r="G25" s="20">
        <f>SUBTOTAL(9,G22:G24)</f>
        <v>35.44</v>
      </c>
      <c r="H25" s="20">
        <f>SUBTOTAL(9,H22:H24)</f>
        <v>35.44</v>
      </c>
      <c r="I25" s="15"/>
      <c r="J25" s="16"/>
      <c r="K25" s="18"/>
    </row>
    <row r="26" spans="1:14" ht="18" x14ac:dyDescent="0.35">
      <c r="A26" s="19"/>
      <c r="B26" s="23"/>
      <c r="C26" s="23"/>
      <c r="D26" s="23"/>
      <c r="E26" s="24"/>
      <c r="F26" s="24"/>
      <c r="G26" s="24"/>
      <c r="H26" s="23"/>
      <c r="I26" s="15"/>
      <c r="J26" s="16"/>
      <c r="K26" s="18"/>
    </row>
    <row r="27" spans="1:14" ht="18" x14ac:dyDescent="0.35">
      <c r="A27" s="10">
        <v>44400</v>
      </c>
      <c r="B27" s="11" t="s">
        <v>177</v>
      </c>
      <c r="C27" s="11" t="s">
        <v>35</v>
      </c>
      <c r="D27" s="11" t="s">
        <v>9</v>
      </c>
      <c r="E27" s="12">
        <f t="shared" ref="E27:E36" si="3">H27-G27</f>
        <v>2.4209999999999994</v>
      </c>
      <c r="F27" s="13"/>
      <c r="G27" s="22">
        <v>0</v>
      </c>
      <c r="H27" s="22">
        <v>2.4209999999999994</v>
      </c>
      <c r="I27" s="15" t="s">
        <v>36</v>
      </c>
      <c r="J27" s="16"/>
      <c r="K27" s="18">
        <v>2225</v>
      </c>
      <c r="M27">
        <v>2.4210000000000491</v>
      </c>
      <c r="N27">
        <v>-2.4440000000000204</v>
      </c>
    </row>
    <row r="28" spans="1:14" ht="18" x14ac:dyDescent="0.35">
      <c r="A28" s="10">
        <v>44696</v>
      </c>
      <c r="B28" s="11" t="s">
        <v>37</v>
      </c>
      <c r="C28" s="11" t="s">
        <v>35</v>
      </c>
      <c r="D28" s="11" t="s">
        <v>9</v>
      </c>
      <c r="E28" s="12">
        <f t="shared" si="3"/>
        <v>9.0749999999999993</v>
      </c>
      <c r="F28" s="13"/>
      <c r="G28" s="22">
        <v>0</v>
      </c>
      <c r="H28" s="22">
        <v>9.0749999999999993</v>
      </c>
      <c r="I28" s="15" t="s">
        <v>38</v>
      </c>
      <c r="J28" s="16"/>
      <c r="K28" s="18">
        <v>1710</v>
      </c>
      <c r="M28">
        <v>0</v>
      </c>
      <c r="N28">
        <v>-4.4408920985006262E-15</v>
      </c>
    </row>
    <row r="29" spans="1:14" ht="18" x14ac:dyDescent="0.35">
      <c r="A29" s="10">
        <v>44773</v>
      </c>
      <c r="B29" s="11" t="s">
        <v>39</v>
      </c>
      <c r="C29" s="11" t="s">
        <v>35</v>
      </c>
      <c r="D29" s="11" t="s">
        <v>9</v>
      </c>
      <c r="E29" s="12">
        <f t="shared" si="3"/>
        <v>490.36</v>
      </c>
      <c r="F29" s="13"/>
      <c r="G29" s="22">
        <v>0</v>
      </c>
      <c r="H29" s="22">
        <v>490.36</v>
      </c>
      <c r="I29" s="15" t="s">
        <v>40</v>
      </c>
      <c r="J29" s="25" t="s">
        <v>41</v>
      </c>
      <c r="K29" s="18">
        <v>1577</v>
      </c>
      <c r="M29" t="e">
        <v>#N/A</v>
      </c>
      <c r="N29" t="e">
        <v>#N/A</v>
      </c>
    </row>
    <row r="30" spans="1:14" ht="18" x14ac:dyDescent="0.35">
      <c r="A30" s="10">
        <v>44843</v>
      </c>
      <c r="B30" s="11" t="s">
        <v>42</v>
      </c>
      <c r="C30" s="11" t="s">
        <v>35</v>
      </c>
      <c r="D30" s="11" t="s">
        <v>9</v>
      </c>
      <c r="E30" s="12">
        <f t="shared" si="3"/>
        <v>0</v>
      </c>
      <c r="F30" s="13"/>
      <c r="G30" s="22">
        <f>171.643-26.12-26.4-20.02</f>
        <v>99.102999999999994</v>
      </c>
      <c r="H30" s="22">
        <f>171.643-26.12-26.4-20.02</f>
        <v>99.102999999999994</v>
      </c>
      <c r="I30" s="15" t="s">
        <v>40</v>
      </c>
      <c r="J30" s="16"/>
      <c r="K30" s="18">
        <v>1332</v>
      </c>
      <c r="M30">
        <v>89.240000000000123</v>
      </c>
      <c r="N30">
        <v>2.0799999999999272</v>
      </c>
    </row>
    <row r="31" spans="1:14" ht="18" x14ac:dyDescent="0.35">
      <c r="A31" s="10">
        <v>44884</v>
      </c>
      <c r="B31" s="11" t="s">
        <v>178</v>
      </c>
      <c r="C31" s="11" t="s">
        <v>35</v>
      </c>
      <c r="D31" s="11" t="s">
        <v>9</v>
      </c>
      <c r="E31" s="12">
        <f t="shared" si="3"/>
        <v>705.59799999999996</v>
      </c>
      <c r="F31" s="13"/>
      <c r="G31" s="22">
        <v>0</v>
      </c>
      <c r="H31" s="22">
        <v>705.59799999999996</v>
      </c>
      <c r="I31" s="15" t="s">
        <v>40</v>
      </c>
      <c r="J31" s="16"/>
      <c r="K31" s="18">
        <v>1460</v>
      </c>
      <c r="M31">
        <v>594.01739999999995</v>
      </c>
      <c r="N31">
        <v>-4.9826000000000477</v>
      </c>
    </row>
    <row r="32" spans="1:14" ht="18" x14ac:dyDescent="0.35">
      <c r="A32" s="10">
        <v>44884</v>
      </c>
      <c r="B32" s="11" t="s">
        <v>179</v>
      </c>
      <c r="C32" s="11" t="s">
        <v>35</v>
      </c>
      <c r="D32" s="11" t="s">
        <v>9</v>
      </c>
      <c r="E32" s="12">
        <f t="shared" si="3"/>
        <v>705.59799999999996</v>
      </c>
      <c r="F32" s="13"/>
      <c r="G32" s="22">
        <v>0</v>
      </c>
      <c r="H32" s="22">
        <v>705.59799999999996</v>
      </c>
      <c r="I32" s="15" t="s">
        <v>40</v>
      </c>
      <c r="J32" s="16"/>
      <c r="K32" s="18">
        <v>1460</v>
      </c>
      <c r="M32">
        <v>710.5806</v>
      </c>
      <c r="N32">
        <v>628.58059999999989</v>
      </c>
    </row>
    <row r="33" spans="1:14" ht="18" x14ac:dyDescent="0.35">
      <c r="A33" s="10">
        <v>44962</v>
      </c>
      <c r="B33" s="11" t="s">
        <v>180</v>
      </c>
      <c r="C33" s="11" t="s">
        <v>35</v>
      </c>
      <c r="D33" s="11" t="s">
        <v>9</v>
      </c>
      <c r="E33" s="12">
        <f t="shared" si="3"/>
        <v>0</v>
      </c>
      <c r="F33" s="13"/>
      <c r="G33" s="22">
        <f>265+33.707</f>
        <v>298.70699999999999</v>
      </c>
      <c r="H33" s="22">
        <v>298.70699999999999</v>
      </c>
      <c r="I33" s="15" t="s">
        <v>40</v>
      </c>
      <c r="J33" s="16"/>
      <c r="K33" s="18">
        <v>1375</v>
      </c>
      <c r="M33">
        <v>298.70699999999999</v>
      </c>
      <c r="N33">
        <v>298.70699999999999</v>
      </c>
    </row>
    <row r="34" spans="1:14" ht="18" x14ac:dyDescent="0.35">
      <c r="A34" s="10">
        <v>44971</v>
      </c>
      <c r="B34" s="11" t="s">
        <v>181</v>
      </c>
      <c r="C34" s="11" t="s">
        <v>35</v>
      </c>
      <c r="D34" s="11" t="s">
        <v>9</v>
      </c>
      <c r="E34" s="12">
        <f t="shared" si="3"/>
        <v>0</v>
      </c>
      <c r="F34" s="13"/>
      <c r="G34" s="22">
        <f>369.602-15.26-71.12-28.11</f>
        <v>255.11199999999997</v>
      </c>
      <c r="H34" s="22">
        <f>369.602-15.26-71.12-28.11</f>
        <v>255.11199999999997</v>
      </c>
      <c r="I34" s="15" t="s">
        <v>43</v>
      </c>
      <c r="J34" s="16"/>
      <c r="K34" s="18">
        <v>1366.65</v>
      </c>
      <c r="M34">
        <v>172.87200000000018</v>
      </c>
      <c r="N34">
        <v>-23.277999999999793</v>
      </c>
    </row>
    <row r="35" spans="1:14" ht="18" x14ac:dyDescent="0.35">
      <c r="A35" s="10">
        <v>45004</v>
      </c>
      <c r="B35" s="11" t="s">
        <v>44</v>
      </c>
      <c r="C35" s="11" t="s">
        <v>35</v>
      </c>
      <c r="D35" s="11" t="s">
        <v>9</v>
      </c>
      <c r="E35" s="12">
        <f t="shared" si="3"/>
        <v>1772.7069999999999</v>
      </c>
      <c r="F35" s="13"/>
      <c r="G35" s="22">
        <f>27+140+200</f>
        <v>367</v>
      </c>
      <c r="H35" s="22">
        <v>2139.7069999999999</v>
      </c>
      <c r="I35" s="15" t="s">
        <v>45</v>
      </c>
      <c r="J35" s="16"/>
      <c r="K35" s="18">
        <v>780.63691570676497</v>
      </c>
      <c r="M35">
        <v>2132.9670000000001</v>
      </c>
      <c r="N35">
        <v>1494.2669999999998</v>
      </c>
    </row>
    <row r="36" spans="1:14" ht="18" x14ac:dyDescent="0.35">
      <c r="A36" s="10">
        <v>45034</v>
      </c>
      <c r="B36" s="11" t="s">
        <v>182</v>
      </c>
      <c r="C36" s="11" t="s">
        <v>35</v>
      </c>
      <c r="D36" s="11" t="s">
        <v>9</v>
      </c>
      <c r="E36" s="12">
        <f t="shared" si="3"/>
        <v>297.28300000000002</v>
      </c>
      <c r="F36" s="13"/>
      <c r="G36" s="22">
        <v>0</v>
      </c>
      <c r="H36" s="22">
        <v>297.28300000000002</v>
      </c>
      <c r="I36" s="15" t="s">
        <v>29</v>
      </c>
      <c r="J36" s="16"/>
      <c r="K36" s="18"/>
      <c r="M36">
        <v>297.28300000000002</v>
      </c>
      <c r="N36">
        <v>297.28300000000002</v>
      </c>
    </row>
    <row r="37" spans="1:14" ht="18" x14ac:dyDescent="0.35">
      <c r="A37" s="19"/>
      <c r="B37" s="26" t="s">
        <v>27</v>
      </c>
      <c r="C37" s="11"/>
      <c r="D37" s="11"/>
      <c r="E37" s="20">
        <f>SUBTOTAL(9,E27:E36)</f>
        <v>3983.0419999999999</v>
      </c>
      <c r="F37" s="21">
        <f>E37</f>
        <v>3983.0419999999999</v>
      </c>
      <c r="G37" s="20">
        <f>SUBTOTAL(9,G27:G36)</f>
        <v>1019.922</v>
      </c>
      <c r="H37" s="20">
        <f>SUBTOTAL(9,H27:H36)</f>
        <v>5002.9639999999999</v>
      </c>
      <c r="I37" s="15"/>
      <c r="J37" s="16"/>
      <c r="K37" s="18"/>
    </row>
    <row r="38" spans="1:14" ht="18" x14ac:dyDescent="0.35">
      <c r="A38" s="19"/>
      <c r="B38" s="26"/>
      <c r="C38" s="11"/>
      <c r="D38" s="11"/>
      <c r="E38" s="13"/>
      <c r="F38" s="13"/>
      <c r="G38" s="13"/>
      <c r="H38" s="27"/>
      <c r="I38" s="15"/>
      <c r="J38" s="16"/>
      <c r="K38" s="18"/>
    </row>
    <row r="39" spans="1:14" ht="18" x14ac:dyDescent="0.35">
      <c r="A39" s="10">
        <v>44904</v>
      </c>
      <c r="B39" s="11" t="s">
        <v>183</v>
      </c>
      <c r="C39" s="11" t="s">
        <v>46</v>
      </c>
      <c r="D39" s="11" t="s">
        <v>9</v>
      </c>
      <c r="E39" s="12">
        <f t="shared" ref="E39:E48" si="4">H39-G39</f>
        <v>0</v>
      </c>
      <c r="F39" s="13"/>
      <c r="G39" s="22">
        <v>3.1539999999999999</v>
      </c>
      <c r="H39" s="22">
        <v>3.1539999999999999</v>
      </c>
      <c r="I39" s="15" t="s">
        <v>47</v>
      </c>
      <c r="J39" s="16"/>
      <c r="K39" s="18">
        <v>970.16994580646303</v>
      </c>
      <c r="M39">
        <v>10.041999999999916</v>
      </c>
      <c r="N39">
        <v>10.042000000000144</v>
      </c>
    </row>
    <row r="40" spans="1:14" ht="18" x14ac:dyDescent="0.35">
      <c r="A40" s="10">
        <v>44904</v>
      </c>
      <c r="B40" s="11" t="s">
        <v>184</v>
      </c>
      <c r="C40" s="11" t="s">
        <v>46</v>
      </c>
      <c r="D40" s="11" t="s">
        <v>9</v>
      </c>
      <c r="E40" s="12">
        <f t="shared" si="4"/>
        <v>0</v>
      </c>
      <c r="F40" s="13"/>
      <c r="G40" s="22">
        <v>3.1539999999999999</v>
      </c>
      <c r="H40" s="22">
        <v>3.1539999999999999</v>
      </c>
      <c r="I40" s="15" t="s">
        <v>47</v>
      </c>
      <c r="J40" s="16"/>
      <c r="K40" s="18">
        <v>970.16994580646303</v>
      </c>
      <c r="M40">
        <v>3.1559999999999491</v>
      </c>
      <c r="N40">
        <v>3.1559999999994943</v>
      </c>
    </row>
    <row r="41" spans="1:14" ht="18" x14ac:dyDescent="0.35">
      <c r="A41" s="10">
        <v>44911</v>
      </c>
      <c r="B41" s="11" t="s">
        <v>48</v>
      </c>
      <c r="C41" s="11" t="s">
        <v>46</v>
      </c>
      <c r="D41" s="11" t="s">
        <v>9</v>
      </c>
      <c r="E41" s="12">
        <f t="shared" si="4"/>
        <v>27.477</v>
      </c>
      <c r="F41" s="13"/>
      <c r="G41" s="22">
        <v>15.52</v>
      </c>
      <c r="H41" s="22">
        <v>42.997</v>
      </c>
      <c r="I41" s="15" t="s">
        <v>29</v>
      </c>
      <c r="J41" s="16"/>
      <c r="K41" s="18">
        <v>920.16353236038913</v>
      </c>
      <c r="M41">
        <v>0.29300000000012005</v>
      </c>
      <c r="N41">
        <v>-1.3799999999999457</v>
      </c>
    </row>
    <row r="42" spans="1:14" ht="18" x14ac:dyDescent="0.35">
      <c r="A42" s="10">
        <v>44978</v>
      </c>
      <c r="B42" s="11" t="s">
        <v>185</v>
      </c>
      <c r="C42" s="11" t="s">
        <v>46</v>
      </c>
      <c r="D42" s="11" t="s">
        <v>9</v>
      </c>
      <c r="E42" s="12">
        <f t="shared" si="4"/>
        <v>0</v>
      </c>
      <c r="F42" s="13"/>
      <c r="G42" s="22">
        <f>285.963-27.53-44.66-16.08</f>
        <v>197.69299999999998</v>
      </c>
      <c r="H42" s="22">
        <f>285.963-27.53-44.66-16.08</f>
        <v>197.69299999999998</v>
      </c>
      <c r="I42" s="15" t="s">
        <v>18</v>
      </c>
      <c r="J42" s="16"/>
      <c r="K42" s="18">
        <v>1015.17464507461</v>
      </c>
      <c r="M42">
        <v>33.633000000000493</v>
      </c>
      <c r="N42">
        <v>-50.766999999999825</v>
      </c>
    </row>
    <row r="43" spans="1:14" ht="18" x14ac:dyDescent="0.35">
      <c r="A43" s="10">
        <v>45009</v>
      </c>
      <c r="B43" s="11" t="s">
        <v>49</v>
      </c>
      <c r="C43" s="11" t="s">
        <v>46</v>
      </c>
      <c r="D43" s="11" t="s">
        <v>9</v>
      </c>
      <c r="E43" s="12">
        <f t="shared" si="4"/>
        <v>0</v>
      </c>
      <c r="F43" s="13"/>
      <c r="G43" s="22">
        <f>80+51+21+50+20+224+25-107+200+21+22-24.77+25-42.77-39.44-94.18+113.735-38.54-41.69-49.23-22.04-38.76-47.64</f>
        <v>306.6749999999999</v>
      </c>
      <c r="H43" s="22">
        <f>80+51+21+50+20+224+25-107+200+21+22-24.77+25-42.77-39.44-94.18+113.735-38.54-41.69-49.23-22.04-38.76-47.64</f>
        <v>306.6749999999999</v>
      </c>
      <c r="I43" s="15" t="s">
        <v>18</v>
      </c>
      <c r="J43" s="16"/>
      <c r="K43" s="18">
        <v>1030.17871517803</v>
      </c>
      <c r="M43">
        <v>103.99500000000012</v>
      </c>
      <c r="N43">
        <v>-4.1749999999999545</v>
      </c>
    </row>
    <row r="44" spans="1:14" ht="18" x14ac:dyDescent="0.35">
      <c r="A44" s="10">
        <v>45034</v>
      </c>
      <c r="B44" s="11" t="s">
        <v>50</v>
      </c>
      <c r="C44" s="11" t="s">
        <v>46</v>
      </c>
      <c r="D44" s="11" t="s">
        <v>9</v>
      </c>
      <c r="E44" s="12">
        <f t="shared" si="4"/>
        <v>248.90699999999998</v>
      </c>
      <c r="F44" s="13"/>
      <c r="G44" s="22">
        <v>65</v>
      </c>
      <c r="H44" s="22">
        <v>313.90699999999998</v>
      </c>
      <c r="I44" s="15" t="s">
        <v>18</v>
      </c>
      <c r="J44" s="16"/>
      <c r="K44" s="18"/>
      <c r="M44">
        <v>134.80699999999999</v>
      </c>
      <c r="N44">
        <v>-318.15299999999996</v>
      </c>
    </row>
    <row r="45" spans="1:14" ht="18" x14ac:dyDescent="0.35">
      <c r="A45" s="10">
        <v>45060</v>
      </c>
      <c r="B45" s="11" t="s">
        <v>214</v>
      </c>
      <c r="C45" s="11" t="s">
        <v>46</v>
      </c>
      <c r="D45" s="11" t="s">
        <v>9</v>
      </c>
      <c r="E45" s="12">
        <f t="shared" si="4"/>
        <v>248.90699999999998</v>
      </c>
      <c r="F45" s="13"/>
      <c r="G45" s="22">
        <v>65</v>
      </c>
      <c r="H45" s="22">
        <v>313.90699999999998</v>
      </c>
      <c r="I45" s="15" t="s">
        <v>223</v>
      </c>
      <c r="J45" s="16"/>
      <c r="K45" s="18"/>
      <c r="M45">
        <v>999.16300000000001</v>
      </c>
      <c r="N45">
        <v>999.16300000000001</v>
      </c>
    </row>
    <row r="46" spans="1:14" ht="18" x14ac:dyDescent="0.35">
      <c r="A46" s="10">
        <v>44941</v>
      </c>
      <c r="B46" s="11" t="s">
        <v>51</v>
      </c>
      <c r="C46" s="11" t="s">
        <v>46</v>
      </c>
      <c r="D46" s="11" t="s">
        <v>19</v>
      </c>
      <c r="E46" s="12">
        <f t="shared" si="4"/>
        <v>0</v>
      </c>
      <c r="F46" s="13"/>
      <c r="G46" s="22">
        <v>19.75</v>
      </c>
      <c r="H46" s="22">
        <v>19.75</v>
      </c>
      <c r="I46" s="15" t="s">
        <v>26</v>
      </c>
      <c r="J46" s="16"/>
      <c r="K46" s="18">
        <v>974.57917791423142</v>
      </c>
      <c r="M46">
        <v>0</v>
      </c>
      <c r="N46">
        <v>4.5474735088646412E-13</v>
      </c>
    </row>
    <row r="47" spans="1:14" ht="18" x14ac:dyDescent="0.35">
      <c r="A47" s="10">
        <v>45004</v>
      </c>
      <c r="B47" s="11" t="s">
        <v>52</v>
      </c>
      <c r="C47" s="11" t="s">
        <v>46</v>
      </c>
      <c r="D47" s="11" t="s">
        <v>19</v>
      </c>
      <c r="E47" s="28">
        <f t="shared" si="4"/>
        <v>-114.53300000000002</v>
      </c>
      <c r="F47" s="13"/>
      <c r="G47" s="22">
        <f>341+15+25-14.94+30</f>
        <v>396.06</v>
      </c>
      <c r="H47" s="22">
        <f>296.467-14.94</f>
        <v>281.52699999999999</v>
      </c>
      <c r="I47" s="15" t="s">
        <v>26</v>
      </c>
      <c r="J47" s="16"/>
      <c r="K47" s="18">
        <v>1030.17914864454</v>
      </c>
      <c r="M47">
        <v>4.7170000000000982</v>
      </c>
      <c r="N47">
        <v>-101.21999999999986</v>
      </c>
    </row>
    <row r="48" spans="1:14" ht="18" x14ac:dyDescent="0.35">
      <c r="A48" s="10">
        <v>45055</v>
      </c>
      <c r="B48" s="11" t="s">
        <v>215</v>
      </c>
      <c r="C48" s="11" t="s">
        <v>46</v>
      </c>
      <c r="D48" s="11" t="s">
        <v>19</v>
      </c>
      <c r="E48" s="28">
        <f t="shared" si="4"/>
        <v>-114.53300000000002</v>
      </c>
      <c r="F48" s="13"/>
      <c r="G48" s="22">
        <f>341+15+25-14.94+30</f>
        <v>396.06</v>
      </c>
      <c r="H48" s="22">
        <f>296.467-14.94</f>
        <v>281.52699999999999</v>
      </c>
      <c r="I48" s="15" t="s">
        <v>26</v>
      </c>
      <c r="J48" s="16"/>
      <c r="K48" s="18">
        <v>1030.17914864454</v>
      </c>
      <c r="M48">
        <v>977.11</v>
      </c>
      <c r="N48">
        <v>945.40699999999993</v>
      </c>
    </row>
    <row r="49" spans="1:14" ht="20.25" customHeight="1" x14ac:dyDescent="0.35">
      <c r="A49" s="19"/>
      <c r="B49" s="26" t="s">
        <v>27</v>
      </c>
      <c r="C49" s="11"/>
      <c r="D49" s="11"/>
      <c r="E49" s="20">
        <f>SUBTOTAL(9,E39:E48)</f>
        <v>296.22499999999991</v>
      </c>
      <c r="F49" s="21">
        <f>E49</f>
        <v>296.22499999999991</v>
      </c>
      <c r="G49" s="20">
        <f>SUBTOTAL(9,G39:G48)</f>
        <v>1468.0659999999998</v>
      </c>
      <c r="H49" s="20">
        <f>SUBTOTAL(9,H39:H48)</f>
        <v>1764.2909999999999</v>
      </c>
      <c r="I49" s="15"/>
      <c r="J49" s="16"/>
      <c r="K49" s="18"/>
    </row>
    <row r="50" spans="1:14" ht="18" x14ac:dyDescent="0.35">
      <c r="A50" s="19"/>
      <c r="B50" s="26"/>
      <c r="C50" s="11"/>
      <c r="D50" s="11"/>
      <c r="E50" s="13"/>
      <c r="F50" s="21"/>
      <c r="G50" s="20"/>
      <c r="H50" s="20"/>
      <c r="I50" s="15"/>
      <c r="J50" s="16"/>
      <c r="K50" s="18"/>
    </row>
    <row r="51" spans="1:14" ht="18" x14ac:dyDescent="0.35">
      <c r="A51" s="10">
        <v>44839</v>
      </c>
      <c r="B51" s="11" t="s">
        <v>186</v>
      </c>
      <c r="C51" s="11" t="s">
        <v>53</v>
      </c>
      <c r="D51" s="11" t="s">
        <v>9</v>
      </c>
      <c r="E51" s="12">
        <f t="shared" ref="E51:E56" si="5">H51-G51</f>
        <v>4.3049999999999997</v>
      </c>
      <c r="F51" s="21"/>
      <c r="G51" s="22">
        <v>0</v>
      </c>
      <c r="H51" s="22">
        <v>4.3049999999999997</v>
      </c>
      <c r="I51" s="15" t="s">
        <v>47</v>
      </c>
      <c r="J51" s="16"/>
      <c r="K51" s="18">
        <v>851.14810627318195</v>
      </c>
      <c r="M51">
        <v>4.305000000000291</v>
      </c>
      <c r="N51">
        <v>-17.374999999999091</v>
      </c>
    </row>
    <row r="52" spans="1:14" ht="18" x14ac:dyDescent="0.35">
      <c r="A52" s="10">
        <v>44978</v>
      </c>
      <c r="B52" s="11" t="s">
        <v>187</v>
      </c>
      <c r="C52" s="11" t="s">
        <v>53</v>
      </c>
      <c r="D52" s="11" t="s">
        <v>9</v>
      </c>
      <c r="E52" s="12">
        <f t="shared" si="5"/>
        <v>667.32299999999998</v>
      </c>
      <c r="F52" s="21"/>
      <c r="G52" s="22">
        <f>71+44-16.86+51-51.07-51.38</f>
        <v>46.689999999999991</v>
      </c>
      <c r="H52" s="22">
        <f>833.323-16.86-51.07-51.38</f>
        <v>714.01299999999992</v>
      </c>
      <c r="I52" s="15" t="s">
        <v>29</v>
      </c>
      <c r="J52" s="16"/>
      <c r="K52" s="18">
        <v>1000.1720589981708</v>
      </c>
      <c r="M52">
        <v>648.23300000000017</v>
      </c>
      <c r="N52">
        <v>464.23300000000063</v>
      </c>
    </row>
    <row r="53" spans="1:14" ht="18" x14ac:dyDescent="0.35">
      <c r="A53" s="10">
        <v>45009</v>
      </c>
      <c r="B53" s="11" t="s">
        <v>188</v>
      </c>
      <c r="C53" s="11" t="s">
        <v>53</v>
      </c>
      <c r="D53" s="11" t="s">
        <v>9</v>
      </c>
      <c r="E53" s="12">
        <f t="shared" si="5"/>
        <v>1066.547</v>
      </c>
      <c r="F53" s="21"/>
      <c r="G53" s="22">
        <v>500</v>
      </c>
      <c r="H53" s="22">
        <v>1566.547</v>
      </c>
      <c r="I53" s="15" t="s">
        <v>54</v>
      </c>
      <c r="J53" s="16"/>
      <c r="K53" s="18">
        <v>1030.1787151780288</v>
      </c>
      <c r="M53">
        <v>1566.547</v>
      </c>
      <c r="N53">
        <v>1566.547</v>
      </c>
    </row>
    <row r="54" spans="1:14" ht="18" x14ac:dyDescent="0.35">
      <c r="A54" s="10">
        <v>45034</v>
      </c>
      <c r="B54" s="11" t="s">
        <v>55</v>
      </c>
      <c r="C54" s="11" t="s">
        <v>53</v>
      </c>
      <c r="D54" s="11" t="s">
        <v>9</v>
      </c>
      <c r="E54" s="12">
        <f t="shared" si="5"/>
        <v>731.40499999999997</v>
      </c>
      <c r="F54" s="21"/>
      <c r="G54" s="22">
        <v>0</v>
      </c>
      <c r="H54" s="22">
        <v>731.40499999999997</v>
      </c>
      <c r="I54" s="15" t="s">
        <v>54</v>
      </c>
      <c r="J54" s="16"/>
      <c r="K54" s="18"/>
      <c r="M54">
        <v>731.40499999999997</v>
      </c>
      <c r="N54">
        <v>731.40499999999997</v>
      </c>
    </row>
    <row r="55" spans="1:14" ht="18" x14ac:dyDescent="0.35">
      <c r="A55" s="10">
        <v>45021</v>
      </c>
      <c r="B55" s="11" t="s">
        <v>56</v>
      </c>
      <c r="C55" s="11" t="s">
        <v>53</v>
      </c>
      <c r="D55" s="11" t="s">
        <v>13</v>
      </c>
      <c r="E55" s="12">
        <f t="shared" si="5"/>
        <v>0</v>
      </c>
      <c r="F55" s="21"/>
      <c r="G55" s="22">
        <f>504.115-22.96-45.89-22.96-8.19</f>
        <v>404.11500000000007</v>
      </c>
      <c r="H55" s="22">
        <f>504.115-22.96-45.89-22.96-8.19</f>
        <v>404.11500000000007</v>
      </c>
      <c r="I55" s="15" t="s">
        <v>13</v>
      </c>
      <c r="J55" s="16"/>
      <c r="K55" s="18"/>
      <c r="M55">
        <v>236.86500000000001</v>
      </c>
      <c r="N55">
        <v>0.43</v>
      </c>
    </row>
    <row r="56" spans="1:14" ht="18" x14ac:dyDescent="0.35">
      <c r="A56" s="10">
        <v>45029</v>
      </c>
      <c r="B56" s="11" t="s">
        <v>57</v>
      </c>
      <c r="C56" s="11" t="s">
        <v>53</v>
      </c>
      <c r="D56" s="11" t="s">
        <v>16</v>
      </c>
      <c r="E56" s="12">
        <f t="shared" si="5"/>
        <v>1097.454</v>
      </c>
      <c r="F56" s="21"/>
      <c r="G56" s="22">
        <f>57+10-16.04+10+30+25-29.04+53.5-18.47</f>
        <v>121.95000000000002</v>
      </c>
      <c r="H56" s="22">
        <f>1282.954-16.04-29.04-18.47</f>
        <v>1219.404</v>
      </c>
      <c r="I56" s="15" t="s">
        <v>23</v>
      </c>
      <c r="J56" s="16"/>
      <c r="K56" s="18">
        <v>971.25</v>
      </c>
      <c r="M56">
        <v>940.33400000000006</v>
      </c>
      <c r="N56">
        <v>785.67399999999998</v>
      </c>
    </row>
    <row r="57" spans="1:14" ht="18" x14ac:dyDescent="0.35">
      <c r="A57" s="19"/>
      <c r="B57" s="26" t="s">
        <v>27</v>
      </c>
      <c r="C57" s="11"/>
      <c r="D57" s="11"/>
      <c r="E57" s="20">
        <f>SUBTOTAL(9,E51:E56)</f>
        <v>3567.0339999999997</v>
      </c>
      <c r="F57" s="21">
        <f>E57</f>
        <v>3567.0339999999997</v>
      </c>
      <c r="G57" s="20">
        <f>SUBTOTAL(9,G51:G56)</f>
        <v>1072.7550000000001</v>
      </c>
      <c r="H57" s="20">
        <f>SUBTOTAL(9,H51:H56)</f>
        <v>4639.7889999999998</v>
      </c>
      <c r="I57" s="15"/>
      <c r="J57" s="16"/>
      <c r="K57" s="18"/>
    </row>
    <row r="58" spans="1:14" ht="18" x14ac:dyDescent="0.35">
      <c r="A58" s="19"/>
      <c r="B58" s="26"/>
      <c r="C58" s="11"/>
      <c r="D58" s="11"/>
      <c r="E58" s="13"/>
      <c r="F58" s="21"/>
      <c r="G58" s="20"/>
      <c r="H58" s="20"/>
      <c r="I58" s="15"/>
      <c r="J58" s="16"/>
      <c r="K58" s="18"/>
    </row>
    <row r="59" spans="1:14" ht="18" x14ac:dyDescent="0.35">
      <c r="A59" s="10">
        <v>44949</v>
      </c>
      <c r="B59" s="11" t="s">
        <v>189</v>
      </c>
      <c r="C59" s="11" t="s">
        <v>58</v>
      </c>
      <c r="D59" s="11" t="s">
        <v>9</v>
      </c>
      <c r="E59" s="12">
        <f t="shared" ref="E59:E64" si="6">H59-G59</f>
        <v>24.122</v>
      </c>
      <c r="F59" s="29"/>
      <c r="G59" s="22">
        <v>0</v>
      </c>
      <c r="H59" s="22">
        <f>53.042-28.92</f>
        <v>24.122</v>
      </c>
      <c r="I59" s="15" t="s">
        <v>40</v>
      </c>
      <c r="J59" s="16"/>
      <c r="K59" s="18">
        <v>825</v>
      </c>
      <c r="M59">
        <v>24.111999999999995</v>
      </c>
      <c r="N59">
        <v>24.111999999999995</v>
      </c>
    </row>
    <row r="60" spans="1:14" ht="18" x14ac:dyDescent="0.35">
      <c r="A60" s="10">
        <v>45004</v>
      </c>
      <c r="B60" s="11" t="s">
        <v>59</v>
      </c>
      <c r="C60" s="11" t="s">
        <v>58</v>
      </c>
      <c r="D60" s="11" t="s">
        <v>9</v>
      </c>
      <c r="E60" s="12">
        <f t="shared" si="6"/>
        <v>423.30700000000002</v>
      </c>
      <c r="F60" s="29"/>
      <c r="G60" s="22">
        <f>50-29.92-20.08</f>
        <v>0</v>
      </c>
      <c r="H60" s="22">
        <f>473.307-29.92-20.08</f>
        <v>423.30700000000002</v>
      </c>
      <c r="I60" s="15" t="s">
        <v>40</v>
      </c>
      <c r="J60" s="16"/>
      <c r="K60" s="18">
        <v>855</v>
      </c>
      <c r="M60">
        <v>423.30700000000002</v>
      </c>
      <c r="N60">
        <v>423.30700000000002</v>
      </c>
    </row>
    <row r="61" spans="1:14" ht="18" x14ac:dyDescent="0.35">
      <c r="A61" s="10">
        <v>45060</v>
      </c>
      <c r="B61" s="11" t="s">
        <v>220</v>
      </c>
      <c r="C61" s="11" t="s">
        <v>58</v>
      </c>
      <c r="D61" s="11" t="s">
        <v>9</v>
      </c>
      <c r="E61" s="12">
        <f t="shared" si="6"/>
        <v>423.30700000000002</v>
      </c>
      <c r="F61" s="29"/>
      <c r="G61" s="22">
        <f>50-29.92-20.08</f>
        <v>0</v>
      </c>
      <c r="H61" s="22">
        <f>473.307-29.92-20.08</f>
        <v>423.30700000000002</v>
      </c>
      <c r="I61" s="15" t="s">
        <v>47</v>
      </c>
      <c r="J61" s="16"/>
      <c r="K61" s="18">
        <v>855</v>
      </c>
      <c r="M61">
        <v>223.541</v>
      </c>
      <c r="N61">
        <v>223.541</v>
      </c>
    </row>
    <row r="62" spans="1:14" s="52" customFormat="1" ht="18" x14ac:dyDescent="0.35">
      <c r="A62" s="45"/>
      <c r="B62" s="31" t="s">
        <v>60</v>
      </c>
      <c r="C62" s="31" t="s">
        <v>58</v>
      </c>
      <c r="D62" s="31" t="s">
        <v>9</v>
      </c>
      <c r="E62" s="46">
        <f t="shared" si="6"/>
        <v>117.62</v>
      </c>
      <c r="F62" s="47"/>
      <c r="G62" s="48">
        <v>0</v>
      </c>
      <c r="H62" s="48">
        <v>117.62</v>
      </c>
      <c r="I62" s="49" t="s">
        <v>40</v>
      </c>
      <c r="J62" s="50"/>
      <c r="K62" s="51"/>
      <c r="M62" s="52" t="e">
        <v>#N/A</v>
      </c>
      <c r="N62" s="52" t="e">
        <v>#N/A</v>
      </c>
    </row>
    <row r="63" spans="1:14" ht="18" x14ac:dyDescent="0.35">
      <c r="A63" s="10">
        <v>45006</v>
      </c>
      <c r="B63" s="11" t="s">
        <v>61</v>
      </c>
      <c r="C63" s="11" t="s">
        <v>58</v>
      </c>
      <c r="D63" s="11" t="s">
        <v>13</v>
      </c>
      <c r="E63" s="12">
        <f t="shared" si="6"/>
        <v>141.67000000000002</v>
      </c>
      <c r="F63" s="29"/>
      <c r="G63" s="22">
        <f>25+20+24.5-17.691-1.489</f>
        <v>50.32</v>
      </c>
      <c r="H63" s="22">
        <f>236.961-4.19-23.09-17.691</f>
        <v>191.99</v>
      </c>
      <c r="I63" s="15" t="s">
        <v>21</v>
      </c>
      <c r="J63" s="16"/>
      <c r="K63" s="18">
        <v>925.00001999999995</v>
      </c>
      <c r="M63">
        <v>123.47000000000003</v>
      </c>
      <c r="N63">
        <v>55.470000000000027</v>
      </c>
    </row>
    <row r="64" spans="1:14" ht="18" x14ac:dyDescent="0.35">
      <c r="A64" s="10">
        <v>45052</v>
      </c>
      <c r="B64" s="11" t="s">
        <v>219</v>
      </c>
      <c r="C64" s="11" t="s">
        <v>58</v>
      </c>
      <c r="D64" s="11" t="s">
        <v>13</v>
      </c>
      <c r="E64" s="12">
        <f t="shared" si="6"/>
        <v>141.67000000000002</v>
      </c>
      <c r="F64" s="29"/>
      <c r="G64" s="22">
        <f>25+20+24.5-17.691-1.489</f>
        <v>50.32</v>
      </c>
      <c r="H64" s="22">
        <f>236.961-4.19-23.09-17.691</f>
        <v>191.99</v>
      </c>
      <c r="I64" s="15" t="s">
        <v>21</v>
      </c>
      <c r="J64" s="16"/>
      <c r="K64" s="18">
        <v>925.00001999999995</v>
      </c>
      <c r="M64">
        <v>286.29899999999998</v>
      </c>
      <c r="N64">
        <v>286.29899999999998</v>
      </c>
    </row>
    <row r="65" spans="1:14" ht="18" x14ac:dyDescent="0.35">
      <c r="A65" s="19"/>
      <c r="B65" s="26" t="s">
        <v>27</v>
      </c>
      <c r="C65" s="11"/>
      <c r="D65" s="11"/>
      <c r="E65" s="20">
        <f>SUBTOTAL(9,E59:E64)</f>
        <v>1271.6960000000001</v>
      </c>
      <c r="F65" s="21">
        <f>E65</f>
        <v>1271.6960000000001</v>
      </c>
      <c r="G65" s="20">
        <f>SUBTOTAL(9,G59:G64)</f>
        <v>100.64</v>
      </c>
      <c r="H65" s="20">
        <f>SUBTOTAL(9,H59:H64)</f>
        <v>1372.336</v>
      </c>
      <c r="I65" s="15"/>
      <c r="J65" s="16"/>
      <c r="K65" s="18"/>
    </row>
    <row r="66" spans="1:14" ht="18" x14ac:dyDescent="0.35">
      <c r="A66" s="19"/>
      <c r="B66" s="26"/>
      <c r="C66" s="11"/>
      <c r="D66" s="11"/>
      <c r="E66" s="13"/>
      <c r="F66" s="21"/>
      <c r="G66" s="13"/>
      <c r="H66" s="13"/>
      <c r="I66" s="15"/>
      <c r="J66" s="16"/>
      <c r="K66" s="18"/>
    </row>
    <row r="67" spans="1:14" ht="18" x14ac:dyDescent="0.35">
      <c r="A67" s="10">
        <v>44826</v>
      </c>
      <c r="B67" s="11" t="s">
        <v>62</v>
      </c>
      <c r="C67" s="11" t="s">
        <v>63</v>
      </c>
      <c r="D67" s="11" t="s">
        <v>9</v>
      </c>
      <c r="E67" s="12">
        <f>H67-G67</f>
        <v>116.05500000000001</v>
      </c>
      <c r="F67" s="21"/>
      <c r="G67" s="22">
        <v>18</v>
      </c>
      <c r="H67" s="22">
        <v>134.05500000000001</v>
      </c>
      <c r="I67" s="15" t="s">
        <v>29</v>
      </c>
      <c r="J67" s="16"/>
      <c r="K67" s="18">
        <v>1100.9074566164593</v>
      </c>
      <c r="M67">
        <v>116.29499999999996</v>
      </c>
      <c r="N67">
        <v>-83.705000000000041</v>
      </c>
    </row>
    <row r="68" spans="1:14" ht="18" x14ac:dyDescent="0.35">
      <c r="A68" s="10">
        <v>45004</v>
      </c>
      <c r="B68" s="11" t="s">
        <v>64</v>
      </c>
      <c r="C68" s="11" t="s">
        <v>63</v>
      </c>
      <c r="D68" s="11" t="s">
        <v>9</v>
      </c>
      <c r="E68" s="12">
        <f>H68-G68</f>
        <v>507.40800000000002</v>
      </c>
      <c r="F68" s="21"/>
      <c r="G68" s="22">
        <v>0</v>
      </c>
      <c r="H68" s="22">
        <v>507.40800000000002</v>
      </c>
      <c r="I68" s="15" t="s">
        <v>29</v>
      </c>
      <c r="J68" s="16"/>
      <c r="K68" s="18">
        <v>780.63691570676497</v>
      </c>
      <c r="M68">
        <v>507.40800000000002</v>
      </c>
      <c r="N68">
        <v>507.40800000000002</v>
      </c>
    </row>
    <row r="69" spans="1:14" ht="18" x14ac:dyDescent="0.35">
      <c r="A69" s="10"/>
      <c r="B69" s="26" t="s">
        <v>27</v>
      </c>
      <c r="C69" s="11"/>
      <c r="D69" s="11"/>
      <c r="E69" s="20">
        <f>SUBTOTAL(9,E67:E68)</f>
        <v>623.46299999999997</v>
      </c>
      <c r="F69" s="21">
        <f>E69</f>
        <v>623.46299999999997</v>
      </c>
      <c r="G69" s="20">
        <f>SUBTOTAL(9,G67:G68)</f>
        <v>18</v>
      </c>
      <c r="H69" s="20">
        <f>SUBTOTAL(9,H67:H68)</f>
        <v>641.46299999999997</v>
      </c>
      <c r="I69" s="15"/>
      <c r="J69" s="16"/>
      <c r="K69" s="18"/>
    </row>
    <row r="70" spans="1:14" ht="18" x14ac:dyDescent="0.35">
      <c r="A70" s="10"/>
      <c r="B70" s="11"/>
      <c r="C70" s="11"/>
      <c r="D70" s="11"/>
      <c r="E70" s="12"/>
      <c r="F70" s="21"/>
      <c r="G70" s="22"/>
      <c r="H70" s="22"/>
      <c r="I70" s="15"/>
      <c r="J70" s="16"/>
      <c r="K70" s="18"/>
    </row>
    <row r="71" spans="1:14" ht="18" x14ac:dyDescent="0.35">
      <c r="A71" s="10">
        <v>44869</v>
      </c>
      <c r="B71" s="11" t="s">
        <v>190</v>
      </c>
      <c r="C71" s="11" t="s">
        <v>65</v>
      </c>
      <c r="D71" s="11" t="s">
        <v>9</v>
      </c>
      <c r="E71" s="12">
        <f>H71-G71</f>
        <v>7.6079999999999997</v>
      </c>
      <c r="F71" s="21"/>
      <c r="G71" s="22">
        <v>0</v>
      </c>
      <c r="H71" s="22">
        <v>7.6079999999999997</v>
      </c>
      <c r="I71" s="15" t="s">
        <v>47</v>
      </c>
      <c r="J71" s="16"/>
      <c r="K71" s="18">
        <v>1180</v>
      </c>
      <c r="M71">
        <v>7.6079999999998336</v>
      </c>
      <c r="N71">
        <v>-0.44200000000000728</v>
      </c>
    </row>
    <row r="72" spans="1:14" ht="18" x14ac:dyDescent="0.35">
      <c r="A72" s="10"/>
      <c r="B72" s="26" t="s">
        <v>27</v>
      </c>
      <c r="C72" s="11"/>
      <c r="D72" s="11"/>
      <c r="E72" s="20">
        <f>SUBTOTAL(9,E71:E71)</f>
        <v>7.6079999999999997</v>
      </c>
      <c r="F72" s="21">
        <f>E72</f>
        <v>7.6079999999999997</v>
      </c>
      <c r="G72" s="20">
        <f>SUBTOTAL(9,G71:G71)</f>
        <v>0</v>
      </c>
      <c r="H72" s="20">
        <f>SUBTOTAL(9,H71:H71)</f>
        <v>7.6079999999999997</v>
      </c>
      <c r="I72" s="15"/>
      <c r="J72" s="16"/>
      <c r="K72" s="18"/>
    </row>
    <row r="73" spans="1:14" ht="18" x14ac:dyDescent="0.35">
      <c r="A73" s="19"/>
      <c r="B73" s="26"/>
      <c r="C73" s="11"/>
      <c r="D73" s="11"/>
      <c r="E73" s="13"/>
      <c r="F73" s="13"/>
      <c r="G73" s="13"/>
      <c r="H73" s="27"/>
      <c r="I73" s="15"/>
      <c r="J73" s="16"/>
      <c r="K73" s="18"/>
    </row>
    <row r="74" spans="1:14" ht="18" x14ac:dyDescent="0.35">
      <c r="A74" s="10">
        <v>44700</v>
      </c>
      <c r="B74" s="11" t="s">
        <v>66</v>
      </c>
      <c r="C74" s="11" t="s">
        <v>67</v>
      </c>
      <c r="D74" s="11" t="s">
        <v>9</v>
      </c>
      <c r="E74" s="12">
        <f t="shared" ref="E74:E82" si="7">H74-G74</f>
        <v>19.937000000000005</v>
      </c>
      <c r="F74" s="21"/>
      <c r="G74" s="22">
        <v>0</v>
      </c>
      <c r="H74" s="22">
        <f>79.757-24.54-25.7-9.58</f>
        <v>19.937000000000005</v>
      </c>
      <c r="I74" s="15" t="s">
        <v>29</v>
      </c>
      <c r="J74" s="16"/>
      <c r="K74" s="18">
        <v>2200</v>
      </c>
      <c r="M74">
        <v>19.936999999999443</v>
      </c>
      <c r="N74">
        <v>21.132000000000289</v>
      </c>
    </row>
    <row r="75" spans="1:14" s="52" customFormat="1" ht="18" x14ac:dyDescent="0.35">
      <c r="A75" s="45">
        <v>44705</v>
      </c>
      <c r="B75" s="31" t="s">
        <v>68</v>
      </c>
      <c r="C75" s="31" t="s">
        <v>67</v>
      </c>
      <c r="D75" s="31" t="s">
        <v>9</v>
      </c>
      <c r="E75" s="46">
        <f t="shared" si="7"/>
        <v>6.3780000000000001</v>
      </c>
      <c r="F75" s="53"/>
      <c r="G75" s="48">
        <v>0</v>
      </c>
      <c r="H75" s="48">
        <v>6.3780000000000001</v>
      </c>
      <c r="I75" s="49" t="s">
        <v>47</v>
      </c>
      <c r="J75" s="50"/>
      <c r="K75" s="51">
        <v>2300.400559704723</v>
      </c>
      <c r="M75" s="52" t="e">
        <v>#N/A</v>
      </c>
      <c r="N75" s="52" t="e">
        <v>#N/A</v>
      </c>
    </row>
    <row r="76" spans="1:14" ht="18" x14ac:dyDescent="0.35">
      <c r="A76" s="10">
        <v>44725</v>
      </c>
      <c r="B76" s="11" t="s">
        <v>69</v>
      </c>
      <c r="C76" s="11" t="s">
        <v>67</v>
      </c>
      <c r="D76" s="11" t="s">
        <v>9</v>
      </c>
      <c r="E76" s="12">
        <f t="shared" si="7"/>
        <v>314.18400000000003</v>
      </c>
      <c r="F76" s="21"/>
      <c r="G76" s="22">
        <f>30+21-24.58</f>
        <v>26.42</v>
      </c>
      <c r="H76" s="22">
        <f>375.204-10.02-24.58</f>
        <v>340.60400000000004</v>
      </c>
      <c r="I76" s="15" t="s">
        <v>70</v>
      </c>
      <c r="J76" s="16"/>
      <c r="K76" s="18">
        <v>2220.3866229603536</v>
      </c>
      <c r="M76">
        <v>200.44400000000007</v>
      </c>
      <c r="N76">
        <v>-40.315999999999917</v>
      </c>
    </row>
    <row r="77" spans="1:14" ht="18" x14ac:dyDescent="0.35">
      <c r="A77" s="10">
        <v>44736</v>
      </c>
      <c r="B77" s="11" t="s">
        <v>71</v>
      </c>
      <c r="C77" s="11" t="s">
        <v>67</v>
      </c>
      <c r="D77" s="11" t="s">
        <v>9</v>
      </c>
      <c r="E77" s="12">
        <f t="shared" si="7"/>
        <v>317.57000000000005</v>
      </c>
      <c r="F77" s="21"/>
      <c r="G77" s="22">
        <f>158.78-30.7</f>
        <v>128.08000000000001</v>
      </c>
      <c r="H77" s="22">
        <f>476.35-30.7</f>
        <v>445.65000000000003</v>
      </c>
      <c r="I77" s="15" t="s">
        <v>29</v>
      </c>
      <c r="J77" s="16"/>
      <c r="K77" s="18">
        <v>2351.9034198930826</v>
      </c>
      <c r="M77">
        <v>398.43000000000006</v>
      </c>
      <c r="N77">
        <v>241.90999999999997</v>
      </c>
    </row>
    <row r="78" spans="1:14" ht="18" x14ac:dyDescent="0.35">
      <c r="A78" s="10">
        <v>44747</v>
      </c>
      <c r="B78" s="11" t="s">
        <v>72</v>
      </c>
      <c r="C78" s="11" t="s">
        <v>67</v>
      </c>
      <c r="D78" s="11" t="s">
        <v>9</v>
      </c>
      <c r="E78" s="12">
        <f t="shared" si="7"/>
        <v>98.27000000000001</v>
      </c>
      <c r="F78" s="21"/>
      <c r="G78" s="22">
        <v>0</v>
      </c>
      <c r="H78" s="22">
        <f>127.95-29.68</f>
        <v>98.27000000000001</v>
      </c>
      <c r="I78" s="15" t="s">
        <v>29</v>
      </c>
      <c r="J78" s="16"/>
      <c r="K78" s="18">
        <v>2056.6737332548364</v>
      </c>
      <c r="M78">
        <v>48.429999999999893</v>
      </c>
      <c r="N78">
        <v>38.329999999999927</v>
      </c>
    </row>
    <row r="79" spans="1:14" ht="18" x14ac:dyDescent="0.35">
      <c r="A79" s="10">
        <v>44834</v>
      </c>
      <c r="B79" s="11" t="s">
        <v>73</v>
      </c>
      <c r="C79" s="11" t="s">
        <v>67</v>
      </c>
      <c r="D79" s="11" t="s">
        <v>9</v>
      </c>
      <c r="E79" s="12">
        <f t="shared" si="7"/>
        <v>1024.1690000000001</v>
      </c>
      <c r="F79" s="21"/>
      <c r="G79" s="22">
        <v>0</v>
      </c>
      <c r="H79" s="22">
        <v>1024.1690000000001</v>
      </c>
      <c r="I79" s="15" t="s">
        <v>70</v>
      </c>
      <c r="J79" s="16"/>
      <c r="K79" s="18">
        <v>2301.8649111652999</v>
      </c>
      <c r="M79">
        <v>1024.1690000000001</v>
      </c>
      <c r="N79">
        <v>1024.1690000000001</v>
      </c>
    </row>
    <row r="80" spans="1:14" ht="18" x14ac:dyDescent="0.35">
      <c r="A80" s="10">
        <v>45009</v>
      </c>
      <c r="B80" s="11" t="s">
        <v>74</v>
      </c>
      <c r="C80" s="11" t="s">
        <v>67</v>
      </c>
      <c r="D80" s="11" t="s">
        <v>9</v>
      </c>
      <c r="E80" s="12">
        <f t="shared" si="7"/>
        <v>0</v>
      </c>
      <c r="F80" s="21"/>
      <c r="G80" s="22">
        <f>30+128+250-24.02-26.08+55-29.34+12.371-29.14-24.56-45.7-29.9-49.28-12.056-28.6-21.14-20.78-71.26</f>
        <v>63.515000000000057</v>
      </c>
      <c r="H80" s="22">
        <f>30+128+250-24.02-26.08+55-29.34+12.371-29.14-24.56-45.7-29.9-49.28-12.056-28.6-21.14-20.78-71.26</f>
        <v>63.515000000000057</v>
      </c>
      <c r="I80" s="15" t="s">
        <v>29</v>
      </c>
      <c r="J80" s="16"/>
      <c r="K80" s="18">
        <v>1205.2090879478401</v>
      </c>
      <c r="M80">
        <v>63.514999999999986</v>
      </c>
      <c r="N80">
        <v>43.514999999999986</v>
      </c>
    </row>
    <row r="81" spans="1:14" ht="18" x14ac:dyDescent="0.35">
      <c r="A81" s="10">
        <v>45034</v>
      </c>
      <c r="B81" s="11" t="s">
        <v>75</v>
      </c>
      <c r="C81" s="11" t="s">
        <v>67</v>
      </c>
      <c r="D81" s="11" t="s">
        <v>9</v>
      </c>
      <c r="E81" s="12">
        <f t="shared" si="7"/>
        <v>0</v>
      </c>
      <c r="F81" s="21"/>
      <c r="G81" s="22">
        <f>30+101+25+25+60+73.143-29.84</f>
        <v>284.30300000000005</v>
      </c>
      <c r="H81" s="22">
        <f>30+101+25+25+60+73.143-29.84</f>
        <v>284.30300000000005</v>
      </c>
      <c r="I81" s="15" t="s">
        <v>29</v>
      </c>
      <c r="J81" s="16"/>
      <c r="K81" s="18"/>
      <c r="M81">
        <v>284.303</v>
      </c>
      <c r="N81">
        <v>254.14299999999997</v>
      </c>
    </row>
    <row r="82" spans="1:14" ht="18" x14ac:dyDescent="0.35">
      <c r="A82" s="10">
        <v>45055</v>
      </c>
      <c r="B82" s="11" t="s">
        <v>216</v>
      </c>
      <c r="C82" s="11" t="s">
        <v>67</v>
      </c>
      <c r="D82" s="11" t="s">
        <v>19</v>
      </c>
      <c r="E82" s="12">
        <f t="shared" si="7"/>
        <v>0</v>
      </c>
      <c r="F82" s="21"/>
      <c r="G82" s="22">
        <f>30+101+25+25+60+73.143-29.84</f>
        <v>284.30300000000005</v>
      </c>
      <c r="H82" s="22">
        <f>30+101+25+25+60+73.143-29.84</f>
        <v>284.30300000000005</v>
      </c>
      <c r="I82" s="15" t="s">
        <v>26</v>
      </c>
      <c r="J82" s="16"/>
      <c r="K82" s="18"/>
      <c r="M82">
        <v>971.14100000000008</v>
      </c>
      <c r="N82">
        <v>786.58100000000002</v>
      </c>
    </row>
    <row r="83" spans="1:14" ht="18" x14ac:dyDescent="0.35">
      <c r="A83" s="19"/>
      <c r="B83" s="26" t="s">
        <v>27</v>
      </c>
      <c r="C83" s="11"/>
      <c r="D83" s="11"/>
      <c r="E83" s="20">
        <f>SUBTOTAL(9,E74:E82)</f>
        <v>1780.5080000000003</v>
      </c>
      <c r="F83" s="21">
        <f>E83</f>
        <v>1780.5080000000003</v>
      </c>
      <c r="G83" s="20">
        <f>SUBTOTAL(9,G74:G82)</f>
        <v>786.62100000000009</v>
      </c>
      <c r="H83" s="20">
        <f>SUBTOTAL(9,H74:H82)</f>
        <v>2567.1290000000004</v>
      </c>
      <c r="I83" s="15"/>
      <c r="J83" s="16"/>
      <c r="K83" s="18"/>
    </row>
    <row r="84" spans="1:14" ht="18" x14ac:dyDescent="0.35">
      <c r="A84" s="19"/>
      <c r="B84" s="26"/>
      <c r="C84" s="11"/>
      <c r="D84" s="11"/>
      <c r="E84" s="20"/>
      <c r="F84" s="21"/>
      <c r="G84" s="20"/>
      <c r="H84" s="20"/>
      <c r="I84" s="15"/>
      <c r="J84" s="16"/>
      <c r="K84" s="18"/>
    </row>
    <row r="85" spans="1:14" ht="18" x14ac:dyDescent="0.35">
      <c r="A85" s="10">
        <v>44995</v>
      </c>
      <c r="B85" s="11" t="s">
        <v>76</v>
      </c>
      <c r="C85" s="11" t="s">
        <v>77</v>
      </c>
      <c r="D85" s="11" t="s">
        <v>9</v>
      </c>
      <c r="E85" s="12">
        <f>H85-G85</f>
        <v>431.67200000000014</v>
      </c>
      <c r="F85" s="21"/>
      <c r="G85" s="22">
        <f>202-25.31-24.11-13.9</f>
        <v>138.67999999999998</v>
      </c>
      <c r="H85" s="22">
        <f>633.672-25.31-24.11-13.9</f>
        <v>570.35200000000009</v>
      </c>
      <c r="I85" s="15" t="s">
        <v>78</v>
      </c>
      <c r="J85" s="16"/>
      <c r="K85" s="18">
        <v>1040.8825627624774</v>
      </c>
      <c r="M85">
        <v>376.71199999999999</v>
      </c>
      <c r="N85">
        <v>98.252000000000066</v>
      </c>
    </row>
    <row r="86" spans="1:14" ht="18" x14ac:dyDescent="0.35">
      <c r="A86" s="10"/>
      <c r="B86" s="26" t="s">
        <v>27</v>
      </c>
      <c r="C86" s="11"/>
      <c r="D86" s="11"/>
      <c r="E86" s="20">
        <f>SUBTOTAL(9,E85:E85)</f>
        <v>431.67200000000014</v>
      </c>
      <c r="F86" s="21">
        <f>E86</f>
        <v>431.67200000000014</v>
      </c>
      <c r="G86" s="20">
        <f>SUBTOTAL(9,G85:G85)</f>
        <v>138.67999999999998</v>
      </c>
      <c r="H86" s="20">
        <f>SUBTOTAL(9,H85:H85)</f>
        <v>570.35200000000009</v>
      </c>
      <c r="I86" s="15"/>
      <c r="J86" s="16"/>
      <c r="K86" s="18"/>
    </row>
    <row r="87" spans="1:14" ht="18" x14ac:dyDescent="0.35">
      <c r="A87" s="19"/>
      <c r="B87" s="26"/>
      <c r="C87" s="11"/>
      <c r="D87" s="11"/>
      <c r="E87" s="13"/>
      <c r="F87" s="21"/>
      <c r="G87" s="13"/>
      <c r="H87" s="27"/>
      <c r="I87" s="15"/>
      <c r="J87" s="16"/>
      <c r="K87" s="18"/>
    </row>
    <row r="88" spans="1:14" ht="18" x14ac:dyDescent="0.35">
      <c r="A88" s="10">
        <v>44749</v>
      </c>
      <c r="B88" s="11" t="s">
        <v>79</v>
      </c>
      <c r="C88" s="11" t="s">
        <v>80</v>
      </c>
      <c r="D88" s="11" t="s">
        <v>9</v>
      </c>
      <c r="E88" s="12">
        <f>H88-G88</f>
        <v>12.34</v>
      </c>
      <c r="F88" s="21"/>
      <c r="G88" s="22">
        <v>0</v>
      </c>
      <c r="H88" s="22">
        <v>12.34</v>
      </c>
      <c r="I88" s="15" t="s">
        <v>32</v>
      </c>
      <c r="J88" s="16"/>
      <c r="K88" s="18">
        <v>1875.2699932515579</v>
      </c>
      <c r="M88">
        <v>12.340000000000146</v>
      </c>
      <c r="N88">
        <v>11.31599999999986</v>
      </c>
    </row>
    <row r="89" spans="1:14" ht="18" x14ac:dyDescent="0.35">
      <c r="A89" s="10">
        <v>44979</v>
      </c>
      <c r="B89" s="11" t="s">
        <v>191</v>
      </c>
      <c r="C89" s="11" t="s">
        <v>80</v>
      </c>
      <c r="D89" s="11" t="s">
        <v>9</v>
      </c>
      <c r="E89" s="12">
        <f>H89-G89</f>
        <v>260.3309999999999</v>
      </c>
      <c r="F89" s="21"/>
      <c r="G89" s="22">
        <f>519.67-31.32-40.06+106-59.78-45.94-30.18</f>
        <v>418.39</v>
      </c>
      <c r="H89" s="22">
        <f>887.001-32.32-40.06-59.78-45.94-30.18</f>
        <v>678.72099999999989</v>
      </c>
      <c r="I89" s="15" t="s">
        <v>70</v>
      </c>
      <c r="J89" s="16"/>
      <c r="K89" s="18">
        <v>1245.0000025254401</v>
      </c>
      <c r="M89">
        <v>469.68100000000004</v>
      </c>
      <c r="N89">
        <v>217.88099999999986</v>
      </c>
    </row>
    <row r="90" spans="1:14" ht="18" x14ac:dyDescent="0.35">
      <c r="A90" s="19"/>
      <c r="B90" s="26" t="s">
        <v>27</v>
      </c>
      <c r="C90" s="11"/>
      <c r="D90" s="11"/>
      <c r="E90" s="20">
        <f>SUBTOTAL(9,E88:E89)</f>
        <v>272.67099999999988</v>
      </c>
      <c r="F90" s="21">
        <f>E90</f>
        <v>272.67099999999988</v>
      </c>
      <c r="G90" s="20">
        <f>SUBTOTAL(9,G88:G89)</f>
        <v>418.39</v>
      </c>
      <c r="H90" s="20">
        <f>SUBTOTAL(9,H88:H89)</f>
        <v>691.06099999999992</v>
      </c>
      <c r="I90" s="15"/>
      <c r="J90" s="16"/>
      <c r="K90" s="18"/>
    </row>
    <row r="91" spans="1:14" ht="18" x14ac:dyDescent="0.35">
      <c r="A91" s="19"/>
      <c r="B91" s="26"/>
      <c r="C91" s="11"/>
      <c r="D91" s="11"/>
      <c r="E91" s="13"/>
      <c r="F91" s="21"/>
      <c r="G91" s="20"/>
      <c r="H91" s="20"/>
      <c r="I91" s="15"/>
      <c r="J91" s="16"/>
      <c r="K91" s="18"/>
    </row>
    <row r="92" spans="1:14" ht="18" x14ac:dyDescent="0.35">
      <c r="A92" s="10">
        <v>45004</v>
      </c>
      <c r="B92" s="11" t="s">
        <v>81</v>
      </c>
      <c r="C92" s="11" t="s">
        <v>82</v>
      </c>
      <c r="D92" s="11" t="s">
        <v>9</v>
      </c>
      <c r="E92" s="12">
        <f>H92-G92</f>
        <v>530.10500000000002</v>
      </c>
      <c r="F92" s="13"/>
      <c r="G92" s="22">
        <f>217.15-87.39+21</f>
        <v>150.76</v>
      </c>
      <c r="H92" s="22">
        <f>768.255-87.39</f>
        <v>680.86500000000001</v>
      </c>
      <c r="I92" s="15" t="s">
        <v>47</v>
      </c>
      <c r="J92" s="16"/>
      <c r="K92" s="18">
        <v>920</v>
      </c>
      <c r="M92">
        <v>494.36399999999981</v>
      </c>
      <c r="N92">
        <v>362.11399999999981</v>
      </c>
    </row>
    <row r="93" spans="1:14" ht="18" x14ac:dyDescent="0.35">
      <c r="A93" s="10">
        <v>44865</v>
      </c>
      <c r="B93" s="11" t="s">
        <v>192</v>
      </c>
      <c r="C93" s="11" t="s">
        <v>82</v>
      </c>
      <c r="D93" s="11" t="s">
        <v>16</v>
      </c>
      <c r="E93" s="12">
        <f>H93-G93</f>
        <v>7.7069999999999936</v>
      </c>
      <c r="F93" s="13"/>
      <c r="G93" s="22">
        <f>65.67-15.58</f>
        <v>50.09</v>
      </c>
      <c r="H93" s="22">
        <f>73.377-15.58</f>
        <v>57.796999999999997</v>
      </c>
      <c r="I93" s="15" t="s">
        <v>23</v>
      </c>
      <c r="J93" s="16"/>
      <c r="K93" s="18">
        <v>1230</v>
      </c>
      <c r="M93">
        <v>60.245999999999981</v>
      </c>
      <c r="N93">
        <v>9.4759999999999991</v>
      </c>
    </row>
    <row r="94" spans="1:14" ht="18" x14ac:dyDescent="0.35">
      <c r="A94" s="10">
        <v>44997</v>
      </c>
      <c r="B94" s="11" t="s">
        <v>193</v>
      </c>
      <c r="C94" s="11" t="s">
        <v>82</v>
      </c>
      <c r="D94" s="11" t="s">
        <v>16</v>
      </c>
      <c r="E94" s="12">
        <f>H94-G94</f>
        <v>148.07999999999996</v>
      </c>
      <c r="F94" s="13"/>
      <c r="G94" s="22">
        <f>190.37+20+25-49.87-41.82-7.72</f>
        <v>135.96</v>
      </c>
      <c r="H94" s="22">
        <f>383.45-49.87-41.82-7.72</f>
        <v>284.03999999999996</v>
      </c>
      <c r="I94" s="15" t="s">
        <v>23</v>
      </c>
      <c r="J94" s="16"/>
      <c r="K94" s="18">
        <v>900</v>
      </c>
      <c r="M94">
        <v>228.66000000000003</v>
      </c>
      <c r="N94">
        <v>101.33499999999998</v>
      </c>
    </row>
    <row r="95" spans="1:14" s="52" customFormat="1" ht="18" x14ac:dyDescent="0.35">
      <c r="A95" s="45">
        <v>44834</v>
      </c>
      <c r="B95" s="31" t="s">
        <v>83</v>
      </c>
      <c r="C95" s="31" t="s">
        <v>82</v>
      </c>
      <c r="D95" s="31" t="s">
        <v>19</v>
      </c>
      <c r="E95" s="46">
        <f>H95-G95</f>
        <v>6.4969999999999999</v>
      </c>
      <c r="F95" s="54"/>
      <c r="G95" s="48">
        <v>0</v>
      </c>
      <c r="H95" s="48">
        <f>26.157-19.66</f>
        <v>6.4969999999999999</v>
      </c>
      <c r="I95" s="49" t="s">
        <v>19</v>
      </c>
      <c r="J95" s="50"/>
      <c r="K95" s="51">
        <v>930</v>
      </c>
      <c r="M95" s="52" t="e">
        <v>#N/A</v>
      </c>
      <c r="N95" s="52" t="e">
        <v>#N/A</v>
      </c>
    </row>
    <row r="96" spans="1:14" ht="18" x14ac:dyDescent="0.35">
      <c r="A96" s="19"/>
      <c r="B96" s="26" t="s">
        <v>27</v>
      </c>
      <c r="C96" s="11"/>
      <c r="D96" s="11"/>
      <c r="E96" s="20">
        <f>SUBTOTAL(9,E92:E95)</f>
        <v>692.3889999999999</v>
      </c>
      <c r="F96" s="21">
        <f>E96</f>
        <v>692.3889999999999</v>
      </c>
      <c r="G96" s="20">
        <f>SUBTOTAL(9,G92:G95)</f>
        <v>336.81</v>
      </c>
      <c r="H96" s="20">
        <f>SUBTOTAL(9,H92:H95)</f>
        <v>1029.1990000000001</v>
      </c>
      <c r="I96" s="15"/>
      <c r="J96" s="16"/>
      <c r="K96" s="18"/>
    </row>
    <row r="97" spans="1:14" ht="18" x14ac:dyDescent="0.35">
      <c r="A97" s="19"/>
      <c r="B97" s="11"/>
      <c r="C97" s="11"/>
      <c r="D97" s="11"/>
      <c r="E97" s="12"/>
      <c r="F97" s="13"/>
      <c r="G97" s="13"/>
      <c r="H97" s="27"/>
      <c r="I97" s="15"/>
      <c r="J97" s="16"/>
      <c r="K97" s="18"/>
    </row>
    <row r="98" spans="1:14" ht="18" x14ac:dyDescent="0.35">
      <c r="A98" s="10">
        <v>44884</v>
      </c>
      <c r="B98" s="11" t="s">
        <v>194</v>
      </c>
      <c r="C98" s="11" t="s">
        <v>84</v>
      </c>
      <c r="D98" s="11" t="s">
        <v>9</v>
      </c>
      <c r="E98" s="12">
        <f>H98-G98</f>
        <v>0</v>
      </c>
      <c r="F98" s="13"/>
      <c r="G98" s="22">
        <f>101.37-9.92-24.01</f>
        <v>67.44</v>
      </c>
      <c r="H98" s="22">
        <f>101.37-9.92-24.01</f>
        <v>67.44</v>
      </c>
      <c r="I98" s="15" t="s">
        <v>47</v>
      </c>
      <c r="J98" s="16"/>
      <c r="K98" s="18">
        <v>1100.19155162675</v>
      </c>
      <c r="M98">
        <v>47.880000000000337</v>
      </c>
      <c r="N98">
        <v>15.370000000000573</v>
      </c>
    </row>
    <row r="99" spans="1:14" ht="18" x14ac:dyDescent="0.35">
      <c r="A99" s="10">
        <v>45004</v>
      </c>
      <c r="B99" s="11" t="s">
        <v>85</v>
      </c>
      <c r="C99" s="11" t="s">
        <v>84</v>
      </c>
      <c r="D99" s="11" t="s">
        <v>9</v>
      </c>
      <c r="E99" s="12">
        <f>H99-G99</f>
        <v>727.03700000000003</v>
      </c>
      <c r="F99" s="13"/>
      <c r="G99" s="22">
        <f>195-19.28-26.83-31.87-25.28</f>
        <v>91.739999999999981</v>
      </c>
      <c r="H99" s="22">
        <f>922.037-19.28-26.83-31.87-25.28</f>
        <v>818.77700000000004</v>
      </c>
      <c r="I99" s="15" t="s">
        <v>47</v>
      </c>
      <c r="J99" s="16"/>
      <c r="K99" s="18">
        <v>920.76043398005095</v>
      </c>
      <c r="M99">
        <v>818.77700000000004</v>
      </c>
      <c r="N99">
        <v>732.05700000000002</v>
      </c>
    </row>
    <row r="100" spans="1:14" ht="18" x14ac:dyDescent="0.35">
      <c r="A100" s="10">
        <v>45038</v>
      </c>
      <c r="B100" s="11" t="s">
        <v>86</v>
      </c>
      <c r="C100" s="11" t="s">
        <v>84</v>
      </c>
      <c r="D100" s="11" t="s">
        <v>9</v>
      </c>
      <c r="E100" s="12">
        <f>H100-G100</f>
        <v>708.95899999999995</v>
      </c>
      <c r="F100" s="13"/>
      <c r="G100" s="22">
        <v>0</v>
      </c>
      <c r="H100" s="22">
        <v>708.95899999999995</v>
      </c>
      <c r="I100" s="15" t="s">
        <v>47</v>
      </c>
      <c r="J100" s="16"/>
      <c r="K100" s="18"/>
      <c r="M100">
        <v>708.95899999999995</v>
      </c>
      <c r="N100">
        <v>708.95899999999995</v>
      </c>
    </row>
    <row r="101" spans="1:14" ht="18" x14ac:dyDescent="0.35">
      <c r="A101" s="19"/>
      <c r="B101" s="26" t="s">
        <v>27</v>
      </c>
      <c r="C101" s="11"/>
      <c r="D101" s="11"/>
      <c r="E101" s="20">
        <f>SUBTOTAL(9,E98:E100)</f>
        <v>1435.9960000000001</v>
      </c>
      <c r="F101" s="21">
        <f>E101</f>
        <v>1435.9960000000001</v>
      </c>
      <c r="G101" s="20">
        <f>SUBTOTAL(9,G98:G100)</f>
        <v>159.17999999999998</v>
      </c>
      <c r="H101" s="20">
        <f>SUBTOTAL(9,H98:H100)</f>
        <v>1595.1759999999999</v>
      </c>
      <c r="I101" s="15"/>
      <c r="J101" s="16"/>
      <c r="K101" s="18"/>
    </row>
    <row r="102" spans="1:14" ht="18" x14ac:dyDescent="0.35">
      <c r="A102" s="19"/>
      <c r="B102" s="26"/>
      <c r="C102" s="11"/>
      <c r="D102" s="11"/>
      <c r="E102" s="13"/>
      <c r="F102" s="13"/>
      <c r="G102" s="13"/>
      <c r="H102" s="27"/>
      <c r="I102" s="15"/>
      <c r="J102" s="16"/>
      <c r="K102" s="18"/>
    </row>
    <row r="103" spans="1:14" ht="18" x14ac:dyDescent="0.35">
      <c r="A103" s="10">
        <v>44764</v>
      </c>
      <c r="B103" s="11" t="s">
        <v>87</v>
      </c>
      <c r="C103" s="11" t="s">
        <v>88</v>
      </c>
      <c r="D103" s="11" t="s">
        <v>9</v>
      </c>
      <c r="E103" s="12">
        <f t="shared" ref="E103:E115" si="8">H103-G103</f>
        <v>0.93899999999999995</v>
      </c>
      <c r="F103" s="13"/>
      <c r="G103" s="22">
        <v>0</v>
      </c>
      <c r="H103" s="22">
        <v>0.93899999999999995</v>
      </c>
      <c r="I103" s="15" t="s">
        <v>47</v>
      </c>
      <c r="J103" s="16"/>
      <c r="K103" s="18">
        <v>1331.45</v>
      </c>
      <c r="M103">
        <v>0.93900000000030559</v>
      </c>
      <c r="N103">
        <v>-7.7609999999995125</v>
      </c>
    </row>
    <row r="104" spans="1:14" ht="18" x14ac:dyDescent="0.35">
      <c r="A104" s="10">
        <v>44892</v>
      </c>
      <c r="B104" s="11" t="s">
        <v>89</v>
      </c>
      <c r="C104" s="11" t="s">
        <v>88</v>
      </c>
      <c r="D104" s="11" t="s">
        <v>9</v>
      </c>
      <c r="E104" s="12">
        <f t="shared" si="8"/>
        <v>0</v>
      </c>
      <c r="F104" s="13"/>
      <c r="G104" s="22">
        <v>26.97</v>
      </c>
      <c r="H104" s="22">
        <v>26.97</v>
      </c>
      <c r="I104" s="15" t="s">
        <v>90</v>
      </c>
      <c r="J104" s="16"/>
      <c r="K104" s="18">
        <v>1118.5375775311952</v>
      </c>
      <c r="M104">
        <v>3.2229999999999563</v>
      </c>
      <c r="N104">
        <v>-24.867000000000189</v>
      </c>
    </row>
    <row r="105" spans="1:14" ht="18" x14ac:dyDescent="0.35">
      <c r="A105" s="10">
        <v>44566</v>
      </c>
      <c r="B105" s="11" t="s">
        <v>91</v>
      </c>
      <c r="C105" s="11" t="s">
        <v>88</v>
      </c>
      <c r="D105" s="11" t="s">
        <v>9</v>
      </c>
      <c r="E105" s="12">
        <f t="shared" si="8"/>
        <v>0</v>
      </c>
      <c r="F105" s="13"/>
      <c r="G105" s="22">
        <v>121.423</v>
      </c>
      <c r="H105" s="22">
        <v>121.423</v>
      </c>
      <c r="I105" s="15" t="s">
        <v>29</v>
      </c>
      <c r="J105" s="16"/>
      <c r="K105" s="18">
        <v>1037.0283001737214</v>
      </c>
      <c r="M105">
        <v>0</v>
      </c>
      <c r="N105">
        <v>-7.3299999999999272</v>
      </c>
    </row>
    <row r="106" spans="1:14" ht="18" x14ac:dyDescent="0.35">
      <c r="A106" s="10">
        <v>44592</v>
      </c>
      <c r="B106" s="11" t="s">
        <v>195</v>
      </c>
      <c r="C106" s="11" t="s">
        <v>88</v>
      </c>
      <c r="D106" s="11" t="s">
        <v>9</v>
      </c>
      <c r="E106" s="12">
        <f>H106-G106</f>
        <v>0</v>
      </c>
      <c r="F106" s="13"/>
      <c r="G106" s="22">
        <f>180.553-28.01-47.51-49.49</f>
        <v>55.543000000000013</v>
      </c>
      <c r="H106" s="22">
        <f>180.553-28.01-47.51-49.49</f>
        <v>55.543000000000013</v>
      </c>
      <c r="I106" s="15" t="s">
        <v>92</v>
      </c>
      <c r="J106" s="16"/>
      <c r="K106" s="18">
        <v>913.43126017726286</v>
      </c>
      <c r="M106">
        <v>0</v>
      </c>
      <c r="N106">
        <v>-1.0400000000000063</v>
      </c>
    </row>
    <row r="107" spans="1:14" ht="18" x14ac:dyDescent="0.35">
      <c r="A107" s="10">
        <v>44976</v>
      </c>
      <c r="B107" s="11" t="s">
        <v>93</v>
      </c>
      <c r="C107" s="11" t="s">
        <v>88</v>
      </c>
      <c r="D107" s="11" t="s">
        <v>9</v>
      </c>
      <c r="E107" s="12">
        <f t="shared" si="8"/>
        <v>1703.5439999999999</v>
      </c>
      <c r="F107" s="13"/>
      <c r="G107" s="22">
        <f>270-19.75+216+100-52.53+20-37.89</f>
        <v>495.83000000000004</v>
      </c>
      <c r="H107" s="22">
        <f>2309.544-19.75-52.53-37.89</f>
        <v>2199.3739999999998</v>
      </c>
      <c r="I107" s="15" t="s">
        <v>29</v>
      </c>
      <c r="J107" s="16"/>
      <c r="K107" s="18">
        <v>954.97628278089473</v>
      </c>
      <c r="M107">
        <v>1800.3140000000001</v>
      </c>
      <c r="N107">
        <v>598.35399999999981</v>
      </c>
    </row>
    <row r="108" spans="1:14" ht="18" x14ac:dyDescent="0.35">
      <c r="A108" s="10">
        <v>44997</v>
      </c>
      <c r="B108" s="11" t="s">
        <v>94</v>
      </c>
      <c r="C108" s="11" t="s">
        <v>88</v>
      </c>
      <c r="D108" s="11" t="s">
        <v>9</v>
      </c>
      <c r="E108" s="12">
        <f t="shared" si="8"/>
        <v>675.46800000000007</v>
      </c>
      <c r="F108" s="13"/>
      <c r="G108" s="22">
        <f>100-16.86+160-19.9-13.92</f>
        <v>209.32</v>
      </c>
      <c r="H108" s="22">
        <f>918.608-19.9-13.92</f>
        <v>884.78800000000001</v>
      </c>
      <c r="I108" s="15" t="s">
        <v>32</v>
      </c>
      <c r="J108" s="16"/>
      <c r="K108" s="18">
        <v>1005.1251051089312</v>
      </c>
      <c r="M108">
        <v>692.55799999999999</v>
      </c>
      <c r="N108">
        <v>283.77799999999996</v>
      </c>
    </row>
    <row r="109" spans="1:14" ht="18" x14ac:dyDescent="0.35">
      <c r="A109" s="10">
        <v>44997</v>
      </c>
      <c r="B109" s="11" t="s">
        <v>94</v>
      </c>
      <c r="C109" s="11" t="s">
        <v>88</v>
      </c>
      <c r="D109" s="11" t="s">
        <v>9</v>
      </c>
      <c r="E109" s="12">
        <f t="shared" si="8"/>
        <v>1612.19</v>
      </c>
      <c r="F109" s="13"/>
      <c r="G109" s="22">
        <v>0</v>
      </c>
      <c r="H109" s="22">
        <v>1612.19</v>
      </c>
      <c r="I109" s="15" t="s">
        <v>95</v>
      </c>
      <c r="J109" s="16"/>
      <c r="K109" s="18">
        <v>1005.12510510893</v>
      </c>
      <c r="M109">
        <v>692.55799999999999</v>
      </c>
      <c r="N109">
        <v>283.77799999999996</v>
      </c>
    </row>
    <row r="110" spans="1:14" ht="18" x14ac:dyDescent="0.35">
      <c r="A110" s="10">
        <v>44935</v>
      </c>
      <c r="B110" s="11" t="s">
        <v>196</v>
      </c>
      <c r="C110" s="11" t="s">
        <v>88</v>
      </c>
      <c r="D110" s="11" t="s">
        <v>13</v>
      </c>
      <c r="E110" s="12">
        <f t="shared" si="8"/>
        <v>0</v>
      </c>
      <c r="F110" s="13"/>
      <c r="G110" s="22">
        <f>236.648-24.9-24.96-15.93</f>
        <v>170.85799999999998</v>
      </c>
      <c r="H110" s="22">
        <f>236.648-24.9-24.96-15.93</f>
        <v>170.85799999999998</v>
      </c>
      <c r="I110" s="15" t="s">
        <v>21</v>
      </c>
      <c r="J110" s="16"/>
      <c r="K110" s="18">
        <v>870.27000343629402</v>
      </c>
      <c r="M110">
        <v>103.65899999999999</v>
      </c>
      <c r="N110">
        <v>74.49899999999991</v>
      </c>
    </row>
    <row r="111" spans="1:14" ht="18" x14ac:dyDescent="0.35">
      <c r="A111" s="10">
        <v>44935</v>
      </c>
      <c r="B111" s="11" t="s">
        <v>197</v>
      </c>
      <c r="C111" s="11" t="s">
        <v>88</v>
      </c>
      <c r="D111" s="11" t="s">
        <v>13</v>
      </c>
      <c r="E111" s="12">
        <f t="shared" si="8"/>
        <v>0</v>
      </c>
      <c r="F111" s="13"/>
      <c r="G111" s="22">
        <f>236.648-24.9-24.96-15.93</f>
        <v>170.85799999999998</v>
      </c>
      <c r="H111" s="22">
        <f>236.648-24.9-24.96-15.93</f>
        <v>170.85799999999998</v>
      </c>
      <c r="I111" s="15" t="s">
        <v>21</v>
      </c>
      <c r="J111" s="16"/>
      <c r="K111" s="18">
        <v>870.27000343629402</v>
      </c>
      <c r="M111">
        <v>38.735999999999422</v>
      </c>
      <c r="N111">
        <v>-74.184000000000424</v>
      </c>
    </row>
    <row r="112" spans="1:14" ht="18" x14ac:dyDescent="0.35">
      <c r="A112" s="10">
        <v>44927</v>
      </c>
      <c r="B112" s="11" t="s">
        <v>96</v>
      </c>
      <c r="C112" s="11" t="s">
        <v>88</v>
      </c>
      <c r="D112" s="11" t="s">
        <v>19</v>
      </c>
      <c r="E112" s="12">
        <f t="shared" si="8"/>
        <v>0</v>
      </c>
      <c r="F112" s="13"/>
      <c r="G112" s="22">
        <f>586.938-47.63-70.43-61.12</f>
        <v>407.75799999999998</v>
      </c>
      <c r="H112" s="22">
        <f>586.938-47.63-70.43-61.12</f>
        <v>407.75799999999998</v>
      </c>
      <c r="I112" s="15" t="s">
        <v>26</v>
      </c>
      <c r="J112" s="16"/>
      <c r="K112" s="18">
        <v>1037.0282893203669</v>
      </c>
      <c r="M112">
        <v>2.3620000000005348</v>
      </c>
      <c r="N112">
        <v>-397.2180000000003</v>
      </c>
    </row>
    <row r="113" spans="1:14" ht="18" x14ac:dyDescent="0.35">
      <c r="A113" s="10">
        <v>44964</v>
      </c>
      <c r="B113" s="11" t="s">
        <v>198</v>
      </c>
      <c r="C113" s="11" t="s">
        <v>88</v>
      </c>
      <c r="D113" s="11" t="s">
        <v>19</v>
      </c>
      <c r="E113" s="12">
        <f t="shared" si="8"/>
        <v>0</v>
      </c>
      <c r="F113" s="13"/>
      <c r="G113" s="22">
        <f>63+60+32+64.348</f>
        <v>219.34800000000001</v>
      </c>
      <c r="H113" s="22">
        <v>219.34800000000001</v>
      </c>
      <c r="I113" s="15" t="s">
        <v>26</v>
      </c>
      <c r="J113" s="16"/>
      <c r="K113" s="18">
        <v>960.99903545431528</v>
      </c>
      <c r="M113">
        <v>43.601999999999862</v>
      </c>
      <c r="N113">
        <v>-106.32799999999997</v>
      </c>
    </row>
    <row r="114" spans="1:14" ht="18" x14ac:dyDescent="0.35">
      <c r="A114" s="10">
        <v>45020</v>
      </c>
      <c r="B114" s="11" t="s">
        <v>97</v>
      </c>
      <c r="C114" s="11" t="s">
        <v>88</v>
      </c>
      <c r="D114" s="11" t="s">
        <v>19</v>
      </c>
      <c r="E114" s="12">
        <f t="shared" si="8"/>
        <v>1683.819</v>
      </c>
      <c r="F114" s="13"/>
      <c r="G114" s="22">
        <f>87+145</f>
        <v>232</v>
      </c>
      <c r="H114" s="22">
        <v>1915.819</v>
      </c>
      <c r="I114" s="15" t="s">
        <v>26</v>
      </c>
      <c r="J114" s="16"/>
      <c r="K114" s="18">
        <v>1030</v>
      </c>
      <c r="M114">
        <v>1879.819</v>
      </c>
      <c r="N114">
        <v>1595.1289999999999</v>
      </c>
    </row>
    <row r="115" spans="1:14" ht="18" x14ac:dyDescent="0.35">
      <c r="A115" s="10">
        <v>45054</v>
      </c>
      <c r="B115" s="11" t="s">
        <v>222</v>
      </c>
      <c r="C115" s="11" t="s">
        <v>88</v>
      </c>
      <c r="D115" s="11" t="s">
        <v>166</v>
      </c>
      <c r="E115" s="12">
        <f t="shared" si="8"/>
        <v>1683.819</v>
      </c>
      <c r="F115" s="13"/>
      <c r="G115" s="22">
        <f>87+145</f>
        <v>232</v>
      </c>
      <c r="H115" s="22">
        <v>1915.819</v>
      </c>
      <c r="I115" s="15" t="s">
        <v>166</v>
      </c>
      <c r="J115" s="16"/>
      <c r="K115" s="18">
        <v>1030</v>
      </c>
      <c r="M115">
        <v>2445.7159999999999</v>
      </c>
      <c r="N115">
        <v>1795.3209999999999</v>
      </c>
    </row>
    <row r="116" spans="1:14" ht="18" x14ac:dyDescent="0.35">
      <c r="A116" s="19"/>
      <c r="B116" s="26" t="s">
        <v>27</v>
      </c>
      <c r="C116" s="11"/>
      <c r="D116" s="11"/>
      <c r="E116" s="20">
        <f>SUBTOTAL(9,E103:E115)</f>
        <v>7359.7790000000005</v>
      </c>
      <c r="F116" s="21">
        <f>E116</f>
        <v>7359.7790000000005</v>
      </c>
      <c r="G116" s="20">
        <f>SUBTOTAL(9,G103:G115)</f>
        <v>2341.9079999999999</v>
      </c>
      <c r="H116" s="20">
        <f>SUBTOTAL(9,H103:H115)</f>
        <v>9701.6869999999999</v>
      </c>
      <c r="I116" s="15"/>
      <c r="J116" s="16"/>
      <c r="K116" s="18"/>
    </row>
    <row r="117" spans="1:14" ht="18" x14ac:dyDescent="0.35">
      <c r="A117" s="19"/>
      <c r="B117" s="11"/>
      <c r="C117" s="11"/>
      <c r="D117" s="11"/>
      <c r="E117" s="12"/>
      <c r="F117" s="13"/>
      <c r="G117" s="13"/>
      <c r="H117" s="20"/>
      <c r="I117" s="15"/>
      <c r="J117" s="16"/>
      <c r="K117" s="18"/>
    </row>
    <row r="118" spans="1:14" ht="19.5" customHeight="1" x14ac:dyDescent="0.35">
      <c r="A118" s="10">
        <v>44966</v>
      </c>
      <c r="B118" s="11" t="s">
        <v>98</v>
      </c>
      <c r="C118" s="11" t="s">
        <v>99</v>
      </c>
      <c r="D118" s="11" t="s">
        <v>13</v>
      </c>
      <c r="E118" s="28">
        <f t="shared" ref="E118:E120" si="9">H118-G118</f>
        <v>-24.771000000000065</v>
      </c>
      <c r="F118" s="21"/>
      <c r="G118" s="22">
        <v>50</v>
      </c>
      <c r="H118" s="22">
        <f>315.85+80-75.17+25-73.4-79.99+70-25.09-25.06-72.64-83.09-24.59+25+50-54.78+23.059-24.94-24.93</f>
        <v>25.228999999999935</v>
      </c>
      <c r="I118" s="15" t="s">
        <v>21</v>
      </c>
      <c r="J118" s="16"/>
      <c r="K118" s="18">
        <v>630.5353442094663</v>
      </c>
      <c r="M118">
        <v>25.228999999999814</v>
      </c>
      <c r="N118">
        <v>5.2190000000000509</v>
      </c>
    </row>
    <row r="119" spans="1:14" ht="19.5" customHeight="1" x14ac:dyDescent="0.35">
      <c r="A119" s="10">
        <v>45050</v>
      </c>
      <c r="B119" s="11" t="s">
        <v>217</v>
      </c>
      <c r="C119" s="11" t="s">
        <v>99</v>
      </c>
      <c r="D119" s="11" t="s">
        <v>13</v>
      </c>
      <c r="E119" s="28">
        <f t="shared" si="9"/>
        <v>-24.771000000000065</v>
      </c>
      <c r="F119" s="21"/>
      <c r="G119" s="22">
        <v>50</v>
      </c>
      <c r="H119" s="22">
        <f>315.85+80-75.17+25-73.4-79.99+70-25.09-25.06-72.64-83.09-24.59+25+50-54.78+23.059-24.94-24.93</f>
        <v>25.228999999999935</v>
      </c>
      <c r="I119" s="15" t="s">
        <v>21</v>
      </c>
      <c r="J119" s="16"/>
      <c r="K119" s="18">
        <v>630.5353442094663</v>
      </c>
      <c r="M119">
        <v>2.0800000000000978</v>
      </c>
      <c r="N119">
        <v>-129.0200000000001</v>
      </c>
    </row>
    <row r="120" spans="1:14" ht="19.5" customHeight="1" x14ac:dyDescent="0.35">
      <c r="A120" s="10">
        <v>45050</v>
      </c>
      <c r="B120" s="11" t="s">
        <v>218</v>
      </c>
      <c r="C120" s="11" t="s">
        <v>99</v>
      </c>
      <c r="D120" s="11" t="s">
        <v>13</v>
      </c>
      <c r="E120" s="28">
        <f t="shared" si="9"/>
        <v>-24.771000000000065</v>
      </c>
      <c r="F120" s="21"/>
      <c r="G120" s="22">
        <v>50</v>
      </c>
      <c r="H120" s="22">
        <f>315.85+80-75.17+25-73.4-79.99+70-25.09-25.06-72.64-83.09-24.59+25+50-54.78+23.059-24.94-24.93</f>
        <v>25.228999999999935</v>
      </c>
      <c r="I120" s="15" t="s">
        <v>21</v>
      </c>
      <c r="J120" s="16"/>
      <c r="K120" s="18">
        <v>630.5353442094663</v>
      </c>
      <c r="M120">
        <v>845.08300000000008</v>
      </c>
      <c r="N120">
        <v>526.77300000000002</v>
      </c>
    </row>
    <row r="121" spans="1:14" ht="19.5" customHeight="1" x14ac:dyDescent="0.35">
      <c r="A121" s="10"/>
      <c r="B121" s="26" t="s">
        <v>27</v>
      </c>
      <c r="C121" s="11"/>
      <c r="D121" s="11"/>
      <c r="E121" s="20">
        <f>SUBTOTAL(9,E120:E120)</f>
        <v>-24.771000000000065</v>
      </c>
      <c r="F121" s="21">
        <f>E121</f>
        <v>-24.771000000000065</v>
      </c>
      <c r="G121" s="20">
        <f>SUBTOTAL(9,G120:G120)</f>
        <v>50</v>
      </c>
      <c r="H121" s="20">
        <f>SUBTOTAL(9,H120:H120)</f>
        <v>25.228999999999935</v>
      </c>
      <c r="I121" s="15"/>
      <c r="J121" s="16"/>
      <c r="K121" s="18"/>
    </row>
    <row r="122" spans="1:14" ht="18" x14ac:dyDescent="0.35">
      <c r="A122" s="19"/>
      <c r="B122" s="26"/>
      <c r="C122" s="11"/>
      <c r="D122" s="11"/>
      <c r="E122" s="13"/>
      <c r="F122" s="13"/>
      <c r="G122" s="20"/>
      <c r="H122" s="20"/>
      <c r="I122" s="15"/>
      <c r="J122" s="16"/>
      <c r="K122" s="18"/>
    </row>
    <row r="123" spans="1:14" ht="18" x14ac:dyDescent="0.35">
      <c r="A123" s="10">
        <v>44997</v>
      </c>
      <c r="B123" s="11" t="s">
        <v>100</v>
      </c>
      <c r="C123" s="11" t="s">
        <v>101</v>
      </c>
      <c r="D123" s="11" t="s">
        <v>9</v>
      </c>
      <c r="E123" s="12">
        <f>H123-G123</f>
        <v>0</v>
      </c>
      <c r="F123" s="13"/>
      <c r="G123" s="22">
        <f>92.929-24.86-24.93</f>
        <v>43.139000000000003</v>
      </c>
      <c r="H123" s="22">
        <f>92.929-24.86-24.93</f>
        <v>43.139000000000003</v>
      </c>
      <c r="I123" s="15" t="s">
        <v>47</v>
      </c>
      <c r="J123" s="16"/>
      <c r="K123" s="18">
        <v>1120.1930576716391</v>
      </c>
      <c r="M123">
        <v>43.138999999999953</v>
      </c>
      <c r="N123">
        <v>-109.35099999999994</v>
      </c>
    </row>
    <row r="124" spans="1:14" s="52" customFormat="1" ht="18" x14ac:dyDescent="0.35">
      <c r="A124" s="45">
        <v>45018</v>
      </c>
      <c r="B124" s="31" t="s">
        <v>102</v>
      </c>
      <c r="C124" s="31" t="s">
        <v>101</v>
      </c>
      <c r="D124" s="31" t="s">
        <v>9</v>
      </c>
      <c r="E124" s="46">
        <f>H124-G124-50</f>
        <v>565.18500000000006</v>
      </c>
      <c r="F124" s="54"/>
      <c r="G124" s="48">
        <f>275+15-15-18.86-22.05+25-24.9-27.64</f>
        <v>206.54999999999995</v>
      </c>
      <c r="H124" s="48">
        <f>1026.455-31.27-9.83-24.68-30.85-14.64-18.86-22.05-24.9-27.64</f>
        <v>821.73500000000001</v>
      </c>
      <c r="I124" s="49" t="s">
        <v>47</v>
      </c>
      <c r="J124" s="30" t="s">
        <v>103</v>
      </c>
      <c r="K124" s="51"/>
      <c r="M124" s="52" t="e">
        <v>#N/A</v>
      </c>
      <c r="N124" s="52" t="e">
        <v>#N/A</v>
      </c>
    </row>
    <row r="125" spans="1:14" ht="18" x14ac:dyDescent="0.35">
      <c r="A125" s="19"/>
      <c r="B125" s="26" t="s">
        <v>27</v>
      </c>
      <c r="C125" s="11"/>
      <c r="D125" s="11"/>
      <c r="E125" s="20">
        <f>SUBTOTAL(9,E123:E124)</f>
        <v>565.18500000000006</v>
      </c>
      <c r="F125" s="21">
        <f>E125</f>
        <v>565.18500000000006</v>
      </c>
      <c r="G125" s="20">
        <f>SUBTOTAL(9,G123:G124)</f>
        <v>249.68899999999996</v>
      </c>
      <c r="H125" s="20">
        <f>SUBTOTAL(9,H123:H124)</f>
        <v>864.87400000000002</v>
      </c>
      <c r="I125" s="15"/>
      <c r="J125" s="16"/>
      <c r="K125" s="18"/>
    </row>
    <row r="126" spans="1:14" ht="18" x14ac:dyDescent="0.35">
      <c r="A126" s="19"/>
      <c r="B126" s="26"/>
      <c r="C126" s="11"/>
      <c r="D126" s="11"/>
      <c r="E126" s="13"/>
      <c r="F126" s="13"/>
      <c r="G126" s="13"/>
      <c r="H126" s="20"/>
      <c r="I126" s="15"/>
      <c r="J126" s="16"/>
      <c r="K126" s="18"/>
    </row>
    <row r="127" spans="1:14" ht="18" x14ac:dyDescent="0.35">
      <c r="A127" s="10">
        <v>44919</v>
      </c>
      <c r="B127" s="11" t="s">
        <v>104</v>
      </c>
      <c r="C127" s="11" t="s">
        <v>105</v>
      </c>
      <c r="D127" s="11" t="s">
        <v>9</v>
      </c>
      <c r="E127" s="12">
        <f>H127-G127</f>
        <v>0</v>
      </c>
      <c r="F127" s="21"/>
      <c r="G127" s="22">
        <v>127.99299999999999</v>
      </c>
      <c r="H127" s="22">
        <v>127.99299999999999</v>
      </c>
      <c r="I127" s="15" t="s">
        <v>47</v>
      </c>
      <c r="J127" s="16"/>
      <c r="K127" s="18">
        <v>1295.2259126271699</v>
      </c>
      <c r="M127">
        <v>20.188000000000102</v>
      </c>
      <c r="N127">
        <v>-33.652000000000044</v>
      </c>
    </row>
    <row r="128" spans="1:14" ht="18" x14ac:dyDescent="0.35">
      <c r="A128" s="10">
        <v>44943</v>
      </c>
      <c r="B128" s="11" t="s">
        <v>106</v>
      </c>
      <c r="C128" s="11" t="s">
        <v>105</v>
      </c>
      <c r="D128" s="11" t="s">
        <v>9</v>
      </c>
      <c r="E128" s="12">
        <f>H128-G128</f>
        <v>698.60799999999995</v>
      </c>
      <c r="F128" s="21"/>
      <c r="G128" s="22">
        <f>141+95-46.5-65.53-24.46</f>
        <v>99.509999999999991</v>
      </c>
      <c r="H128" s="22">
        <f>934.608-46.5-65.53-24.46</f>
        <v>798.11799999999994</v>
      </c>
      <c r="I128" s="15" t="s">
        <v>47</v>
      </c>
      <c r="J128" s="16"/>
      <c r="K128" s="18">
        <v>1210</v>
      </c>
      <c r="M128">
        <v>637.31799999999998</v>
      </c>
      <c r="N128">
        <v>428.04800000000012</v>
      </c>
    </row>
    <row r="129" spans="1:14" ht="18" x14ac:dyDescent="0.35">
      <c r="A129" s="10"/>
      <c r="B129" s="26" t="s">
        <v>27</v>
      </c>
      <c r="C129" s="11"/>
      <c r="D129" s="11"/>
      <c r="E129" s="20">
        <f>SUBTOTAL(9,E127:E128)</f>
        <v>698.60799999999995</v>
      </c>
      <c r="F129" s="21">
        <f>E129</f>
        <v>698.60799999999995</v>
      </c>
      <c r="G129" s="20">
        <f>SUBTOTAL(9,G127:G128)</f>
        <v>227.50299999999999</v>
      </c>
      <c r="H129" s="20">
        <f>SUBTOTAL(9,H127:H128)</f>
        <v>926.11099999999988</v>
      </c>
      <c r="I129" s="15"/>
      <c r="J129" s="16"/>
      <c r="K129" s="18"/>
    </row>
    <row r="130" spans="1:14" ht="18" x14ac:dyDescent="0.35">
      <c r="A130" s="19"/>
      <c r="B130" s="26"/>
      <c r="C130" s="11"/>
      <c r="D130" s="11"/>
      <c r="E130" s="13"/>
      <c r="F130" s="13"/>
      <c r="G130" s="13"/>
      <c r="H130" s="27"/>
      <c r="I130" s="15"/>
      <c r="J130" s="16"/>
      <c r="K130" s="18"/>
    </row>
    <row r="131" spans="1:14" ht="18" x14ac:dyDescent="0.35">
      <c r="A131" s="10">
        <v>44722</v>
      </c>
      <c r="B131" s="11" t="s">
        <v>107</v>
      </c>
      <c r="C131" s="11" t="s">
        <v>108</v>
      </c>
      <c r="D131" s="11" t="s">
        <v>9</v>
      </c>
      <c r="E131" s="12">
        <f>H131-G131</f>
        <v>1.159</v>
      </c>
      <c r="F131" s="13"/>
      <c r="G131" s="22">
        <v>0</v>
      </c>
      <c r="H131" s="22">
        <v>1.159</v>
      </c>
      <c r="I131" s="15" t="s">
        <v>109</v>
      </c>
      <c r="J131" s="16"/>
      <c r="K131" s="18">
        <v>1890</v>
      </c>
      <c r="M131">
        <v>1.1590000000001055</v>
      </c>
      <c r="N131">
        <v>2.3740000000001009</v>
      </c>
    </row>
    <row r="132" spans="1:14" ht="18" x14ac:dyDescent="0.35">
      <c r="A132" s="10">
        <v>44930</v>
      </c>
      <c r="B132" s="11" t="s">
        <v>110</v>
      </c>
      <c r="C132" s="11" t="s">
        <v>108</v>
      </c>
      <c r="D132" s="11" t="s">
        <v>13</v>
      </c>
      <c r="E132" s="12">
        <f>H132-G132</f>
        <v>109.333</v>
      </c>
      <c r="F132" s="13"/>
      <c r="G132" s="22">
        <f>202.96+84-24.9-23.42-21.06-22.59</f>
        <v>194.99000000000004</v>
      </c>
      <c r="H132" s="22">
        <f>396.293-24.9-23.42-21.06-22.59</f>
        <v>304.32300000000004</v>
      </c>
      <c r="I132" s="15" t="s">
        <v>21</v>
      </c>
      <c r="J132" s="16"/>
      <c r="K132" s="18">
        <v>1536.9055918352899</v>
      </c>
      <c r="M132">
        <v>244.01300000000026</v>
      </c>
      <c r="N132">
        <v>-14.797000000000025</v>
      </c>
    </row>
    <row r="133" spans="1:14" ht="18" x14ac:dyDescent="0.35">
      <c r="A133" s="10">
        <v>45005</v>
      </c>
      <c r="B133" s="11" t="s">
        <v>111</v>
      </c>
      <c r="C133" s="11" t="s">
        <v>108</v>
      </c>
      <c r="D133" s="11" t="s">
        <v>13</v>
      </c>
      <c r="E133" s="12">
        <f>H133-G133</f>
        <v>520.96699999999998</v>
      </c>
      <c r="F133" s="13"/>
      <c r="G133" s="22">
        <v>0</v>
      </c>
      <c r="H133" s="22">
        <v>520.96699999999998</v>
      </c>
      <c r="I133" s="15" t="s">
        <v>21</v>
      </c>
      <c r="J133" s="16"/>
      <c r="K133" s="18">
        <v>1403.23329522019</v>
      </c>
      <c r="M133">
        <v>498.50700000000001</v>
      </c>
      <c r="N133">
        <v>520.96699999999998</v>
      </c>
    </row>
    <row r="134" spans="1:14" ht="18" x14ac:dyDescent="0.35">
      <c r="A134" s="19"/>
      <c r="B134" s="26" t="s">
        <v>27</v>
      </c>
      <c r="C134" s="11"/>
      <c r="D134" s="11"/>
      <c r="E134" s="20">
        <f>SUBTOTAL(9,E131:E133)</f>
        <v>631.45899999999995</v>
      </c>
      <c r="F134" s="21">
        <f>E134</f>
        <v>631.45899999999995</v>
      </c>
      <c r="G134" s="20">
        <f>SUBTOTAL(9,G131:G133)</f>
        <v>194.99000000000004</v>
      </c>
      <c r="H134" s="20">
        <f>SUBTOTAL(9,H131:H133)</f>
        <v>826.44900000000007</v>
      </c>
      <c r="I134" s="15"/>
      <c r="J134" s="16"/>
      <c r="K134" s="18"/>
    </row>
    <row r="135" spans="1:14" ht="18" x14ac:dyDescent="0.35">
      <c r="A135" s="19"/>
      <c r="B135" s="26"/>
      <c r="C135" s="11"/>
      <c r="D135" s="11" t="s">
        <v>112</v>
      </c>
      <c r="E135" s="13"/>
      <c r="F135" s="13"/>
      <c r="G135" s="13"/>
      <c r="H135" s="27"/>
      <c r="I135" s="15"/>
      <c r="J135" s="16"/>
      <c r="K135" s="18"/>
    </row>
    <row r="136" spans="1:14" ht="18" x14ac:dyDescent="0.35">
      <c r="A136" s="10">
        <v>44969</v>
      </c>
      <c r="B136" s="11" t="s">
        <v>113</v>
      </c>
      <c r="C136" s="11" t="s">
        <v>114</v>
      </c>
      <c r="D136" s="11" t="s">
        <v>9</v>
      </c>
      <c r="E136" s="12">
        <f>H136-G136</f>
        <v>0</v>
      </c>
      <c r="F136" s="21"/>
      <c r="G136" s="22">
        <f>157+25-29.47+28-73.59+15.553-8.05-46.35</f>
        <v>68.092999999999989</v>
      </c>
      <c r="H136" s="22">
        <f>157+25-29.47+28-73.59+15.553-8.05-46.35</f>
        <v>68.092999999999989</v>
      </c>
      <c r="I136" s="15" t="s">
        <v>23</v>
      </c>
      <c r="J136" s="16"/>
      <c r="K136" s="18">
        <v>1192.5</v>
      </c>
      <c r="M136">
        <v>18.252999999999702</v>
      </c>
      <c r="N136">
        <v>-15.037000000000035</v>
      </c>
    </row>
    <row r="137" spans="1:14" s="52" customFormat="1" ht="18" x14ac:dyDescent="0.35">
      <c r="A137" s="45">
        <v>44988</v>
      </c>
      <c r="B137" s="31" t="s">
        <v>115</v>
      </c>
      <c r="C137" s="31" t="s">
        <v>114</v>
      </c>
      <c r="D137" s="31" t="s">
        <v>9</v>
      </c>
      <c r="E137" s="46">
        <f>H137-G137</f>
        <v>0</v>
      </c>
      <c r="F137" s="53"/>
      <c r="G137" s="48">
        <v>142.80500000000001</v>
      </c>
      <c r="H137" s="48">
        <v>142.80500000000001</v>
      </c>
      <c r="I137" s="49" t="s">
        <v>23</v>
      </c>
      <c r="J137" s="50"/>
      <c r="K137" s="51">
        <v>1113.50001746725</v>
      </c>
      <c r="M137" s="52" t="e">
        <v>#N/A</v>
      </c>
      <c r="N137" s="52">
        <v>42.50500000000001</v>
      </c>
    </row>
    <row r="138" spans="1:14" ht="18" x14ac:dyDescent="0.35">
      <c r="A138" s="10">
        <v>45041</v>
      </c>
      <c r="B138" s="11" t="s">
        <v>116</v>
      </c>
      <c r="C138" s="11" t="s">
        <v>114</v>
      </c>
      <c r="D138" s="11" t="s">
        <v>13</v>
      </c>
      <c r="E138" s="12">
        <f>H138-G138</f>
        <v>594.98399999999992</v>
      </c>
      <c r="F138" s="21"/>
      <c r="G138" s="22">
        <f>100+71+60-20.85+60+160-33.82</f>
        <v>396.33</v>
      </c>
      <c r="H138" s="22">
        <f>1045.984-20.85-33.82</f>
        <v>991.31399999999996</v>
      </c>
      <c r="I138" s="15" t="s">
        <v>21</v>
      </c>
      <c r="J138" s="16"/>
      <c r="K138" s="18"/>
      <c r="M138">
        <v>264.24400000000014</v>
      </c>
      <c r="N138">
        <v>-7.7559999999998581</v>
      </c>
    </row>
    <row r="139" spans="1:14" ht="18" x14ac:dyDescent="0.35">
      <c r="A139" s="10"/>
      <c r="B139" s="26" t="s">
        <v>27</v>
      </c>
      <c r="C139" s="11"/>
      <c r="D139" s="11"/>
      <c r="E139" s="20">
        <f>SUBTOTAL(9,E136:E138)</f>
        <v>594.98399999999992</v>
      </c>
      <c r="F139" s="21">
        <f>E139</f>
        <v>594.98399999999992</v>
      </c>
      <c r="G139" s="20">
        <f>SUBTOTAL(9,G136:G138)</f>
        <v>607.22799999999995</v>
      </c>
      <c r="H139" s="20">
        <f>SUBTOTAL(9,H136:H138)</f>
        <v>1202.212</v>
      </c>
      <c r="I139" s="15"/>
      <c r="J139" s="16"/>
      <c r="K139" s="18"/>
    </row>
    <row r="140" spans="1:14" ht="18" x14ac:dyDescent="0.35">
      <c r="A140" s="19"/>
      <c r="B140" s="26"/>
      <c r="C140" s="11"/>
      <c r="D140" s="11"/>
      <c r="E140" s="13"/>
      <c r="F140" s="13"/>
      <c r="G140" s="13"/>
      <c r="H140" s="27"/>
      <c r="I140" s="15"/>
      <c r="J140" s="16"/>
      <c r="K140" s="18"/>
    </row>
    <row r="141" spans="1:14" ht="18" x14ac:dyDescent="0.35">
      <c r="A141" s="10">
        <v>44904</v>
      </c>
      <c r="B141" s="11" t="s">
        <v>117</v>
      </c>
      <c r="C141" s="11" t="s">
        <v>118</v>
      </c>
      <c r="D141" s="11" t="s">
        <v>9</v>
      </c>
      <c r="E141" s="12">
        <f>H141-G141</f>
        <v>0</v>
      </c>
      <c r="F141" s="13"/>
      <c r="G141" s="22">
        <v>21.393999999999998</v>
      </c>
      <c r="H141" s="22">
        <v>21.393999999999998</v>
      </c>
      <c r="I141" s="15" t="s">
        <v>47</v>
      </c>
      <c r="J141" s="16"/>
      <c r="K141" s="18">
        <v>903.07</v>
      </c>
      <c r="M141">
        <v>21.503999999999678</v>
      </c>
      <c r="N141">
        <v>-5.6960000000000264</v>
      </c>
    </row>
    <row r="142" spans="1:14" s="52" customFormat="1" ht="18" x14ac:dyDescent="0.35">
      <c r="A142" s="45">
        <v>44989</v>
      </c>
      <c r="B142" s="31" t="s">
        <v>119</v>
      </c>
      <c r="C142" s="31" t="s">
        <v>118</v>
      </c>
      <c r="D142" s="31" t="s">
        <v>9</v>
      </c>
      <c r="E142" s="46">
        <f>H142-G142</f>
        <v>185.75800000000004</v>
      </c>
      <c r="F142" s="54"/>
      <c r="G142" s="48">
        <f>331.51-38.9-14.82-43.91+26+39-25.23</f>
        <v>273.64999999999998</v>
      </c>
      <c r="H142" s="48">
        <f>582.268-38.9-14.82-43.91-25.23</f>
        <v>459.40800000000002</v>
      </c>
      <c r="I142" s="49" t="s">
        <v>47</v>
      </c>
      <c r="J142" s="50"/>
      <c r="K142" s="51">
        <v>936.89</v>
      </c>
      <c r="M142" s="52">
        <v>181.09800000000007</v>
      </c>
      <c r="N142" s="52">
        <v>-223.16199999999981</v>
      </c>
    </row>
    <row r="143" spans="1:14" ht="18" x14ac:dyDescent="0.35">
      <c r="A143" s="10">
        <v>45036</v>
      </c>
      <c r="B143" s="11" t="s">
        <v>120</v>
      </c>
      <c r="C143" s="11" t="s">
        <v>118</v>
      </c>
      <c r="D143" s="11" t="s">
        <v>9</v>
      </c>
      <c r="E143" s="12">
        <f>H143-G143</f>
        <v>1061.152</v>
      </c>
      <c r="F143" s="13"/>
      <c r="G143" s="22">
        <v>0</v>
      </c>
      <c r="H143" s="22">
        <v>1061.152</v>
      </c>
      <c r="I143" s="15" t="s">
        <v>47</v>
      </c>
      <c r="J143" s="16"/>
      <c r="K143" s="18"/>
      <c r="M143">
        <v>1061.152</v>
      </c>
      <c r="N143">
        <v>1061.152</v>
      </c>
    </row>
    <row r="144" spans="1:14" ht="18" x14ac:dyDescent="0.35">
      <c r="A144" s="19"/>
      <c r="B144" s="26" t="s">
        <v>27</v>
      </c>
      <c r="C144" s="11"/>
      <c r="D144" s="11"/>
      <c r="E144" s="20">
        <f>SUBTOTAL(9,E141:E143)</f>
        <v>1246.9100000000001</v>
      </c>
      <c r="F144" s="21">
        <f>E144</f>
        <v>1246.9100000000001</v>
      </c>
      <c r="G144" s="20">
        <f>SUBTOTAL(9,G141:G143)</f>
        <v>295.04399999999998</v>
      </c>
      <c r="H144" s="20">
        <f>SUBTOTAL(9,H141:H143)</f>
        <v>1541.9540000000002</v>
      </c>
      <c r="I144" s="15"/>
      <c r="J144" s="16"/>
      <c r="K144" s="18"/>
    </row>
    <row r="145" spans="1:14" ht="18" x14ac:dyDescent="0.35">
      <c r="A145" s="19"/>
      <c r="B145" s="11"/>
      <c r="C145" s="11"/>
      <c r="D145" s="11"/>
      <c r="E145" s="13"/>
      <c r="F145" s="13"/>
      <c r="G145" s="13"/>
      <c r="H145" s="27"/>
      <c r="I145" s="15"/>
      <c r="J145" s="16"/>
      <c r="K145" s="18"/>
    </row>
    <row r="146" spans="1:14" ht="18" x14ac:dyDescent="0.35">
      <c r="A146" s="10">
        <v>44892</v>
      </c>
      <c r="B146" s="11" t="s">
        <v>121</v>
      </c>
      <c r="C146" s="11" t="s">
        <v>122</v>
      </c>
      <c r="D146" s="11" t="s">
        <v>9</v>
      </c>
      <c r="E146" s="12">
        <f t="shared" ref="E146:E151" si="10">H146-G146</f>
        <v>0</v>
      </c>
      <c r="F146" s="13"/>
      <c r="G146" s="22">
        <v>17.344000000000001</v>
      </c>
      <c r="H146" s="22">
        <v>17.344000000000001</v>
      </c>
      <c r="I146" s="15" t="s">
        <v>123</v>
      </c>
      <c r="J146" s="16"/>
      <c r="K146" s="18">
        <v>1130.0261544645684</v>
      </c>
      <c r="M146">
        <v>7.1659999999992579</v>
      </c>
      <c r="N146">
        <v>-113.59400000000051</v>
      </c>
    </row>
    <row r="147" spans="1:14" ht="18" x14ac:dyDescent="0.35">
      <c r="A147" s="10">
        <v>44566</v>
      </c>
      <c r="B147" s="11" t="s">
        <v>91</v>
      </c>
      <c r="C147" s="11" t="s">
        <v>122</v>
      </c>
      <c r="D147" s="11" t="s">
        <v>9</v>
      </c>
      <c r="E147" s="12">
        <f t="shared" si="10"/>
        <v>0</v>
      </c>
      <c r="F147" s="13"/>
      <c r="G147" s="22">
        <f>430.861-47.99-108.69-26.42-8.65</f>
        <v>239.11099999999996</v>
      </c>
      <c r="H147" s="22">
        <f>430.861-47.99-108.69-26.42-8.65</f>
        <v>239.11099999999996</v>
      </c>
      <c r="I147" s="15" t="s">
        <v>47</v>
      </c>
      <c r="J147" s="16"/>
      <c r="K147" s="18">
        <v>1037.0283001737214</v>
      </c>
      <c r="M147">
        <v>0</v>
      </c>
      <c r="N147">
        <v>-7.3299999999999272</v>
      </c>
    </row>
    <row r="148" spans="1:14" ht="18" x14ac:dyDescent="0.35">
      <c r="A148" s="10">
        <v>44976</v>
      </c>
      <c r="B148" s="11" t="s">
        <v>124</v>
      </c>
      <c r="C148" s="11" t="s">
        <v>122</v>
      </c>
      <c r="D148" s="11" t="s">
        <v>9</v>
      </c>
      <c r="E148" s="12">
        <f t="shared" si="10"/>
        <v>0</v>
      </c>
      <c r="F148" s="13"/>
      <c r="G148" s="22">
        <v>43.515000000000001</v>
      </c>
      <c r="H148" s="22">
        <v>43.515000000000001</v>
      </c>
      <c r="I148" s="15" t="s">
        <v>125</v>
      </c>
      <c r="J148" s="16"/>
      <c r="K148" s="18">
        <v>985.84867135170271</v>
      </c>
      <c r="M148">
        <v>14.536000000000058</v>
      </c>
      <c r="N148">
        <v>-107.52399999999989</v>
      </c>
    </row>
    <row r="149" spans="1:14" ht="18" x14ac:dyDescent="0.35">
      <c r="A149" s="10">
        <v>44997</v>
      </c>
      <c r="B149" s="11" t="s">
        <v>199</v>
      </c>
      <c r="C149" s="11" t="s">
        <v>122</v>
      </c>
      <c r="D149" s="11" t="s">
        <v>9</v>
      </c>
      <c r="E149" s="12">
        <f t="shared" si="10"/>
        <v>799.86000000000013</v>
      </c>
      <c r="F149" s="13"/>
      <c r="G149" s="22">
        <f>2102-54.7+20-35.94+75-38.14</f>
        <v>2068.2200000000003</v>
      </c>
      <c r="H149" s="22">
        <f>2996.86-54.7-35.94-38.14</f>
        <v>2868.0800000000004</v>
      </c>
      <c r="I149" s="15" t="s">
        <v>47</v>
      </c>
      <c r="J149" s="16"/>
      <c r="K149" s="18">
        <v>1023.11824649209</v>
      </c>
      <c r="M149">
        <v>574.23272425249172</v>
      </c>
      <c r="N149">
        <v>-324.31727574750812</v>
      </c>
    </row>
    <row r="150" spans="1:14" ht="18" x14ac:dyDescent="0.35">
      <c r="A150" s="10">
        <v>44997</v>
      </c>
      <c r="B150" s="11" t="s">
        <v>200</v>
      </c>
      <c r="C150" s="11" t="s">
        <v>122</v>
      </c>
      <c r="D150" s="11" t="s">
        <v>9</v>
      </c>
      <c r="E150" s="12">
        <f t="shared" si="10"/>
        <v>799.86000000000013</v>
      </c>
      <c r="F150" s="13"/>
      <c r="G150" s="22">
        <f>2102-54.7+20-35.94+75-38.14</f>
        <v>2068.2200000000003</v>
      </c>
      <c r="H150" s="22">
        <f>2996.86-54.7-35.94-38.14</f>
        <v>2868.0800000000004</v>
      </c>
      <c r="I150" s="15" t="s">
        <v>47</v>
      </c>
      <c r="J150" s="16"/>
      <c r="K150" s="18">
        <v>1023.11824649209</v>
      </c>
      <c r="M150">
        <v>1996.2472757475084</v>
      </c>
      <c r="N150">
        <v>1971.2472757475084</v>
      </c>
    </row>
    <row r="151" spans="1:14" ht="18" x14ac:dyDescent="0.35">
      <c r="A151" s="10">
        <v>45028</v>
      </c>
      <c r="B151" s="11" t="s">
        <v>126</v>
      </c>
      <c r="C151" s="11" t="s">
        <v>122</v>
      </c>
      <c r="D151" s="11" t="s">
        <v>9</v>
      </c>
      <c r="E151" s="12">
        <f t="shared" si="10"/>
        <v>523.26700000000005</v>
      </c>
      <c r="F151" s="13"/>
      <c r="G151" s="22">
        <v>0</v>
      </c>
      <c r="H151" s="22">
        <v>523.26700000000005</v>
      </c>
      <c r="I151" s="15" t="s">
        <v>32</v>
      </c>
      <c r="J151" s="16"/>
      <c r="K151" s="18">
        <v>1009.47</v>
      </c>
      <c r="M151">
        <v>523.26700000000005</v>
      </c>
      <c r="N151">
        <v>523.26700000000005</v>
      </c>
    </row>
    <row r="152" spans="1:14" ht="18" x14ac:dyDescent="0.35">
      <c r="A152" s="19"/>
      <c r="B152" s="26" t="s">
        <v>27</v>
      </c>
      <c r="C152" s="11"/>
      <c r="D152" s="11"/>
      <c r="E152" s="20">
        <f>SUBTOTAL(9,E146:E151)</f>
        <v>2122.9870000000001</v>
      </c>
      <c r="F152" s="21">
        <f>E152</f>
        <v>2122.9870000000001</v>
      </c>
      <c r="G152" s="20">
        <f>SUBTOTAL(9,G146:G151)</f>
        <v>4436.41</v>
      </c>
      <c r="H152" s="20">
        <f>SUBTOTAL(9,H146:H151)</f>
        <v>6559.3970000000008</v>
      </c>
      <c r="I152" s="15"/>
      <c r="J152" s="16"/>
      <c r="K152" s="18"/>
    </row>
    <row r="153" spans="1:14" ht="18" x14ac:dyDescent="0.35">
      <c r="A153" s="19"/>
      <c r="B153" s="26"/>
      <c r="C153" s="11"/>
      <c r="D153" s="11"/>
      <c r="E153" s="13"/>
      <c r="F153" s="13"/>
      <c r="G153" s="13"/>
      <c r="H153" s="27"/>
      <c r="I153" s="15"/>
      <c r="J153" s="16"/>
      <c r="K153" s="18"/>
    </row>
    <row r="154" spans="1:14" ht="18" x14ac:dyDescent="0.35">
      <c r="A154" s="10">
        <v>44993</v>
      </c>
      <c r="B154" s="11" t="s">
        <v>129</v>
      </c>
      <c r="C154" s="31" t="s">
        <v>127</v>
      </c>
      <c r="D154" s="11" t="s">
        <v>9</v>
      </c>
      <c r="E154" s="12">
        <f t="shared" ref="E154:E161" si="11">H154-G154</f>
        <v>0</v>
      </c>
      <c r="F154" s="13"/>
      <c r="G154" s="22">
        <f>100.894-23.42-25.1-49.38</f>
        <v>2.9939999999999998</v>
      </c>
      <c r="H154" s="22">
        <f>100.894-23.42-25.1-49.38</f>
        <v>2.9939999999999998</v>
      </c>
      <c r="I154" s="15" t="s">
        <v>130</v>
      </c>
      <c r="J154" s="16"/>
      <c r="K154" s="18">
        <v>1007.5023796576164</v>
      </c>
      <c r="M154">
        <v>0.31000000000005912</v>
      </c>
      <c r="N154">
        <v>-91.759999999999991</v>
      </c>
    </row>
    <row r="155" spans="1:14" ht="18" x14ac:dyDescent="0.35">
      <c r="A155" s="10">
        <v>44997</v>
      </c>
      <c r="B155" s="11" t="s">
        <v>201</v>
      </c>
      <c r="C155" s="31" t="s">
        <v>127</v>
      </c>
      <c r="D155" s="11" t="s">
        <v>9</v>
      </c>
      <c r="E155" s="12">
        <f t="shared" si="11"/>
        <v>1057.0990000000002</v>
      </c>
      <c r="F155" s="13"/>
      <c r="G155" s="22">
        <f>1020-190.4-17.98-29.79+95-23.12-22.36+24-59.13</f>
        <v>796.22</v>
      </c>
      <c r="H155" s="22">
        <f>2196.099-190.4-17.98-29.79-23.12-22.36-59.13</f>
        <v>1853.3190000000002</v>
      </c>
      <c r="I155" s="15" t="s">
        <v>131</v>
      </c>
      <c r="J155" s="16"/>
      <c r="K155" s="18">
        <v>1067.6300000000001</v>
      </c>
      <c r="M155">
        <v>972.65697182713143</v>
      </c>
      <c r="N155">
        <v>791.95397182713145</v>
      </c>
    </row>
    <row r="156" spans="1:14" ht="18" x14ac:dyDescent="0.35">
      <c r="A156" s="10">
        <v>44997</v>
      </c>
      <c r="B156" s="11" t="s">
        <v>202</v>
      </c>
      <c r="C156" s="31" t="s">
        <v>127</v>
      </c>
      <c r="D156" s="11" t="s">
        <v>9</v>
      </c>
      <c r="E156" s="12">
        <f t="shared" si="11"/>
        <v>1057.0990000000002</v>
      </c>
      <c r="F156" s="13"/>
      <c r="G156" s="22">
        <f>1020-190.4-17.98-29.79+95-23.12-22.36+24-59.13</f>
        <v>796.22</v>
      </c>
      <c r="H156" s="22">
        <f>2196.099-190.4-17.98-29.79-23.12-22.36-59.13</f>
        <v>1853.3190000000002</v>
      </c>
      <c r="I156" s="15" t="s">
        <v>131</v>
      </c>
      <c r="J156" s="16"/>
      <c r="K156" s="18">
        <v>1067.6300000000001</v>
      </c>
      <c r="M156">
        <v>0</v>
      </c>
      <c r="N156">
        <v>-371.25699999999949</v>
      </c>
    </row>
    <row r="157" spans="1:14" ht="18" x14ac:dyDescent="0.35">
      <c r="A157" s="10">
        <v>45028</v>
      </c>
      <c r="B157" s="11" t="s">
        <v>132</v>
      </c>
      <c r="C157" s="31" t="s">
        <v>127</v>
      </c>
      <c r="D157" s="11" t="s">
        <v>9</v>
      </c>
      <c r="E157" s="12">
        <f t="shared" si="11"/>
        <v>1929.873</v>
      </c>
      <c r="F157" s="13"/>
      <c r="G157" s="22">
        <v>0</v>
      </c>
      <c r="H157" s="22">
        <v>1929.873</v>
      </c>
      <c r="I157" s="15" t="s">
        <v>133</v>
      </c>
      <c r="J157" s="16"/>
      <c r="K157" s="18">
        <v>1078.829999</v>
      </c>
      <c r="M157">
        <v>1922.2450000000001</v>
      </c>
      <c r="N157">
        <v>1922.2450000000001</v>
      </c>
    </row>
    <row r="158" spans="1:14" ht="18" x14ac:dyDescent="0.35">
      <c r="A158" s="10">
        <v>44927</v>
      </c>
      <c r="B158" s="11" t="s">
        <v>134</v>
      </c>
      <c r="C158" s="11" t="s">
        <v>128</v>
      </c>
      <c r="D158" s="11" t="s">
        <v>19</v>
      </c>
      <c r="E158" s="12">
        <f t="shared" si="11"/>
        <v>0</v>
      </c>
      <c r="F158" s="13"/>
      <c r="G158" s="22">
        <f>119.548-19.81</f>
        <v>99.738</v>
      </c>
      <c r="H158" s="22">
        <f>119.548-19.81</f>
        <v>99.738</v>
      </c>
      <c r="I158" s="15" t="s">
        <v>26</v>
      </c>
      <c r="J158" s="16"/>
      <c r="K158" s="18">
        <v>1044.5195774148788</v>
      </c>
      <c r="M158">
        <v>80.158999999999878</v>
      </c>
      <c r="N158">
        <v>-0.32100000000014006</v>
      </c>
    </row>
    <row r="159" spans="1:14" ht="18" x14ac:dyDescent="0.35">
      <c r="A159" s="10">
        <v>45007</v>
      </c>
      <c r="B159" s="11" t="s">
        <v>203</v>
      </c>
      <c r="C159" s="11" t="s">
        <v>128</v>
      </c>
      <c r="D159" s="11" t="s">
        <v>19</v>
      </c>
      <c r="E159" s="12">
        <f t="shared" si="11"/>
        <v>60</v>
      </c>
      <c r="F159" s="13"/>
      <c r="G159" s="22">
        <f>758.638-60-91.54-9.61</f>
        <v>597.48800000000006</v>
      </c>
      <c r="H159" s="22">
        <f>758.638-91.54-9.61</f>
        <v>657.48800000000006</v>
      </c>
      <c r="I159" s="15" t="s">
        <v>26</v>
      </c>
      <c r="J159" s="16"/>
      <c r="K159" s="18">
        <v>1045</v>
      </c>
      <c r="M159">
        <v>477.12800000000004</v>
      </c>
      <c r="N159">
        <v>225.99800000000005</v>
      </c>
    </row>
    <row r="160" spans="1:14" ht="18" x14ac:dyDescent="0.35">
      <c r="A160" s="10">
        <v>44959</v>
      </c>
      <c r="B160" s="11" t="s">
        <v>135</v>
      </c>
      <c r="C160" s="31" t="s">
        <v>127</v>
      </c>
      <c r="D160" s="11" t="s">
        <v>136</v>
      </c>
      <c r="E160" s="28">
        <f t="shared" si="11"/>
        <v>-304.96100000000007</v>
      </c>
      <c r="F160" s="13"/>
      <c r="G160" s="22">
        <f>200+60+56-47.74+93-20.21+25+16-23.45</f>
        <v>358.6</v>
      </c>
      <c r="H160" s="22">
        <f>145.039-47.74-20.21-23.45</f>
        <v>53.638999999999967</v>
      </c>
      <c r="I160" s="15"/>
      <c r="J160" s="16"/>
      <c r="K160" s="18"/>
    </row>
    <row r="161" spans="1:14" ht="18" x14ac:dyDescent="0.35">
      <c r="A161" s="10">
        <v>45050</v>
      </c>
      <c r="B161" s="11" t="s">
        <v>221</v>
      </c>
      <c r="C161" s="11" t="s">
        <v>128</v>
      </c>
      <c r="D161" s="11" t="s">
        <v>136</v>
      </c>
      <c r="E161" s="28">
        <f t="shared" si="11"/>
        <v>-304.96100000000007</v>
      </c>
      <c r="F161" s="13"/>
      <c r="G161" s="22">
        <f>200+60+56-47.74+93-20.21+25+16-23.45</f>
        <v>358.6</v>
      </c>
      <c r="H161" s="22">
        <f>145.039-47.74-20.21-23.45</f>
        <v>53.638999999999967</v>
      </c>
      <c r="I161" s="15" t="s">
        <v>136</v>
      </c>
      <c r="J161" s="16"/>
      <c r="K161" s="18"/>
    </row>
    <row r="162" spans="1:14" ht="18" x14ac:dyDescent="0.35">
      <c r="A162" s="19"/>
      <c r="B162" s="26" t="s">
        <v>27</v>
      </c>
      <c r="C162" s="11"/>
      <c r="D162" s="11"/>
      <c r="E162" s="20">
        <f>SUBTOTAL(9,E154:E161)</f>
        <v>3494.1489999999994</v>
      </c>
      <c r="F162" s="21">
        <f>E162</f>
        <v>3494.1489999999994</v>
      </c>
      <c r="G162" s="20">
        <f>SUBTOTAL(9,G154:G161)</f>
        <v>3009.86</v>
      </c>
      <c r="H162" s="20">
        <f>SUBTOTAL(9,H154:H161)</f>
        <v>6504.0090000000018</v>
      </c>
      <c r="I162" s="15"/>
      <c r="J162" s="16"/>
      <c r="K162" s="18"/>
    </row>
    <row r="163" spans="1:14" ht="18" x14ac:dyDescent="0.35">
      <c r="A163" s="19"/>
      <c r="B163" s="26"/>
      <c r="C163" s="11"/>
      <c r="D163" s="11"/>
      <c r="E163" s="13"/>
      <c r="F163" s="21"/>
      <c r="G163" s="20"/>
      <c r="H163" s="20"/>
      <c r="I163" s="15"/>
      <c r="J163" s="16"/>
      <c r="K163" s="18"/>
    </row>
    <row r="164" spans="1:14" ht="18" x14ac:dyDescent="0.35">
      <c r="A164" s="10">
        <v>44903</v>
      </c>
      <c r="B164" s="11" t="s">
        <v>137</v>
      </c>
      <c r="C164" s="11" t="s">
        <v>138</v>
      </c>
      <c r="D164" s="11" t="s">
        <v>13</v>
      </c>
      <c r="E164" s="12">
        <f t="shared" ref="E164:E166" si="12">H164-G164</f>
        <v>317.96299999999991</v>
      </c>
      <c r="F164" s="21"/>
      <c r="G164" s="22">
        <f>242-16.87+17-20.85+21+118-16.83+40-40.85</f>
        <v>342.59999999999997</v>
      </c>
      <c r="H164" s="22">
        <f>755.963-16.87-20.85-16.83-40.85</f>
        <v>660.56299999999987</v>
      </c>
      <c r="I164" s="15" t="s">
        <v>21</v>
      </c>
      <c r="J164" s="16"/>
      <c r="K164" s="18">
        <v>1270</v>
      </c>
      <c r="M164">
        <v>426.04600000000005</v>
      </c>
      <c r="N164">
        <v>257.9129999999999</v>
      </c>
    </row>
    <row r="165" spans="1:14" s="52" customFormat="1" ht="18" x14ac:dyDescent="0.35">
      <c r="A165" s="45">
        <v>44958</v>
      </c>
      <c r="B165" s="31" t="s">
        <v>139</v>
      </c>
      <c r="C165" s="31" t="s">
        <v>138</v>
      </c>
      <c r="D165" s="31" t="s">
        <v>13</v>
      </c>
      <c r="E165" s="46">
        <f t="shared" si="12"/>
        <v>914.00199999999995</v>
      </c>
      <c r="F165" s="53"/>
      <c r="G165" s="48">
        <v>0</v>
      </c>
      <c r="H165" s="48">
        <v>914.00199999999995</v>
      </c>
      <c r="I165" s="49" t="s">
        <v>21</v>
      </c>
      <c r="J165" s="50"/>
      <c r="K165" s="51">
        <v>1135.2007723642</v>
      </c>
      <c r="M165" s="52">
        <v>914.00200000000007</v>
      </c>
      <c r="N165" s="52">
        <v>914.00199999999995</v>
      </c>
    </row>
    <row r="166" spans="1:14" ht="18" x14ac:dyDescent="0.35">
      <c r="A166" s="10">
        <v>44878</v>
      </c>
      <c r="B166" s="11" t="s">
        <v>140</v>
      </c>
      <c r="C166" s="11" t="s">
        <v>138</v>
      </c>
      <c r="D166" s="11" t="s">
        <v>19</v>
      </c>
      <c r="E166" s="12">
        <f t="shared" si="12"/>
        <v>0</v>
      </c>
      <c r="F166" s="21"/>
      <c r="G166" s="22">
        <f>54.361-15.55-20.1-16.33</f>
        <v>2.3809999999999931</v>
      </c>
      <c r="H166" s="22">
        <f>54.361-15.55-20.1-16.33</f>
        <v>2.3809999999999931</v>
      </c>
      <c r="I166" s="15" t="s">
        <v>26</v>
      </c>
      <c r="J166" s="16"/>
      <c r="K166" s="18">
        <v>1312.2284725536992</v>
      </c>
      <c r="M166">
        <v>1.0370000000004893</v>
      </c>
      <c r="N166">
        <v>1.0369999999998072</v>
      </c>
    </row>
    <row r="167" spans="1:14" ht="18" x14ac:dyDescent="0.35">
      <c r="A167" s="10"/>
      <c r="B167" s="26" t="s">
        <v>27</v>
      </c>
      <c r="C167" s="11"/>
      <c r="D167" s="11"/>
      <c r="E167" s="20">
        <f>SUBTOTAL(9,E164:E166)</f>
        <v>1231.9649999999999</v>
      </c>
      <c r="F167" s="21">
        <f>E167</f>
        <v>1231.9649999999999</v>
      </c>
      <c r="G167" s="20">
        <f>SUBTOTAL(9,G164:G166)</f>
        <v>344.98099999999994</v>
      </c>
      <c r="H167" s="20">
        <f>SUBTOTAL(9,H164:H166)</f>
        <v>1576.9459999999999</v>
      </c>
      <c r="I167" s="15"/>
      <c r="J167" s="16"/>
      <c r="K167" s="18"/>
    </row>
    <row r="168" spans="1:14" ht="18" x14ac:dyDescent="0.35">
      <c r="A168" s="19"/>
      <c r="B168" s="26"/>
      <c r="C168" s="11"/>
      <c r="D168" s="11"/>
      <c r="E168" s="13"/>
      <c r="F168" s="21"/>
      <c r="G168" s="20"/>
      <c r="H168" s="20"/>
      <c r="I168" s="15"/>
      <c r="J168" s="16"/>
      <c r="K168" s="18"/>
    </row>
    <row r="169" spans="1:14" ht="18" x14ac:dyDescent="0.35">
      <c r="A169" s="10">
        <v>44915</v>
      </c>
      <c r="B169" s="11" t="s">
        <v>204</v>
      </c>
      <c r="C169" s="11" t="s">
        <v>141</v>
      </c>
      <c r="D169" s="11" t="s">
        <v>9</v>
      </c>
      <c r="E169" s="12">
        <f t="shared" ref="E169:E175" si="13">H169-G169</f>
        <v>67.872</v>
      </c>
      <c r="F169" s="21"/>
      <c r="G169" s="22">
        <v>18.63</v>
      </c>
      <c r="H169" s="22">
        <v>86.501999999999995</v>
      </c>
      <c r="I169" s="15" t="s">
        <v>142</v>
      </c>
      <c r="J169" s="16"/>
      <c r="K169" s="18">
        <v>1245</v>
      </c>
      <c r="M169">
        <v>68.72400000000016</v>
      </c>
      <c r="N169">
        <v>67.052999999999884</v>
      </c>
    </row>
    <row r="170" spans="1:14" ht="18" x14ac:dyDescent="0.35">
      <c r="A170" s="10">
        <v>44915</v>
      </c>
      <c r="B170" s="11" t="s">
        <v>205</v>
      </c>
      <c r="C170" s="11" t="s">
        <v>141</v>
      </c>
      <c r="D170" s="11" t="s">
        <v>9</v>
      </c>
      <c r="E170" s="12">
        <f t="shared" si="13"/>
        <v>67.872</v>
      </c>
      <c r="F170" s="21"/>
      <c r="G170" s="22">
        <v>18.63</v>
      </c>
      <c r="H170" s="22">
        <v>86.501999999999995</v>
      </c>
      <c r="I170" s="15" t="s">
        <v>142</v>
      </c>
      <c r="J170" s="16"/>
      <c r="K170" s="18">
        <v>1245</v>
      </c>
      <c r="M170">
        <v>0</v>
      </c>
      <c r="N170">
        <v>-0.47900000000002585</v>
      </c>
    </row>
    <row r="171" spans="1:14" ht="18" x14ac:dyDescent="0.35">
      <c r="A171" s="10">
        <v>44915</v>
      </c>
      <c r="B171" s="11" t="s">
        <v>206</v>
      </c>
      <c r="C171" s="11" t="s">
        <v>141</v>
      </c>
      <c r="D171" s="11" t="s">
        <v>9</v>
      </c>
      <c r="E171" s="12">
        <f t="shared" si="13"/>
        <v>67.872</v>
      </c>
      <c r="F171" s="21"/>
      <c r="G171" s="22">
        <v>18.63</v>
      </c>
      <c r="H171" s="22">
        <v>86.501999999999995</v>
      </c>
      <c r="I171" s="15" t="s">
        <v>142</v>
      </c>
      <c r="J171" s="16"/>
      <c r="K171" s="18">
        <v>1245</v>
      </c>
      <c r="M171">
        <v>18.629999999999768</v>
      </c>
      <c r="N171">
        <v>0</v>
      </c>
    </row>
    <row r="172" spans="1:14" s="52" customFormat="1" ht="18" x14ac:dyDescent="0.35">
      <c r="A172" s="45">
        <v>44942</v>
      </c>
      <c r="B172" s="31" t="s">
        <v>143</v>
      </c>
      <c r="C172" s="31" t="s">
        <v>141</v>
      </c>
      <c r="D172" s="31" t="s">
        <v>9</v>
      </c>
      <c r="E172" s="46">
        <f t="shared" si="13"/>
        <v>4.202000000000055</v>
      </c>
      <c r="F172" s="53"/>
      <c r="G172" s="48">
        <v>52.787999999999982</v>
      </c>
      <c r="H172" s="48">
        <v>56.990000000000038</v>
      </c>
      <c r="I172" s="49" t="s">
        <v>142</v>
      </c>
      <c r="J172" s="32" t="s">
        <v>144</v>
      </c>
      <c r="K172" s="51"/>
      <c r="M172" s="52" t="e">
        <v>#N/A</v>
      </c>
      <c r="N172" s="52" t="e">
        <v>#N/A</v>
      </c>
    </row>
    <row r="173" spans="1:14" ht="18" x14ac:dyDescent="0.35">
      <c r="A173" s="10">
        <v>44999</v>
      </c>
      <c r="B173" s="11" t="s">
        <v>207</v>
      </c>
      <c r="C173" s="11" t="s">
        <v>141</v>
      </c>
      <c r="D173" s="11" t="s">
        <v>9</v>
      </c>
      <c r="E173" s="12">
        <f t="shared" si="13"/>
        <v>219.6690000000001</v>
      </c>
      <c r="F173" s="21"/>
      <c r="G173" s="22">
        <f>940-99.72-27.22-23.15-40.42</f>
        <v>749.49</v>
      </c>
      <c r="H173" s="22">
        <f>1159.669-99.72-27.22-23.15-40.42</f>
        <v>969.15900000000011</v>
      </c>
      <c r="I173" s="15" t="s">
        <v>142</v>
      </c>
      <c r="J173" s="16"/>
      <c r="K173" s="18">
        <v>1245</v>
      </c>
      <c r="M173">
        <v>467.59799999999996</v>
      </c>
      <c r="N173">
        <v>92.080999999999847</v>
      </c>
    </row>
    <row r="174" spans="1:14" ht="18" x14ac:dyDescent="0.35">
      <c r="A174" s="10">
        <v>44999</v>
      </c>
      <c r="B174" s="11" t="s">
        <v>208</v>
      </c>
      <c r="C174" s="11" t="s">
        <v>141</v>
      </c>
      <c r="D174" s="11" t="s">
        <v>9</v>
      </c>
      <c r="E174" s="12">
        <f t="shared" si="13"/>
        <v>219.6690000000001</v>
      </c>
      <c r="F174" s="21"/>
      <c r="G174" s="22">
        <f>940-99.72-27.22-23.15-40.42</f>
        <v>749.49</v>
      </c>
      <c r="H174" s="22">
        <f>1159.669-99.72-27.22-23.15-40.42</f>
        <v>969.15900000000011</v>
      </c>
      <c r="I174" s="15" t="s">
        <v>142</v>
      </c>
      <c r="J174" s="16"/>
      <c r="K174" s="18">
        <v>1245</v>
      </c>
      <c r="M174">
        <v>-5.1999999999907232E-2</v>
      </c>
      <c r="N174">
        <v>28.408000000000015</v>
      </c>
    </row>
    <row r="175" spans="1:14" ht="18" x14ac:dyDescent="0.35">
      <c r="A175" s="10">
        <v>44999</v>
      </c>
      <c r="B175" s="11" t="s">
        <v>209</v>
      </c>
      <c r="C175" s="11" t="s">
        <v>141</v>
      </c>
      <c r="D175" s="11" t="s">
        <v>9</v>
      </c>
      <c r="E175" s="12">
        <f t="shared" si="13"/>
        <v>219.6690000000001</v>
      </c>
      <c r="F175" s="21"/>
      <c r="G175" s="22">
        <f>940-99.72-27.22-23.15-40.42</f>
        <v>749.49</v>
      </c>
      <c r="H175" s="22">
        <f>1159.669-99.72-27.22-23.15-40.42</f>
        <v>969.15900000000011</v>
      </c>
      <c r="I175" s="15" t="s">
        <v>142</v>
      </c>
      <c r="J175" s="16"/>
      <c r="K175" s="18">
        <v>1245</v>
      </c>
      <c r="M175">
        <v>151.065</v>
      </c>
      <c r="N175">
        <v>114.565</v>
      </c>
    </row>
    <row r="176" spans="1:14" ht="18" x14ac:dyDescent="0.35">
      <c r="A176" s="10"/>
      <c r="B176" s="26" t="s">
        <v>27</v>
      </c>
      <c r="C176" s="11"/>
      <c r="D176" s="11"/>
      <c r="E176" s="20">
        <f>SUBTOTAL(9,E169:E175)</f>
        <v>866.82500000000027</v>
      </c>
      <c r="F176" s="21">
        <f>E176</f>
        <v>866.82500000000027</v>
      </c>
      <c r="G176" s="20">
        <f>SUBTOTAL(9,G169:G175)</f>
        <v>2357.1480000000001</v>
      </c>
      <c r="H176" s="20">
        <f>SUBTOTAL(9,H169:H175)</f>
        <v>3223.9730000000004</v>
      </c>
      <c r="I176" s="15"/>
      <c r="J176" s="16"/>
      <c r="K176" s="18"/>
    </row>
    <row r="177" spans="1:14" ht="18" x14ac:dyDescent="0.35">
      <c r="A177" s="10"/>
      <c r="B177" s="11"/>
      <c r="C177" s="11"/>
      <c r="D177" s="11"/>
      <c r="E177" s="12"/>
      <c r="F177" s="21"/>
      <c r="G177" s="20"/>
      <c r="H177" s="20"/>
      <c r="I177" s="15"/>
      <c r="J177" s="16"/>
      <c r="K177" s="18"/>
    </row>
    <row r="178" spans="1:14" ht="18" x14ac:dyDescent="0.35">
      <c r="A178" s="10">
        <v>44964</v>
      </c>
      <c r="B178" s="11" t="s">
        <v>145</v>
      </c>
      <c r="C178" s="11" t="s">
        <v>146</v>
      </c>
      <c r="D178" s="11" t="s">
        <v>9</v>
      </c>
      <c r="E178" s="12">
        <f>H178-G178</f>
        <v>0</v>
      </c>
      <c r="F178" s="21"/>
      <c r="G178" s="22">
        <f>70.707-15.16</f>
        <v>55.546999999999997</v>
      </c>
      <c r="H178" s="22">
        <f>70.707-15.16</f>
        <v>55.546999999999997</v>
      </c>
      <c r="I178" s="15" t="s">
        <v>47</v>
      </c>
      <c r="J178" s="16"/>
      <c r="K178" s="18">
        <v>1045</v>
      </c>
      <c r="M178">
        <v>26.400000000000006</v>
      </c>
      <c r="N178">
        <v>0.45300000000000296</v>
      </c>
    </row>
    <row r="179" spans="1:14" ht="18" x14ac:dyDescent="0.35">
      <c r="A179" s="10">
        <v>44978</v>
      </c>
      <c r="B179" s="11" t="s">
        <v>210</v>
      </c>
      <c r="C179" s="11" t="s">
        <v>146</v>
      </c>
      <c r="D179" s="11" t="s">
        <v>9</v>
      </c>
      <c r="E179" s="12">
        <f>H179-G179</f>
        <v>803.851</v>
      </c>
      <c r="F179" s="21"/>
      <c r="G179" s="22">
        <f>105-10.51+60-30.61</f>
        <v>123.88000000000001</v>
      </c>
      <c r="H179" s="22">
        <f>998.821-29.97-10.51-30.61</f>
        <v>927.73099999999999</v>
      </c>
      <c r="I179" s="15" t="s">
        <v>47</v>
      </c>
      <c r="J179" s="16"/>
      <c r="K179" s="18">
        <v>1120</v>
      </c>
      <c r="M179">
        <v>811.04100000000005</v>
      </c>
      <c r="N179">
        <v>779.49800000000005</v>
      </c>
    </row>
    <row r="180" spans="1:14" ht="18" x14ac:dyDescent="0.35">
      <c r="A180" s="10">
        <v>45018</v>
      </c>
      <c r="B180" s="11" t="s">
        <v>147</v>
      </c>
      <c r="C180" s="11" t="s">
        <v>146</v>
      </c>
      <c r="D180" s="11" t="s">
        <v>9</v>
      </c>
      <c r="E180" s="12">
        <f>H180-G180</f>
        <v>521.01599999999996</v>
      </c>
      <c r="F180" s="21"/>
      <c r="G180" s="22">
        <v>0</v>
      </c>
      <c r="H180" s="22">
        <v>521.01599999999996</v>
      </c>
      <c r="I180" s="15" t="s">
        <v>47</v>
      </c>
      <c r="J180" s="16"/>
      <c r="K180" s="18">
        <v>1050</v>
      </c>
      <c r="M180">
        <v>521.01599999999996</v>
      </c>
      <c r="N180">
        <v>400.93599999999998</v>
      </c>
    </row>
    <row r="181" spans="1:14" ht="18" x14ac:dyDescent="0.35">
      <c r="A181" s="10">
        <v>44905</v>
      </c>
      <c r="B181" s="11" t="s">
        <v>148</v>
      </c>
      <c r="C181" s="11" t="s">
        <v>146</v>
      </c>
      <c r="D181" s="11" t="s">
        <v>13</v>
      </c>
      <c r="E181" s="12">
        <f>H181-G181</f>
        <v>92.98599999999999</v>
      </c>
      <c r="F181" s="21"/>
      <c r="G181" s="22">
        <v>46</v>
      </c>
      <c r="H181" s="22">
        <v>138.98599999999999</v>
      </c>
      <c r="I181" s="15" t="s">
        <v>21</v>
      </c>
      <c r="J181" s="16"/>
      <c r="K181" s="18">
        <v>1100</v>
      </c>
      <c r="M181">
        <v>68.516000000000076</v>
      </c>
      <c r="N181">
        <v>24.933999999999969</v>
      </c>
    </row>
    <row r="182" spans="1:14" ht="18" x14ac:dyDescent="0.35">
      <c r="A182" s="10"/>
      <c r="B182" s="26" t="s">
        <v>27</v>
      </c>
      <c r="C182" s="11"/>
      <c r="D182" s="11"/>
      <c r="E182" s="20">
        <f>SUBTOTAL(9,E178:E181)</f>
        <v>1417.8530000000001</v>
      </c>
      <c r="F182" s="21">
        <f>E182</f>
        <v>1417.8530000000001</v>
      </c>
      <c r="G182" s="20">
        <f>SUBTOTAL(9,G178:G181)</f>
        <v>225.42700000000002</v>
      </c>
      <c r="H182" s="20">
        <f>SUBTOTAL(9,H178:H181)</f>
        <v>1643.2799999999997</v>
      </c>
      <c r="I182" s="15"/>
      <c r="J182" s="16"/>
      <c r="K182" s="18"/>
    </row>
    <row r="183" spans="1:14" ht="18" x14ac:dyDescent="0.35">
      <c r="A183" s="19"/>
      <c r="B183" s="11"/>
      <c r="C183" s="11"/>
      <c r="D183" s="11"/>
      <c r="E183" s="13"/>
      <c r="F183" s="13"/>
      <c r="G183" s="20"/>
      <c r="H183" s="20"/>
      <c r="I183" s="15"/>
      <c r="J183" s="16"/>
      <c r="K183" s="18"/>
    </row>
    <row r="184" spans="1:14" ht="18" x14ac:dyDescent="0.35">
      <c r="A184" s="10">
        <v>44876</v>
      </c>
      <c r="B184" s="11" t="s">
        <v>211</v>
      </c>
      <c r="C184" s="11" t="s">
        <v>149</v>
      </c>
      <c r="D184" s="11" t="s">
        <v>13</v>
      </c>
      <c r="E184" s="12">
        <f>H184-G184</f>
        <v>0</v>
      </c>
      <c r="F184" s="20"/>
      <c r="G184" s="22">
        <f>180.331-25.13-20.14-25.14-30.09-24.68</f>
        <v>55.150999999999975</v>
      </c>
      <c r="H184" s="22">
        <v>55.151000000000003</v>
      </c>
      <c r="I184" s="15" t="s">
        <v>21</v>
      </c>
      <c r="J184" s="16"/>
      <c r="K184" s="18">
        <v>350</v>
      </c>
      <c r="M184">
        <v>30.807999999999083</v>
      </c>
      <c r="N184">
        <v>20.647999999999456</v>
      </c>
    </row>
    <row r="185" spans="1:14" ht="18" x14ac:dyDescent="0.35">
      <c r="A185" s="10">
        <v>44995</v>
      </c>
      <c r="B185" s="11" t="s">
        <v>212</v>
      </c>
      <c r="C185" s="11" t="s">
        <v>149</v>
      </c>
      <c r="D185" s="11" t="s">
        <v>13</v>
      </c>
      <c r="E185" s="12">
        <f>H185-G185</f>
        <v>112.69600000000003</v>
      </c>
      <c r="F185" s="20"/>
      <c r="G185" s="22">
        <f>626.889+25-30.02+25-24.94-100-30.01+25</f>
        <v>516.91899999999998</v>
      </c>
      <c r="H185" s="22">
        <f>714.585-30.02-24.94-30.01</f>
        <v>629.61500000000001</v>
      </c>
      <c r="I185" s="15" t="s">
        <v>21</v>
      </c>
      <c r="J185" s="16"/>
      <c r="K185" s="18">
        <v>365</v>
      </c>
      <c r="M185">
        <v>573.64499999999998</v>
      </c>
      <c r="N185">
        <v>67.544999999999959</v>
      </c>
    </row>
    <row r="186" spans="1:14" ht="18" x14ac:dyDescent="0.35">
      <c r="A186" s="19"/>
      <c r="B186" s="26" t="s">
        <v>27</v>
      </c>
      <c r="C186" s="11"/>
      <c r="D186" s="11"/>
      <c r="E186" s="20">
        <f>SUBTOTAL(9,E184:E185)</f>
        <v>112.69600000000003</v>
      </c>
      <c r="F186" s="21">
        <f>E186</f>
        <v>112.69600000000003</v>
      </c>
      <c r="G186" s="20">
        <f>SUBTOTAL(9,G184:G185)</f>
        <v>572.06999999999994</v>
      </c>
      <c r="H186" s="20">
        <f>SUBTOTAL(9,H184:H185)</f>
        <v>684.76599999999996</v>
      </c>
      <c r="I186" s="15"/>
      <c r="J186" s="16"/>
      <c r="K186" s="18"/>
    </row>
    <row r="187" spans="1:14" ht="18" x14ac:dyDescent="0.35">
      <c r="A187" s="19"/>
      <c r="B187" s="26"/>
      <c r="C187" s="11"/>
      <c r="D187" s="11"/>
      <c r="E187" s="13"/>
      <c r="F187" s="21"/>
      <c r="G187" s="20"/>
      <c r="H187" s="20"/>
      <c r="I187" s="15"/>
      <c r="J187" s="16"/>
      <c r="K187" s="18"/>
    </row>
    <row r="188" spans="1:14" ht="18" x14ac:dyDescent="0.35">
      <c r="A188" s="10">
        <v>44968</v>
      </c>
      <c r="B188" s="11" t="s">
        <v>150</v>
      </c>
      <c r="C188" s="11" t="s">
        <v>151</v>
      </c>
      <c r="D188" s="11" t="s">
        <v>9</v>
      </c>
      <c r="E188" s="12">
        <f>H188-G188</f>
        <v>0</v>
      </c>
      <c r="F188" s="21"/>
      <c r="G188" s="22">
        <v>49.225000000000001</v>
      </c>
      <c r="H188" s="22">
        <v>49.225000000000001</v>
      </c>
      <c r="I188" s="15" t="s">
        <v>152</v>
      </c>
      <c r="J188" s="16"/>
      <c r="K188" s="18">
        <v>1050.893645464718</v>
      </c>
      <c r="M188">
        <v>1.376999999999839</v>
      </c>
      <c r="N188">
        <v>1.376999999999839</v>
      </c>
    </row>
    <row r="189" spans="1:14" ht="18" x14ac:dyDescent="0.35">
      <c r="A189" s="10">
        <v>44995</v>
      </c>
      <c r="B189" s="11" t="s">
        <v>153</v>
      </c>
      <c r="C189" s="11" t="s">
        <v>154</v>
      </c>
      <c r="D189" s="11" t="s">
        <v>9</v>
      </c>
      <c r="E189" s="12">
        <f>H189-G189</f>
        <v>275.28200000000004</v>
      </c>
      <c r="F189" s="21"/>
      <c r="G189" s="22">
        <f>94+25-25.3-49.52+50</f>
        <v>94.18</v>
      </c>
      <c r="H189" s="22">
        <f>469.872-25.59-25.3-49.52</f>
        <v>369.46200000000005</v>
      </c>
      <c r="I189" s="15" t="s">
        <v>152</v>
      </c>
      <c r="J189" s="16"/>
      <c r="K189" s="18">
        <v>1301.1066666436805</v>
      </c>
      <c r="M189">
        <v>341.02100000000002</v>
      </c>
      <c r="N189">
        <v>43.290999999999997</v>
      </c>
    </row>
    <row r="190" spans="1:14" ht="18" x14ac:dyDescent="0.35">
      <c r="A190" s="10">
        <v>44995</v>
      </c>
      <c r="B190" s="11" t="s">
        <v>155</v>
      </c>
      <c r="C190" s="11" t="s">
        <v>156</v>
      </c>
      <c r="D190" s="11" t="s">
        <v>9</v>
      </c>
      <c r="E190" s="12">
        <f>H190-G190</f>
        <v>403.75799999999998</v>
      </c>
      <c r="F190" s="21"/>
      <c r="G190" s="22">
        <f>47-23.54+25</f>
        <v>48.46</v>
      </c>
      <c r="H190" s="22">
        <f>475.758-23.54</f>
        <v>452.21799999999996</v>
      </c>
      <c r="I190" s="15" t="s">
        <v>152</v>
      </c>
      <c r="J190" s="16"/>
      <c r="K190" s="18">
        <v>1281.0868769669034</v>
      </c>
      <c r="M190">
        <v>352.00400000000002</v>
      </c>
      <c r="N190">
        <v>277.22399999999999</v>
      </c>
    </row>
    <row r="191" spans="1:14" ht="18" x14ac:dyDescent="0.35">
      <c r="A191" s="19"/>
      <c r="B191" s="26" t="s">
        <v>27</v>
      </c>
      <c r="C191" s="11"/>
      <c r="D191" s="11"/>
      <c r="E191" s="20">
        <f>SUBTOTAL(9,E188:E190)</f>
        <v>679.04</v>
      </c>
      <c r="F191" s="21">
        <f>E191</f>
        <v>679.04</v>
      </c>
      <c r="G191" s="20">
        <f>SUBTOTAL(9,G188:G190)</f>
        <v>191.86500000000001</v>
      </c>
      <c r="H191" s="20">
        <f>SUBTOTAL(9,H188:H190)</f>
        <v>870.90499999999997</v>
      </c>
      <c r="I191" s="15"/>
      <c r="J191" s="16"/>
      <c r="K191" s="18"/>
    </row>
    <row r="192" spans="1:14" ht="18" x14ac:dyDescent="0.35">
      <c r="A192" s="19"/>
      <c r="B192" s="26"/>
      <c r="C192" s="11"/>
      <c r="D192" s="11"/>
      <c r="E192" s="20"/>
      <c r="F192" s="21"/>
      <c r="G192" s="20"/>
      <c r="H192" s="20"/>
      <c r="I192" s="15"/>
      <c r="J192" s="16"/>
      <c r="K192" s="18"/>
    </row>
    <row r="193" spans="1:16375" ht="18" x14ac:dyDescent="0.35">
      <c r="A193" s="10">
        <v>45044</v>
      </c>
      <c r="B193" s="11" t="s">
        <v>157</v>
      </c>
      <c r="C193" s="11" t="s">
        <v>158</v>
      </c>
      <c r="D193" s="11" t="s">
        <v>9</v>
      </c>
      <c r="E193" s="12">
        <f>H193-G193</f>
        <v>959.30799999999999</v>
      </c>
      <c r="F193" s="21"/>
      <c r="G193" s="22">
        <v>60</v>
      </c>
      <c r="H193" s="22">
        <v>1019.308</v>
      </c>
      <c r="I193" s="15" t="s">
        <v>29</v>
      </c>
      <c r="J193" s="16"/>
      <c r="K193" s="18"/>
      <c r="M193">
        <v>1019.308</v>
      </c>
      <c r="N193">
        <v>839.30799999999999</v>
      </c>
    </row>
    <row r="194" spans="1:16375" ht="18" x14ac:dyDescent="0.35">
      <c r="A194" s="10"/>
      <c r="B194" s="13" t="s">
        <v>27</v>
      </c>
      <c r="C194" s="12"/>
      <c r="D194" s="12"/>
      <c r="E194" s="20">
        <f>SUBTOTAL(9,E193:E193)</f>
        <v>959.30799999999999</v>
      </c>
      <c r="F194" s="21">
        <f>E194</f>
        <v>959.30799999999999</v>
      </c>
      <c r="G194" s="20">
        <f>SUBTOTAL(9,G193:G193)</f>
        <v>60</v>
      </c>
      <c r="H194" s="20">
        <f>SUBTOTAL(9,H193:H193)</f>
        <v>1019.308</v>
      </c>
      <c r="I194" s="15"/>
      <c r="J194" s="16"/>
      <c r="K194" s="18"/>
    </row>
    <row r="195" spans="1:16375" ht="18" x14ac:dyDescent="0.35">
      <c r="A195" s="19"/>
      <c r="B195" s="26"/>
      <c r="C195" s="11"/>
      <c r="D195" s="11"/>
      <c r="E195" s="13"/>
      <c r="F195" s="13"/>
      <c r="G195" s="20"/>
      <c r="H195" s="20"/>
      <c r="I195" s="33"/>
      <c r="J195" s="34"/>
      <c r="K195" s="18"/>
    </row>
    <row r="196" spans="1:16375" s="52" customFormat="1" ht="18" x14ac:dyDescent="0.35">
      <c r="A196" s="45">
        <v>44936</v>
      </c>
      <c r="B196" s="31" t="s">
        <v>160</v>
      </c>
      <c r="C196" s="31" t="s">
        <v>159</v>
      </c>
      <c r="D196" s="31" t="s">
        <v>9</v>
      </c>
      <c r="E196" s="46">
        <f t="shared" ref="E196:E203" si="14">H196-G196</f>
        <v>0</v>
      </c>
      <c r="F196" s="54"/>
      <c r="G196" s="48">
        <f>30.29-29.76</f>
        <v>0.52999999999999758</v>
      </c>
      <c r="H196" s="48">
        <f>30.29-29.76</f>
        <v>0.52999999999999758</v>
      </c>
      <c r="I196" s="49" t="s">
        <v>47</v>
      </c>
      <c r="J196" s="25" t="s">
        <v>41</v>
      </c>
      <c r="K196" s="51"/>
      <c r="M196" s="52" t="e">
        <v>#N/A</v>
      </c>
      <c r="N196" s="52" t="e">
        <v>#N/A</v>
      </c>
    </row>
    <row r="197" spans="1:16375" s="52" customFormat="1" ht="18" x14ac:dyDescent="0.35">
      <c r="A197" s="45">
        <v>44976</v>
      </c>
      <c r="B197" s="31" t="s">
        <v>161</v>
      </c>
      <c r="C197" s="31" t="s">
        <v>159</v>
      </c>
      <c r="D197" s="31" t="s">
        <v>9</v>
      </c>
      <c r="E197" s="46">
        <f t="shared" si="14"/>
        <v>5</v>
      </c>
      <c r="F197" s="54"/>
      <c r="G197" s="48">
        <v>41.087000000003172</v>
      </c>
      <c r="H197" s="48">
        <v>46.087000000003172</v>
      </c>
      <c r="I197" s="49" t="s">
        <v>109</v>
      </c>
      <c r="J197" s="25" t="s">
        <v>41</v>
      </c>
      <c r="K197" s="51"/>
      <c r="M197" s="52" t="e">
        <v>#N/A</v>
      </c>
      <c r="N197" s="52" t="e">
        <v>#N/A</v>
      </c>
    </row>
    <row r="198" spans="1:16375" ht="18" x14ac:dyDescent="0.35">
      <c r="A198" s="10">
        <v>44976</v>
      </c>
      <c r="B198" s="11" t="s">
        <v>162</v>
      </c>
      <c r="C198" s="11" t="s">
        <v>159</v>
      </c>
      <c r="D198" s="11" t="s">
        <v>9</v>
      </c>
      <c r="E198" s="12">
        <f t="shared" si="14"/>
        <v>0</v>
      </c>
      <c r="F198" s="13"/>
      <c r="G198" s="22">
        <f>1200+110-348.94-104.83-24.3-51.67-137.87-160+200-51.04-15.04+210-208.42+85-37.24-89.4-50.72+121.417-69.78-44.36-82.86-52.14-40.94-18.24-18.74-15.68-18.8-19.08-37.96</f>
        <v>228.3670000000001</v>
      </c>
      <c r="H198" s="22">
        <f>1200+110-348.94-104.83-24.3-51.67-137.87-160+200-51.04-15.04+210-208.42+85-37.24-89.4-50.72+121.417-69.78-44.36-82.86-52.14-40.94-18.24-18.74-15.68-18.8-19.08-37.96</f>
        <v>228.3670000000001</v>
      </c>
      <c r="I198" s="15" t="s">
        <v>54</v>
      </c>
      <c r="J198" s="16"/>
      <c r="K198" s="18">
        <v>333.51277565329275</v>
      </c>
      <c r="M198">
        <v>97.381999999996879</v>
      </c>
      <c r="N198">
        <v>10.821999999999207</v>
      </c>
    </row>
    <row r="199" spans="1:16375" ht="18" x14ac:dyDescent="0.35">
      <c r="A199" s="10">
        <v>44918</v>
      </c>
      <c r="B199" s="11" t="s">
        <v>163</v>
      </c>
      <c r="C199" s="11" t="s">
        <v>159</v>
      </c>
      <c r="D199" s="11" t="s">
        <v>13</v>
      </c>
      <c r="E199" s="12">
        <f t="shared" si="14"/>
        <v>0</v>
      </c>
      <c r="F199" s="13"/>
      <c r="G199" s="22">
        <f>214.516-26.2-34.65-18.68-32.88-18.72-22.67</f>
        <v>60.715999999999994</v>
      </c>
      <c r="H199" s="22">
        <f>214.516-26.2-34.65-18.68-32.88-18.72-22.67</f>
        <v>60.715999999999994</v>
      </c>
      <c r="I199" s="15" t="s">
        <v>21</v>
      </c>
      <c r="J199" s="16"/>
      <c r="K199" s="18">
        <v>295</v>
      </c>
      <c r="M199">
        <v>22.642000000000735</v>
      </c>
      <c r="N199">
        <v>1.6320000000005166</v>
      </c>
    </row>
    <row r="200" spans="1:16375" ht="18" x14ac:dyDescent="0.35">
      <c r="A200" s="10">
        <v>44979</v>
      </c>
      <c r="B200" s="11" t="s">
        <v>164</v>
      </c>
      <c r="C200" s="11" t="s">
        <v>159</v>
      </c>
      <c r="D200" s="11" t="s">
        <v>13</v>
      </c>
      <c r="E200" s="12">
        <f t="shared" si="14"/>
        <v>0</v>
      </c>
      <c r="F200" s="13"/>
      <c r="G200" s="22">
        <f>411.634-18.56-14.96</f>
        <v>378.11400000000003</v>
      </c>
      <c r="H200" s="22">
        <f>411.634-18.56-14.96</f>
        <v>378.11400000000003</v>
      </c>
      <c r="I200" s="15" t="s">
        <v>21</v>
      </c>
      <c r="J200" s="16"/>
      <c r="K200" s="18">
        <v>293.92349430406506</v>
      </c>
      <c r="M200">
        <v>136.7610000000077</v>
      </c>
      <c r="N200">
        <v>11.831000000000131</v>
      </c>
    </row>
    <row r="201" spans="1:16375" ht="18" x14ac:dyDescent="0.35">
      <c r="A201" s="10">
        <v>45037</v>
      </c>
      <c r="B201" s="11" t="s">
        <v>165</v>
      </c>
      <c r="C201" s="11" t="s">
        <v>159</v>
      </c>
      <c r="D201" s="11" t="s">
        <v>166</v>
      </c>
      <c r="E201" s="12">
        <f t="shared" si="14"/>
        <v>2077.5010000000007</v>
      </c>
      <c r="F201" s="13"/>
      <c r="G201" s="22">
        <f>650+710+245+100-202.155+100-190.545+400-89.33+200-94.87+195-183.15</f>
        <v>1839.9499999999998</v>
      </c>
      <c r="H201" s="22">
        <f>4677.501-202.155-190.545-89.33-94.87-183.15</f>
        <v>3917.4510000000005</v>
      </c>
      <c r="I201" s="15" t="s">
        <v>167</v>
      </c>
      <c r="J201" s="16"/>
      <c r="K201" s="18"/>
      <c r="M201">
        <v>2760.6290000000004</v>
      </c>
      <c r="N201">
        <v>1081.4140000000002</v>
      </c>
    </row>
    <row r="202" spans="1:16375" ht="18" x14ac:dyDescent="0.35">
      <c r="A202" s="10">
        <v>44860</v>
      </c>
      <c r="B202" s="11" t="s">
        <v>168</v>
      </c>
      <c r="C202" s="11" t="s">
        <v>159</v>
      </c>
      <c r="D202" s="11" t="s">
        <v>16</v>
      </c>
      <c r="E202" s="12">
        <f t="shared" si="14"/>
        <v>0</v>
      </c>
      <c r="F202" s="13"/>
      <c r="G202" s="22">
        <f>20.335-19.16</f>
        <v>1.1750000000000007</v>
      </c>
      <c r="H202" s="22">
        <f>20.335-19.16</f>
        <v>1.1750000000000007</v>
      </c>
      <c r="I202" s="15" t="s">
        <v>23</v>
      </c>
      <c r="J202" s="16"/>
      <c r="K202" s="18">
        <v>333.51277565329275</v>
      </c>
      <c r="M202">
        <v>2.0649999999995998</v>
      </c>
      <c r="N202">
        <v>1.7349999999996726</v>
      </c>
    </row>
    <row r="203" spans="1:16375" ht="18" x14ac:dyDescent="0.35">
      <c r="A203" s="10">
        <v>44892</v>
      </c>
      <c r="B203" s="11" t="s">
        <v>169</v>
      </c>
      <c r="C203" s="11" t="s">
        <v>159</v>
      </c>
      <c r="D203" s="11" t="s">
        <v>16</v>
      </c>
      <c r="E203" s="12">
        <f t="shared" si="14"/>
        <v>0</v>
      </c>
      <c r="F203" s="13"/>
      <c r="G203" s="22">
        <f>432.911-20.56-74.57-27.66-18.15-71.08-53.42-60.32-20.06-81.02</f>
        <v>6.0710000000000122</v>
      </c>
      <c r="H203" s="22">
        <f>432.911-20.56-74.57-27.66-18.15-71.08-53.42-60.32-20.06-81.02</f>
        <v>6.0710000000000122</v>
      </c>
      <c r="I203" s="15" t="s">
        <v>23</v>
      </c>
      <c r="J203" s="16"/>
      <c r="K203" s="18">
        <v>317.2534669805915</v>
      </c>
      <c r="M203">
        <v>7.0559999999977663</v>
      </c>
      <c r="N203">
        <v>6.365999999999076</v>
      </c>
    </row>
    <row r="204" spans="1:16375" ht="18" x14ac:dyDescent="0.35">
      <c r="A204" s="10">
        <v>44944</v>
      </c>
      <c r="B204" s="11" t="s">
        <v>170</v>
      </c>
      <c r="C204" s="11" t="s">
        <v>159</v>
      </c>
      <c r="D204" s="11" t="s">
        <v>16</v>
      </c>
      <c r="E204" s="28">
        <f>H204-G204</f>
        <v>-298.92699999999979</v>
      </c>
      <c r="F204" s="13"/>
      <c r="G204" s="22">
        <f>2350.47-192.04-38.17-180.06-140.48-178.74-67.7-87.34+25-18.65+50-114.79-70.12-47.11+15-106.31-19.72+17-63.92-94.32-68.92-52.62-63.86-46.38+25-40.24-39.8-48.24-44.3-37.46+25-41.06-94.55-21.81</f>
        <v>488.75999999999988</v>
      </c>
      <c r="H204" s="22">
        <f>2208.543-192.04-38.17-180.06-140.48-178.74-67.7-87.34-18.65-114.79-70.12-47.11-106.31-19.72-63.92-94.32-68.92-52.62-63.86-46.38-40.24-39.8-48.24-44.3-37.46-41.06-94.55-21.81</f>
        <v>189.83300000000008</v>
      </c>
      <c r="I204" s="15" t="s">
        <v>23</v>
      </c>
      <c r="J204" s="16"/>
      <c r="K204" s="18">
        <v>286.80857439643006</v>
      </c>
      <c r="M204">
        <v>117.62300000000505</v>
      </c>
      <c r="N204">
        <v>-154.41699999999946</v>
      </c>
    </row>
    <row r="205" spans="1:16375" ht="18.600000000000001" thickBot="1" x14ac:dyDescent="0.4">
      <c r="A205" s="19"/>
      <c r="B205" s="26" t="s">
        <v>27</v>
      </c>
      <c r="C205" s="11"/>
      <c r="D205" s="11"/>
      <c r="E205" s="20">
        <f>SUBTOTAL(9,E196:E204)</f>
        <v>1783.574000000001</v>
      </c>
      <c r="F205" s="21">
        <f>E205</f>
        <v>1783.574000000001</v>
      </c>
      <c r="G205" s="20">
        <f>SUBTOTAL(9,G196:G204)</f>
        <v>3044.7700000000027</v>
      </c>
      <c r="H205" s="20">
        <f>SUBTOTAL(9,H196:H204)</f>
        <v>4828.3440000000046</v>
      </c>
      <c r="I205" s="33"/>
      <c r="J205" s="34"/>
      <c r="K205" s="35">
        <v>340.29989425974929</v>
      </c>
    </row>
    <row r="206" spans="1:16375" ht="18.600000000000001" thickBot="1" x14ac:dyDescent="0.4">
      <c r="A206" s="36"/>
      <c r="B206" s="37" t="s">
        <v>171</v>
      </c>
      <c r="C206" s="38"/>
      <c r="D206" s="38"/>
      <c r="E206" s="39"/>
      <c r="F206" s="40">
        <f>SUM(F7:F205)</f>
        <v>40572.377</v>
      </c>
      <c r="G206" s="40">
        <f>G205+G186+G182+G176+G162+G152+G144+G139+G134+G129+G125+G121+G116+G101+G96+G90+G86+G83+G72+G69+G65+G57+G49+G37+G25+G20+G16+G167+G191+G194</f>
        <v>25202.556</v>
      </c>
      <c r="H206" s="40">
        <f>H205+H186+H182+H176+H162+H152+H144+H139+H134+H129+H125+H121+H116+H101+H96+H90+H86+H83+H72+H69+H65+H57+H49+H37+H25+H20+H16+H167+H191+H194</f>
        <v>65824.933000000019</v>
      </c>
      <c r="I206" s="41"/>
      <c r="J206" s="42"/>
      <c r="K206" s="43"/>
    </row>
    <row r="207" spans="1:16375" s="1" customFormat="1" x14ac:dyDescent="0.35">
      <c r="B207"/>
      <c r="C207"/>
      <c r="D207"/>
      <c r="F207" s="2"/>
      <c r="G207"/>
      <c r="H207" s="44"/>
      <c r="K207" s="3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  <c r="AMV207"/>
      <c r="AMW207"/>
      <c r="AMX207"/>
      <c r="AMY207"/>
      <c r="AMZ207"/>
      <c r="ANA207"/>
      <c r="ANB207"/>
      <c r="ANC207"/>
      <c r="AND207"/>
      <c r="ANE207"/>
      <c r="ANF207"/>
      <c r="ANG207"/>
      <c r="ANH207"/>
      <c r="ANI207"/>
      <c r="ANJ207"/>
      <c r="ANK207"/>
      <c r="ANL207"/>
      <c r="ANM207"/>
      <c r="ANN207"/>
      <c r="ANO207"/>
      <c r="ANP207"/>
      <c r="ANQ207"/>
      <c r="ANR207"/>
      <c r="ANS207"/>
      <c r="ANT207"/>
      <c r="ANU207"/>
      <c r="ANV207"/>
      <c r="ANW207"/>
      <c r="ANX207"/>
      <c r="ANY207"/>
      <c r="ANZ207"/>
      <c r="AOA207"/>
      <c r="AOB207"/>
      <c r="AOC207"/>
      <c r="AOD207"/>
      <c r="AOE207"/>
      <c r="AOF207"/>
      <c r="AOG207"/>
      <c r="AOH207"/>
      <c r="AOI207"/>
      <c r="AOJ207"/>
      <c r="AOK207"/>
      <c r="AOL207"/>
      <c r="AOM207"/>
      <c r="AON207"/>
      <c r="AOO207"/>
      <c r="AOP207"/>
      <c r="AOQ207"/>
      <c r="AOR207"/>
      <c r="AOS207"/>
      <c r="AOT207"/>
      <c r="AOU207"/>
      <c r="AOV207"/>
      <c r="AOW207"/>
      <c r="AOX207"/>
      <c r="AOY207"/>
      <c r="AOZ207"/>
      <c r="APA207"/>
      <c r="APB207"/>
      <c r="APC207"/>
      <c r="APD207"/>
      <c r="APE207"/>
      <c r="APF207"/>
      <c r="APG207"/>
      <c r="APH207"/>
      <c r="API207"/>
      <c r="APJ207"/>
      <c r="APK207"/>
      <c r="APL207"/>
      <c r="APM207"/>
      <c r="APN207"/>
      <c r="APO207"/>
      <c r="APP207"/>
      <c r="APQ207"/>
      <c r="APR207"/>
      <c r="APS207"/>
      <c r="APT207"/>
      <c r="APU207"/>
      <c r="APV207"/>
      <c r="APW207"/>
      <c r="APX207"/>
      <c r="APY207"/>
      <c r="APZ207"/>
      <c r="AQA207"/>
      <c r="AQB207"/>
      <c r="AQC207"/>
      <c r="AQD207"/>
      <c r="AQE207"/>
      <c r="AQF207"/>
      <c r="AQG207"/>
      <c r="AQH207"/>
      <c r="AQI207"/>
      <c r="AQJ207"/>
      <c r="AQK207"/>
      <c r="AQL207"/>
      <c r="AQM207"/>
      <c r="AQN207"/>
      <c r="AQO207"/>
      <c r="AQP207"/>
      <c r="AQQ207"/>
      <c r="AQR207"/>
      <c r="AQS207"/>
      <c r="AQT207"/>
      <c r="AQU207"/>
      <c r="AQV207"/>
      <c r="AQW207"/>
      <c r="AQX207"/>
      <c r="AQY207"/>
      <c r="AQZ207"/>
      <c r="ARA207"/>
      <c r="ARB207"/>
      <c r="ARC207"/>
      <c r="ARD207"/>
      <c r="ARE207"/>
      <c r="ARF207"/>
      <c r="ARG207"/>
      <c r="ARH207"/>
      <c r="ARI207"/>
      <c r="ARJ207"/>
      <c r="ARK207"/>
      <c r="ARL207"/>
      <c r="ARM207"/>
      <c r="ARN207"/>
      <c r="ARO207"/>
      <c r="ARP207"/>
      <c r="ARQ207"/>
      <c r="ARR207"/>
      <c r="ARS207"/>
      <c r="ART207"/>
      <c r="ARU207"/>
      <c r="ARV207"/>
      <c r="ARW207"/>
      <c r="ARX207"/>
      <c r="ARY207"/>
      <c r="ARZ207"/>
      <c r="ASA207"/>
      <c r="ASB207"/>
      <c r="ASC207"/>
      <c r="ASD207"/>
      <c r="ASE207"/>
      <c r="ASF207"/>
      <c r="ASG207"/>
      <c r="ASH207"/>
      <c r="ASI207"/>
      <c r="ASJ207"/>
      <c r="ASK207"/>
      <c r="ASL207"/>
      <c r="ASM207"/>
      <c r="ASN207"/>
      <c r="ASO207"/>
      <c r="ASP207"/>
      <c r="ASQ207"/>
      <c r="ASR207"/>
      <c r="ASS207"/>
      <c r="AST207"/>
      <c r="ASU207"/>
      <c r="ASV207"/>
      <c r="ASW207"/>
      <c r="ASX207"/>
      <c r="ASY207"/>
      <c r="ASZ207"/>
      <c r="ATA207"/>
      <c r="ATB207"/>
      <c r="ATC207"/>
      <c r="ATD207"/>
      <c r="ATE207"/>
      <c r="ATF207"/>
      <c r="ATG207"/>
      <c r="ATH207"/>
      <c r="ATI207"/>
      <c r="ATJ207"/>
      <c r="ATK207"/>
      <c r="ATL207"/>
      <c r="ATM207"/>
      <c r="ATN207"/>
      <c r="ATO207"/>
      <c r="ATP207"/>
      <c r="ATQ207"/>
      <c r="ATR207"/>
      <c r="ATS207"/>
      <c r="ATT207"/>
      <c r="ATU207"/>
      <c r="ATV207"/>
      <c r="ATW207"/>
      <c r="ATX207"/>
      <c r="ATY207"/>
      <c r="ATZ207"/>
      <c r="AUA207"/>
      <c r="AUB207"/>
      <c r="AUC207"/>
      <c r="AUD207"/>
      <c r="AUE207"/>
      <c r="AUF207"/>
      <c r="AUG207"/>
      <c r="AUH207"/>
      <c r="AUI207"/>
      <c r="AUJ207"/>
      <c r="AUK207"/>
      <c r="AUL207"/>
      <c r="AUM207"/>
      <c r="AUN207"/>
      <c r="AUO207"/>
      <c r="AUP207"/>
      <c r="AUQ207"/>
      <c r="AUR207"/>
      <c r="AUS207"/>
      <c r="AUT207"/>
      <c r="AUU207"/>
      <c r="AUV207"/>
      <c r="AUW207"/>
      <c r="AUX207"/>
      <c r="AUY207"/>
      <c r="AUZ207"/>
      <c r="AVA207"/>
      <c r="AVB207"/>
      <c r="AVC207"/>
      <c r="AVD207"/>
      <c r="AVE207"/>
      <c r="AVF207"/>
      <c r="AVG207"/>
      <c r="AVH207"/>
      <c r="AVI207"/>
      <c r="AVJ207"/>
      <c r="AVK207"/>
      <c r="AVL207"/>
      <c r="AVM207"/>
      <c r="AVN207"/>
      <c r="AVO207"/>
      <c r="AVP207"/>
      <c r="AVQ207"/>
      <c r="AVR207"/>
      <c r="AVS207"/>
      <c r="AVT207"/>
      <c r="AVU207"/>
      <c r="AVV207"/>
      <c r="AVW207"/>
      <c r="AVX207"/>
      <c r="AVY207"/>
      <c r="AVZ207"/>
      <c r="AWA207"/>
      <c r="AWB207"/>
      <c r="AWC207"/>
      <c r="AWD207"/>
      <c r="AWE207"/>
      <c r="AWF207"/>
      <c r="AWG207"/>
      <c r="AWH207"/>
      <c r="AWI207"/>
      <c r="AWJ207"/>
      <c r="AWK207"/>
      <c r="AWL207"/>
      <c r="AWM207"/>
      <c r="AWN207"/>
      <c r="AWO207"/>
      <c r="AWP207"/>
      <c r="AWQ207"/>
      <c r="AWR207"/>
      <c r="AWS207"/>
      <c r="AWT207"/>
      <c r="AWU207"/>
      <c r="AWV207"/>
      <c r="AWW207"/>
      <c r="AWX207"/>
      <c r="AWY207"/>
      <c r="AWZ207"/>
      <c r="AXA207"/>
      <c r="AXB207"/>
      <c r="AXC207"/>
      <c r="AXD207"/>
      <c r="AXE207"/>
      <c r="AXF207"/>
      <c r="AXG207"/>
      <c r="AXH207"/>
      <c r="AXI207"/>
      <c r="AXJ207"/>
      <c r="AXK207"/>
      <c r="AXL207"/>
      <c r="AXM207"/>
      <c r="AXN207"/>
      <c r="AXO207"/>
      <c r="AXP207"/>
      <c r="AXQ207"/>
      <c r="AXR207"/>
      <c r="AXS207"/>
      <c r="AXT207"/>
      <c r="AXU207"/>
      <c r="AXV207"/>
      <c r="AXW207"/>
      <c r="AXX207"/>
      <c r="AXY207"/>
      <c r="AXZ207"/>
      <c r="AYA207"/>
      <c r="AYB207"/>
      <c r="AYC207"/>
      <c r="AYD207"/>
      <c r="AYE207"/>
      <c r="AYF207"/>
      <c r="AYG207"/>
      <c r="AYH207"/>
      <c r="AYI207"/>
      <c r="AYJ207"/>
      <c r="AYK207"/>
      <c r="AYL207"/>
      <c r="AYM207"/>
      <c r="AYN207"/>
      <c r="AYO207"/>
      <c r="AYP207"/>
      <c r="AYQ207"/>
      <c r="AYR207"/>
      <c r="AYS207"/>
      <c r="AYT207"/>
      <c r="AYU207"/>
      <c r="AYV207"/>
      <c r="AYW207"/>
      <c r="AYX207"/>
      <c r="AYY207"/>
      <c r="AYZ207"/>
      <c r="AZA207"/>
      <c r="AZB207"/>
      <c r="AZC207"/>
      <c r="AZD207"/>
      <c r="AZE207"/>
      <c r="AZF207"/>
      <c r="AZG207"/>
      <c r="AZH207"/>
      <c r="AZI207"/>
      <c r="AZJ207"/>
      <c r="AZK207"/>
      <c r="AZL207"/>
      <c r="AZM207"/>
      <c r="AZN207"/>
      <c r="AZO207"/>
      <c r="AZP207"/>
      <c r="AZQ207"/>
      <c r="AZR207"/>
      <c r="AZS207"/>
      <c r="AZT207"/>
      <c r="AZU207"/>
      <c r="AZV207"/>
      <c r="AZW207"/>
      <c r="AZX207"/>
      <c r="AZY207"/>
      <c r="AZZ207"/>
      <c r="BAA207"/>
      <c r="BAB207"/>
      <c r="BAC207"/>
      <c r="BAD207"/>
      <c r="BAE207"/>
      <c r="BAF207"/>
      <c r="BAG207"/>
      <c r="BAH207"/>
      <c r="BAI207"/>
      <c r="BAJ207"/>
      <c r="BAK207"/>
      <c r="BAL207"/>
      <c r="BAM207"/>
      <c r="BAN207"/>
      <c r="BAO207"/>
      <c r="BAP207"/>
      <c r="BAQ207"/>
      <c r="BAR207"/>
      <c r="BAS207"/>
      <c r="BAT207"/>
      <c r="BAU207"/>
      <c r="BAV207"/>
      <c r="BAW207"/>
      <c r="BAX207"/>
      <c r="BAY207"/>
      <c r="BAZ207"/>
      <c r="BBA207"/>
      <c r="BBB207"/>
      <c r="BBC207"/>
      <c r="BBD207"/>
      <c r="BBE207"/>
      <c r="BBF207"/>
      <c r="BBG207"/>
      <c r="BBH207"/>
      <c r="BBI207"/>
      <c r="BBJ207"/>
      <c r="BBK207"/>
      <c r="BBL207"/>
      <c r="BBM207"/>
      <c r="BBN207"/>
      <c r="BBO207"/>
      <c r="BBP207"/>
      <c r="BBQ207"/>
      <c r="BBR207"/>
      <c r="BBS207"/>
      <c r="BBT207"/>
      <c r="BBU207"/>
      <c r="BBV207"/>
      <c r="BBW207"/>
      <c r="BBX207"/>
      <c r="BBY207"/>
      <c r="BBZ207"/>
      <c r="BCA207"/>
      <c r="BCB207"/>
      <c r="BCC207"/>
      <c r="BCD207"/>
      <c r="BCE207"/>
      <c r="BCF207"/>
      <c r="BCG207"/>
      <c r="BCH207"/>
      <c r="BCI207"/>
      <c r="BCJ207"/>
      <c r="BCK207"/>
      <c r="BCL207"/>
      <c r="BCM207"/>
      <c r="BCN207"/>
      <c r="BCO207"/>
      <c r="BCP207"/>
      <c r="BCQ207"/>
      <c r="BCR207"/>
      <c r="BCS207"/>
      <c r="BCT207"/>
      <c r="BCU207"/>
      <c r="BCV207"/>
      <c r="BCW207"/>
      <c r="BCX207"/>
      <c r="BCY207"/>
      <c r="BCZ207"/>
      <c r="BDA207"/>
      <c r="BDB207"/>
      <c r="BDC207"/>
      <c r="BDD207"/>
      <c r="BDE207"/>
      <c r="BDF207"/>
      <c r="BDG207"/>
      <c r="BDH207"/>
      <c r="BDI207"/>
      <c r="BDJ207"/>
      <c r="BDK207"/>
      <c r="BDL207"/>
      <c r="BDM207"/>
      <c r="BDN207"/>
      <c r="BDO207"/>
      <c r="BDP207"/>
      <c r="BDQ207"/>
      <c r="BDR207"/>
      <c r="BDS207"/>
      <c r="BDT207"/>
      <c r="BDU207"/>
      <c r="BDV207"/>
      <c r="BDW207"/>
      <c r="BDX207"/>
      <c r="BDY207"/>
      <c r="BDZ207"/>
      <c r="BEA207"/>
      <c r="BEB207"/>
      <c r="BEC207"/>
      <c r="BED207"/>
      <c r="BEE207"/>
      <c r="BEF207"/>
      <c r="BEG207"/>
      <c r="BEH207"/>
      <c r="BEI207"/>
      <c r="BEJ207"/>
      <c r="BEK207"/>
      <c r="BEL207"/>
      <c r="BEM207"/>
      <c r="BEN207"/>
      <c r="BEO207"/>
      <c r="BEP207"/>
      <c r="BEQ207"/>
      <c r="BER207"/>
      <c r="BES207"/>
      <c r="BET207"/>
      <c r="BEU207"/>
      <c r="BEV207"/>
      <c r="BEW207"/>
      <c r="BEX207"/>
      <c r="BEY207"/>
      <c r="BEZ207"/>
      <c r="BFA207"/>
      <c r="BFB207"/>
      <c r="BFC207"/>
      <c r="BFD207"/>
      <c r="BFE207"/>
      <c r="BFF207"/>
      <c r="BFG207"/>
      <c r="BFH207"/>
      <c r="BFI207"/>
      <c r="BFJ207"/>
      <c r="BFK207"/>
      <c r="BFL207"/>
      <c r="BFM207"/>
      <c r="BFN207"/>
      <c r="BFO207"/>
      <c r="BFP207"/>
      <c r="BFQ207"/>
      <c r="BFR207"/>
      <c r="BFS207"/>
      <c r="BFT207"/>
      <c r="BFU207"/>
      <c r="BFV207"/>
      <c r="BFW207"/>
      <c r="BFX207"/>
      <c r="BFY207"/>
      <c r="BFZ207"/>
      <c r="BGA207"/>
      <c r="BGB207"/>
      <c r="BGC207"/>
      <c r="BGD207"/>
      <c r="BGE207"/>
      <c r="BGF207"/>
      <c r="BGG207"/>
      <c r="BGH207"/>
      <c r="BGI207"/>
      <c r="BGJ207"/>
      <c r="BGK207"/>
      <c r="BGL207"/>
      <c r="BGM207"/>
      <c r="BGN207"/>
      <c r="BGO207"/>
      <c r="BGP207"/>
      <c r="BGQ207"/>
      <c r="BGR207"/>
      <c r="BGS207"/>
      <c r="BGT207"/>
      <c r="BGU207"/>
      <c r="BGV207"/>
      <c r="BGW207"/>
      <c r="BGX207"/>
      <c r="BGY207"/>
      <c r="BGZ207"/>
      <c r="BHA207"/>
      <c r="BHB207"/>
      <c r="BHC207"/>
      <c r="BHD207"/>
      <c r="BHE207"/>
      <c r="BHF207"/>
      <c r="BHG207"/>
      <c r="BHH207"/>
      <c r="BHI207"/>
      <c r="BHJ207"/>
      <c r="BHK207"/>
      <c r="BHL207"/>
      <c r="BHM207"/>
      <c r="BHN207"/>
      <c r="BHO207"/>
      <c r="BHP207"/>
      <c r="BHQ207"/>
      <c r="BHR207"/>
      <c r="BHS207"/>
      <c r="BHT207"/>
      <c r="BHU207"/>
      <c r="BHV207"/>
      <c r="BHW207"/>
      <c r="BHX207"/>
      <c r="BHY207"/>
      <c r="BHZ207"/>
      <c r="BIA207"/>
      <c r="BIB207"/>
      <c r="BIC207"/>
      <c r="BID207"/>
      <c r="BIE207"/>
      <c r="BIF207"/>
      <c r="BIG207"/>
      <c r="BIH207"/>
      <c r="BII207"/>
      <c r="BIJ207"/>
      <c r="BIK207"/>
      <c r="BIL207"/>
      <c r="BIM207"/>
      <c r="BIN207"/>
      <c r="BIO207"/>
      <c r="BIP207"/>
      <c r="BIQ207"/>
      <c r="BIR207"/>
      <c r="BIS207"/>
      <c r="BIT207"/>
      <c r="BIU207"/>
      <c r="BIV207"/>
      <c r="BIW207"/>
      <c r="BIX207"/>
      <c r="BIY207"/>
      <c r="BIZ207"/>
      <c r="BJA207"/>
      <c r="BJB207"/>
      <c r="BJC207"/>
      <c r="BJD207"/>
      <c r="BJE207"/>
      <c r="BJF207"/>
      <c r="BJG207"/>
      <c r="BJH207"/>
      <c r="BJI207"/>
      <c r="BJJ207"/>
      <c r="BJK207"/>
      <c r="BJL207"/>
      <c r="BJM207"/>
      <c r="BJN207"/>
      <c r="BJO207"/>
      <c r="BJP207"/>
      <c r="BJQ207"/>
      <c r="BJR207"/>
      <c r="BJS207"/>
      <c r="BJT207"/>
      <c r="BJU207"/>
      <c r="BJV207"/>
      <c r="BJW207"/>
      <c r="BJX207"/>
      <c r="BJY207"/>
      <c r="BJZ207"/>
      <c r="BKA207"/>
      <c r="BKB207"/>
      <c r="BKC207"/>
      <c r="BKD207"/>
      <c r="BKE207"/>
      <c r="BKF207"/>
      <c r="BKG207"/>
      <c r="BKH207"/>
      <c r="BKI207"/>
      <c r="BKJ207"/>
      <c r="BKK207"/>
      <c r="BKL207"/>
      <c r="BKM207"/>
      <c r="BKN207"/>
      <c r="BKO207"/>
      <c r="BKP207"/>
      <c r="BKQ207"/>
      <c r="BKR207"/>
      <c r="BKS207"/>
      <c r="BKT207"/>
      <c r="BKU207"/>
      <c r="BKV207"/>
      <c r="BKW207"/>
      <c r="BKX207"/>
      <c r="BKY207"/>
      <c r="BKZ207"/>
      <c r="BLA207"/>
      <c r="BLB207"/>
      <c r="BLC207"/>
      <c r="BLD207"/>
      <c r="BLE207"/>
      <c r="BLF207"/>
      <c r="BLG207"/>
      <c r="BLH207"/>
      <c r="BLI207"/>
      <c r="BLJ207"/>
      <c r="BLK207"/>
      <c r="BLL207"/>
      <c r="BLM207"/>
      <c r="BLN207"/>
      <c r="BLO207"/>
      <c r="BLP207"/>
      <c r="BLQ207"/>
      <c r="BLR207"/>
      <c r="BLS207"/>
      <c r="BLT207"/>
      <c r="BLU207"/>
      <c r="BLV207"/>
      <c r="BLW207"/>
      <c r="BLX207"/>
      <c r="BLY207"/>
      <c r="BLZ207"/>
      <c r="BMA207"/>
      <c r="BMB207"/>
      <c r="BMC207"/>
      <c r="BMD207"/>
      <c r="BME207"/>
      <c r="BMF207"/>
      <c r="BMG207"/>
      <c r="BMH207"/>
      <c r="BMI207"/>
      <c r="BMJ207"/>
      <c r="BMK207"/>
      <c r="BML207"/>
      <c r="BMM207"/>
      <c r="BMN207"/>
      <c r="BMO207"/>
      <c r="BMP207"/>
      <c r="BMQ207"/>
      <c r="BMR207"/>
      <c r="BMS207"/>
      <c r="BMT207"/>
      <c r="BMU207"/>
      <c r="BMV207"/>
      <c r="BMW207"/>
      <c r="BMX207"/>
      <c r="BMY207"/>
      <c r="BMZ207"/>
      <c r="BNA207"/>
      <c r="BNB207"/>
      <c r="BNC207"/>
      <c r="BND207"/>
      <c r="BNE207"/>
      <c r="BNF207"/>
      <c r="BNG207"/>
      <c r="BNH207"/>
      <c r="BNI207"/>
      <c r="BNJ207"/>
      <c r="BNK207"/>
      <c r="BNL207"/>
      <c r="BNM207"/>
      <c r="BNN207"/>
      <c r="BNO207"/>
      <c r="BNP207"/>
      <c r="BNQ207"/>
      <c r="BNR207"/>
      <c r="BNS207"/>
      <c r="BNT207"/>
      <c r="BNU207"/>
      <c r="BNV207"/>
      <c r="BNW207"/>
      <c r="BNX207"/>
      <c r="BNY207"/>
      <c r="BNZ207"/>
      <c r="BOA207"/>
      <c r="BOB207"/>
      <c r="BOC207"/>
      <c r="BOD207"/>
      <c r="BOE207"/>
      <c r="BOF207"/>
      <c r="BOG207"/>
      <c r="BOH207"/>
      <c r="BOI207"/>
      <c r="BOJ207"/>
      <c r="BOK207"/>
      <c r="BOL207"/>
      <c r="BOM207"/>
      <c r="BON207"/>
      <c r="BOO207"/>
      <c r="BOP207"/>
      <c r="BOQ207"/>
      <c r="BOR207"/>
      <c r="BOS207"/>
      <c r="BOT207"/>
      <c r="BOU207"/>
      <c r="BOV207"/>
      <c r="BOW207"/>
      <c r="BOX207"/>
      <c r="BOY207"/>
      <c r="BOZ207"/>
      <c r="BPA207"/>
      <c r="BPB207"/>
      <c r="BPC207"/>
      <c r="BPD207"/>
      <c r="BPE207"/>
      <c r="BPF207"/>
      <c r="BPG207"/>
      <c r="BPH207"/>
      <c r="BPI207"/>
      <c r="BPJ207"/>
      <c r="BPK207"/>
      <c r="BPL207"/>
      <c r="BPM207"/>
      <c r="BPN207"/>
      <c r="BPO207"/>
      <c r="BPP207"/>
      <c r="BPQ207"/>
      <c r="BPR207"/>
      <c r="BPS207"/>
      <c r="BPT207"/>
      <c r="BPU207"/>
      <c r="BPV207"/>
      <c r="BPW207"/>
      <c r="BPX207"/>
      <c r="BPY207"/>
      <c r="BPZ207"/>
      <c r="BQA207"/>
      <c r="BQB207"/>
      <c r="BQC207"/>
      <c r="BQD207"/>
      <c r="BQE207"/>
      <c r="BQF207"/>
      <c r="BQG207"/>
      <c r="BQH207"/>
      <c r="BQI207"/>
      <c r="BQJ207"/>
      <c r="BQK207"/>
      <c r="BQL207"/>
      <c r="BQM207"/>
      <c r="BQN207"/>
      <c r="BQO207"/>
      <c r="BQP207"/>
      <c r="BQQ207"/>
      <c r="BQR207"/>
      <c r="BQS207"/>
      <c r="BQT207"/>
      <c r="BQU207"/>
      <c r="BQV207"/>
      <c r="BQW207"/>
      <c r="BQX207"/>
      <c r="BQY207"/>
      <c r="BQZ207"/>
      <c r="BRA207"/>
      <c r="BRB207"/>
      <c r="BRC207"/>
      <c r="BRD207"/>
      <c r="BRE207"/>
      <c r="BRF207"/>
      <c r="BRG207"/>
      <c r="BRH207"/>
      <c r="BRI207"/>
      <c r="BRJ207"/>
      <c r="BRK207"/>
      <c r="BRL207"/>
      <c r="BRM207"/>
      <c r="BRN207"/>
      <c r="BRO207"/>
      <c r="BRP207"/>
      <c r="BRQ207"/>
      <c r="BRR207"/>
      <c r="BRS207"/>
      <c r="BRT207"/>
      <c r="BRU207"/>
      <c r="BRV207"/>
      <c r="BRW207"/>
      <c r="BRX207"/>
      <c r="BRY207"/>
      <c r="BRZ207"/>
      <c r="BSA207"/>
      <c r="BSB207"/>
      <c r="BSC207"/>
      <c r="BSD207"/>
      <c r="BSE207"/>
      <c r="BSF207"/>
      <c r="BSG207"/>
      <c r="BSH207"/>
      <c r="BSI207"/>
      <c r="BSJ207"/>
      <c r="BSK207"/>
      <c r="BSL207"/>
      <c r="BSM207"/>
      <c r="BSN207"/>
      <c r="BSO207"/>
      <c r="BSP207"/>
      <c r="BSQ207"/>
      <c r="BSR207"/>
      <c r="BSS207"/>
      <c r="BST207"/>
      <c r="BSU207"/>
      <c r="BSV207"/>
      <c r="BSW207"/>
      <c r="BSX207"/>
      <c r="BSY207"/>
      <c r="BSZ207"/>
      <c r="BTA207"/>
      <c r="BTB207"/>
      <c r="BTC207"/>
      <c r="BTD207"/>
      <c r="BTE207"/>
      <c r="BTF207"/>
      <c r="BTG207"/>
      <c r="BTH207"/>
      <c r="BTI207"/>
      <c r="BTJ207"/>
      <c r="BTK207"/>
      <c r="BTL207"/>
      <c r="BTM207"/>
      <c r="BTN207"/>
      <c r="BTO207"/>
      <c r="BTP207"/>
      <c r="BTQ207"/>
      <c r="BTR207"/>
      <c r="BTS207"/>
      <c r="BTT207"/>
      <c r="BTU207"/>
      <c r="BTV207"/>
      <c r="BTW207"/>
      <c r="BTX207"/>
      <c r="BTY207"/>
      <c r="BTZ207"/>
      <c r="BUA207"/>
      <c r="BUB207"/>
      <c r="BUC207"/>
      <c r="BUD207"/>
      <c r="BUE207"/>
      <c r="BUF207"/>
      <c r="BUG207"/>
      <c r="BUH207"/>
      <c r="BUI207"/>
      <c r="BUJ207"/>
      <c r="BUK207"/>
      <c r="BUL207"/>
      <c r="BUM207"/>
      <c r="BUN207"/>
      <c r="BUO207"/>
      <c r="BUP207"/>
      <c r="BUQ207"/>
      <c r="BUR207"/>
      <c r="BUS207"/>
      <c r="BUT207"/>
      <c r="BUU207"/>
      <c r="BUV207"/>
      <c r="BUW207"/>
      <c r="BUX207"/>
      <c r="BUY207"/>
      <c r="BUZ207"/>
      <c r="BVA207"/>
      <c r="BVB207"/>
      <c r="BVC207"/>
      <c r="BVD207"/>
      <c r="BVE207"/>
      <c r="BVF207"/>
      <c r="BVG207"/>
      <c r="BVH207"/>
      <c r="BVI207"/>
      <c r="BVJ207"/>
      <c r="BVK207"/>
      <c r="BVL207"/>
      <c r="BVM207"/>
      <c r="BVN207"/>
      <c r="BVO207"/>
      <c r="BVP207"/>
      <c r="BVQ207"/>
      <c r="BVR207"/>
      <c r="BVS207"/>
      <c r="BVT207"/>
      <c r="BVU207"/>
      <c r="BVV207"/>
      <c r="BVW207"/>
      <c r="BVX207"/>
      <c r="BVY207"/>
      <c r="BVZ207"/>
      <c r="BWA207"/>
      <c r="BWB207"/>
      <c r="BWC207"/>
      <c r="BWD207"/>
      <c r="BWE207"/>
      <c r="BWF207"/>
      <c r="BWG207"/>
      <c r="BWH207"/>
      <c r="BWI207"/>
      <c r="BWJ207"/>
      <c r="BWK207"/>
      <c r="BWL207"/>
      <c r="BWM207"/>
      <c r="BWN207"/>
      <c r="BWO207"/>
      <c r="BWP207"/>
      <c r="BWQ207"/>
      <c r="BWR207"/>
      <c r="BWS207"/>
      <c r="BWT207"/>
      <c r="BWU207"/>
      <c r="BWV207"/>
      <c r="BWW207"/>
      <c r="BWX207"/>
      <c r="BWY207"/>
      <c r="BWZ207"/>
      <c r="BXA207"/>
      <c r="BXB207"/>
      <c r="BXC207"/>
      <c r="BXD207"/>
      <c r="BXE207"/>
      <c r="BXF207"/>
      <c r="BXG207"/>
      <c r="BXH207"/>
      <c r="BXI207"/>
      <c r="BXJ207"/>
      <c r="BXK207"/>
      <c r="BXL207"/>
      <c r="BXM207"/>
      <c r="BXN207"/>
      <c r="BXO207"/>
      <c r="BXP207"/>
      <c r="BXQ207"/>
      <c r="BXR207"/>
      <c r="BXS207"/>
      <c r="BXT207"/>
      <c r="BXU207"/>
      <c r="BXV207"/>
      <c r="BXW207"/>
      <c r="BXX207"/>
      <c r="BXY207"/>
      <c r="BXZ207"/>
      <c r="BYA207"/>
      <c r="BYB207"/>
      <c r="BYC207"/>
      <c r="BYD207"/>
      <c r="BYE207"/>
      <c r="BYF207"/>
      <c r="BYG207"/>
      <c r="BYH207"/>
      <c r="BYI207"/>
      <c r="BYJ207"/>
      <c r="BYK207"/>
      <c r="BYL207"/>
      <c r="BYM207"/>
      <c r="BYN207"/>
      <c r="BYO207"/>
      <c r="BYP207"/>
      <c r="BYQ207"/>
      <c r="BYR207"/>
      <c r="BYS207"/>
      <c r="BYT207"/>
      <c r="BYU207"/>
      <c r="BYV207"/>
      <c r="BYW207"/>
      <c r="BYX207"/>
      <c r="BYY207"/>
      <c r="BYZ207"/>
      <c r="BZA207"/>
      <c r="BZB207"/>
      <c r="BZC207"/>
      <c r="BZD207"/>
      <c r="BZE207"/>
      <c r="BZF207"/>
      <c r="BZG207"/>
      <c r="BZH207"/>
      <c r="BZI207"/>
      <c r="BZJ207"/>
      <c r="BZK207"/>
      <c r="BZL207"/>
      <c r="BZM207"/>
      <c r="BZN207"/>
      <c r="BZO207"/>
      <c r="BZP207"/>
      <c r="BZQ207"/>
      <c r="BZR207"/>
      <c r="BZS207"/>
      <c r="BZT207"/>
      <c r="BZU207"/>
      <c r="BZV207"/>
      <c r="BZW207"/>
      <c r="BZX207"/>
      <c r="BZY207"/>
      <c r="BZZ207"/>
      <c r="CAA207"/>
      <c r="CAB207"/>
      <c r="CAC207"/>
      <c r="CAD207"/>
      <c r="CAE207"/>
      <c r="CAF207"/>
      <c r="CAG207"/>
      <c r="CAH207"/>
      <c r="CAI207"/>
      <c r="CAJ207"/>
      <c r="CAK207"/>
      <c r="CAL207"/>
      <c r="CAM207"/>
      <c r="CAN207"/>
      <c r="CAO207"/>
      <c r="CAP207"/>
      <c r="CAQ207"/>
      <c r="CAR207"/>
      <c r="CAS207"/>
      <c r="CAT207"/>
      <c r="CAU207"/>
      <c r="CAV207"/>
      <c r="CAW207"/>
      <c r="CAX207"/>
      <c r="CAY207"/>
      <c r="CAZ207"/>
      <c r="CBA207"/>
      <c r="CBB207"/>
      <c r="CBC207"/>
      <c r="CBD207"/>
      <c r="CBE207"/>
      <c r="CBF207"/>
      <c r="CBG207"/>
      <c r="CBH207"/>
      <c r="CBI207"/>
      <c r="CBJ207"/>
      <c r="CBK207"/>
      <c r="CBL207"/>
      <c r="CBM207"/>
      <c r="CBN207"/>
      <c r="CBO207"/>
      <c r="CBP207"/>
      <c r="CBQ207"/>
      <c r="CBR207"/>
      <c r="CBS207"/>
      <c r="CBT207"/>
      <c r="CBU207"/>
      <c r="CBV207"/>
      <c r="CBW207"/>
      <c r="CBX207"/>
      <c r="CBY207"/>
      <c r="CBZ207"/>
      <c r="CCA207"/>
      <c r="CCB207"/>
      <c r="CCC207"/>
      <c r="CCD207"/>
      <c r="CCE207"/>
      <c r="CCF207"/>
      <c r="CCG207"/>
      <c r="CCH207"/>
      <c r="CCI207"/>
      <c r="CCJ207"/>
      <c r="CCK207"/>
      <c r="CCL207"/>
      <c r="CCM207"/>
      <c r="CCN207"/>
      <c r="CCO207"/>
      <c r="CCP207"/>
      <c r="CCQ207"/>
      <c r="CCR207"/>
      <c r="CCS207"/>
      <c r="CCT207"/>
      <c r="CCU207"/>
      <c r="CCV207"/>
      <c r="CCW207"/>
      <c r="CCX207"/>
      <c r="CCY207"/>
      <c r="CCZ207"/>
      <c r="CDA207"/>
      <c r="CDB207"/>
      <c r="CDC207"/>
      <c r="CDD207"/>
      <c r="CDE207"/>
      <c r="CDF207"/>
      <c r="CDG207"/>
      <c r="CDH207"/>
      <c r="CDI207"/>
      <c r="CDJ207"/>
      <c r="CDK207"/>
      <c r="CDL207"/>
      <c r="CDM207"/>
      <c r="CDN207"/>
      <c r="CDO207"/>
      <c r="CDP207"/>
      <c r="CDQ207"/>
      <c r="CDR207"/>
      <c r="CDS207"/>
      <c r="CDT207"/>
      <c r="CDU207"/>
      <c r="CDV207"/>
      <c r="CDW207"/>
      <c r="CDX207"/>
      <c r="CDY207"/>
      <c r="CDZ207"/>
      <c r="CEA207"/>
      <c r="CEB207"/>
      <c r="CEC207"/>
      <c r="CED207"/>
      <c r="CEE207"/>
      <c r="CEF207"/>
      <c r="CEG207"/>
      <c r="CEH207"/>
      <c r="CEI207"/>
      <c r="CEJ207"/>
      <c r="CEK207"/>
      <c r="CEL207"/>
      <c r="CEM207"/>
      <c r="CEN207"/>
      <c r="CEO207"/>
      <c r="CEP207"/>
      <c r="CEQ207"/>
      <c r="CER207"/>
      <c r="CES207"/>
      <c r="CET207"/>
      <c r="CEU207"/>
      <c r="CEV207"/>
      <c r="CEW207"/>
      <c r="CEX207"/>
      <c r="CEY207"/>
      <c r="CEZ207"/>
      <c r="CFA207"/>
      <c r="CFB207"/>
      <c r="CFC207"/>
      <c r="CFD207"/>
      <c r="CFE207"/>
      <c r="CFF207"/>
      <c r="CFG207"/>
      <c r="CFH207"/>
      <c r="CFI207"/>
      <c r="CFJ207"/>
      <c r="CFK207"/>
      <c r="CFL207"/>
      <c r="CFM207"/>
      <c r="CFN207"/>
      <c r="CFO207"/>
      <c r="CFP207"/>
      <c r="CFQ207"/>
      <c r="CFR207"/>
      <c r="CFS207"/>
      <c r="CFT207"/>
      <c r="CFU207"/>
      <c r="CFV207"/>
      <c r="CFW207"/>
      <c r="CFX207"/>
      <c r="CFY207"/>
      <c r="CFZ207"/>
      <c r="CGA207"/>
      <c r="CGB207"/>
      <c r="CGC207"/>
      <c r="CGD207"/>
      <c r="CGE207"/>
      <c r="CGF207"/>
      <c r="CGG207"/>
      <c r="CGH207"/>
      <c r="CGI207"/>
      <c r="CGJ207"/>
      <c r="CGK207"/>
      <c r="CGL207"/>
      <c r="CGM207"/>
      <c r="CGN207"/>
      <c r="CGO207"/>
      <c r="CGP207"/>
      <c r="CGQ207"/>
      <c r="CGR207"/>
      <c r="CGS207"/>
      <c r="CGT207"/>
      <c r="CGU207"/>
      <c r="CGV207"/>
      <c r="CGW207"/>
      <c r="CGX207"/>
      <c r="CGY207"/>
      <c r="CGZ207"/>
      <c r="CHA207"/>
      <c r="CHB207"/>
      <c r="CHC207"/>
      <c r="CHD207"/>
      <c r="CHE207"/>
      <c r="CHF207"/>
      <c r="CHG207"/>
      <c r="CHH207"/>
      <c r="CHI207"/>
      <c r="CHJ207"/>
      <c r="CHK207"/>
      <c r="CHL207"/>
      <c r="CHM207"/>
      <c r="CHN207"/>
      <c r="CHO207"/>
      <c r="CHP207"/>
      <c r="CHQ207"/>
      <c r="CHR207"/>
      <c r="CHS207"/>
      <c r="CHT207"/>
      <c r="CHU207"/>
      <c r="CHV207"/>
      <c r="CHW207"/>
      <c r="CHX207"/>
      <c r="CHY207"/>
      <c r="CHZ207"/>
      <c r="CIA207"/>
      <c r="CIB207"/>
      <c r="CIC207"/>
      <c r="CID207"/>
      <c r="CIE207"/>
      <c r="CIF207"/>
      <c r="CIG207"/>
      <c r="CIH207"/>
      <c r="CII207"/>
      <c r="CIJ207"/>
      <c r="CIK207"/>
      <c r="CIL207"/>
      <c r="CIM207"/>
      <c r="CIN207"/>
      <c r="CIO207"/>
      <c r="CIP207"/>
      <c r="CIQ207"/>
      <c r="CIR207"/>
      <c r="CIS207"/>
      <c r="CIT207"/>
      <c r="CIU207"/>
      <c r="CIV207"/>
      <c r="CIW207"/>
      <c r="CIX207"/>
      <c r="CIY207"/>
      <c r="CIZ207"/>
      <c r="CJA207"/>
      <c r="CJB207"/>
      <c r="CJC207"/>
      <c r="CJD207"/>
      <c r="CJE207"/>
      <c r="CJF207"/>
      <c r="CJG207"/>
      <c r="CJH207"/>
      <c r="CJI207"/>
      <c r="CJJ207"/>
      <c r="CJK207"/>
      <c r="CJL207"/>
      <c r="CJM207"/>
      <c r="CJN207"/>
      <c r="CJO207"/>
      <c r="CJP207"/>
      <c r="CJQ207"/>
      <c r="CJR207"/>
      <c r="CJS207"/>
      <c r="CJT207"/>
      <c r="CJU207"/>
      <c r="CJV207"/>
      <c r="CJW207"/>
      <c r="CJX207"/>
      <c r="CJY207"/>
      <c r="CJZ207"/>
      <c r="CKA207"/>
      <c r="CKB207"/>
      <c r="CKC207"/>
      <c r="CKD207"/>
      <c r="CKE207"/>
      <c r="CKF207"/>
      <c r="CKG207"/>
      <c r="CKH207"/>
      <c r="CKI207"/>
      <c r="CKJ207"/>
      <c r="CKK207"/>
      <c r="CKL207"/>
      <c r="CKM207"/>
      <c r="CKN207"/>
      <c r="CKO207"/>
      <c r="CKP207"/>
      <c r="CKQ207"/>
      <c r="CKR207"/>
      <c r="CKS207"/>
      <c r="CKT207"/>
      <c r="CKU207"/>
      <c r="CKV207"/>
      <c r="CKW207"/>
      <c r="CKX207"/>
      <c r="CKY207"/>
      <c r="CKZ207"/>
      <c r="CLA207"/>
      <c r="CLB207"/>
      <c r="CLC207"/>
      <c r="CLD207"/>
      <c r="CLE207"/>
      <c r="CLF207"/>
      <c r="CLG207"/>
      <c r="CLH207"/>
      <c r="CLI207"/>
      <c r="CLJ207"/>
      <c r="CLK207"/>
      <c r="CLL207"/>
      <c r="CLM207"/>
      <c r="CLN207"/>
      <c r="CLO207"/>
      <c r="CLP207"/>
      <c r="CLQ207"/>
      <c r="CLR207"/>
      <c r="CLS207"/>
      <c r="CLT207"/>
      <c r="CLU207"/>
      <c r="CLV207"/>
      <c r="CLW207"/>
      <c r="CLX207"/>
      <c r="CLY207"/>
      <c r="CLZ207"/>
      <c r="CMA207"/>
      <c r="CMB207"/>
      <c r="CMC207"/>
      <c r="CMD207"/>
      <c r="CME207"/>
      <c r="CMF207"/>
      <c r="CMG207"/>
      <c r="CMH207"/>
      <c r="CMI207"/>
      <c r="CMJ207"/>
      <c r="CMK207"/>
      <c r="CML207"/>
      <c r="CMM207"/>
      <c r="CMN207"/>
      <c r="CMO207"/>
      <c r="CMP207"/>
      <c r="CMQ207"/>
      <c r="CMR207"/>
      <c r="CMS207"/>
      <c r="CMT207"/>
      <c r="CMU207"/>
      <c r="CMV207"/>
      <c r="CMW207"/>
      <c r="CMX207"/>
      <c r="CMY207"/>
      <c r="CMZ207"/>
      <c r="CNA207"/>
      <c r="CNB207"/>
      <c r="CNC207"/>
      <c r="CND207"/>
      <c r="CNE207"/>
      <c r="CNF207"/>
      <c r="CNG207"/>
      <c r="CNH207"/>
      <c r="CNI207"/>
      <c r="CNJ207"/>
      <c r="CNK207"/>
      <c r="CNL207"/>
      <c r="CNM207"/>
      <c r="CNN207"/>
      <c r="CNO207"/>
      <c r="CNP207"/>
      <c r="CNQ207"/>
      <c r="CNR207"/>
      <c r="CNS207"/>
      <c r="CNT207"/>
      <c r="CNU207"/>
      <c r="CNV207"/>
      <c r="CNW207"/>
      <c r="CNX207"/>
      <c r="CNY207"/>
      <c r="CNZ207"/>
      <c r="COA207"/>
      <c r="COB207"/>
      <c r="COC207"/>
      <c r="COD207"/>
      <c r="COE207"/>
      <c r="COF207"/>
      <c r="COG207"/>
      <c r="COH207"/>
      <c r="COI207"/>
      <c r="COJ207"/>
      <c r="COK207"/>
      <c r="COL207"/>
      <c r="COM207"/>
      <c r="CON207"/>
      <c r="COO207"/>
      <c r="COP207"/>
      <c r="COQ207"/>
      <c r="COR207"/>
      <c r="COS207"/>
      <c r="COT207"/>
      <c r="COU207"/>
      <c r="COV207"/>
      <c r="COW207"/>
      <c r="COX207"/>
      <c r="COY207"/>
      <c r="COZ207"/>
      <c r="CPA207"/>
      <c r="CPB207"/>
      <c r="CPC207"/>
      <c r="CPD207"/>
      <c r="CPE207"/>
      <c r="CPF207"/>
      <c r="CPG207"/>
      <c r="CPH207"/>
      <c r="CPI207"/>
      <c r="CPJ207"/>
      <c r="CPK207"/>
      <c r="CPL207"/>
      <c r="CPM207"/>
      <c r="CPN207"/>
      <c r="CPO207"/>
      <c r="CPP207"/>
      <c r="CPQ207"/>
      <c r="CPR207"/>
      <c r="CPS207"/>
      <c r="CPT207"/>
      <c r="CPU207"/>
      <c r="CPV207"/>
      <c r="CPW207"/>
      <c r="CPX207"/>
      <c r="CPY207"/>
      <c r="CPZ207"/>
      <c r="CQA207"/>
      <c r="CQB207"/>
      <c r="CQC207"/>
      <c r="CQD207"/>
      <c r="CQE207"/>
      <c r="CQF207"/>
      <c r="CQG207"/>
      <c r="CQH207"/>
      <c r="CQI207"/>
      <c r="CQJ207"/>
      <c r="CQK207"/>
      <c r="CQL207"/>
      <c r="CQM207"/>
      <c r="CQN207"/>
      <c r="CQO207"/>
      <c r="CQP207"/>
      <c r="CQQ207"/>
      <c r="CQR207"/>
      <c r="CQS207"/>
      <c r="CQT207"/>
      <c r="CQU207"/>
      <c r="CQV207"/>
      <c r="CQW207"/>
      <c r="CQX207"/>
      <c r="CQY207"/>
      <c r="CQZ207"/>
      <c r="CRA207"/>
      <c r="CRB207"/>
      <c r="CRC207"/>
      <c r="CRD207"/>
      <c r="CRE207"/>
      <c r="CRF207"/>
      <c r="CRG207"/>
      <c r="CRH207"/>
      <c r="CRI207"/>
      <c r="CRJ207"/>
      <c r="CRK207"/>
      <c r="CRL207"/>
      <c r="CRM207"/>
      <c r="CRN207"/>
      <c r="CRO207"/>
      <c r="CRP207"/>
      <c r="CRQ207"/>
      <c r="CRR207"/>
      <c r="CRS207"/>
      <c r="CRT207"/>
      <c r="CRU207"/>
      <c r="CRV207"/>
      <c r="CRW207"/>
      <c r="CRX207"/>
      <c r="CRY207"/>
      <c r="CRZ207"/>
      <c r="CSA207"/>
      <c r="CSB207"/>
      <c r="CSC207"/>
      <c r="CSD207"/>
      <c r="CSE207"/>
      <c r="CSF207"/>
      <c r="CSG207"/>
      <c r="CSH207"/>
      <c r="CSI207"/>
      <c r="CSJ207"/>
      <c r="CSK207"/>
      <c r="CSL207"/>
      <c r="CSM207"/>
      <c r="CSN207"/>
      <c r="CSO207"/>
      <c r="CSP207"/>
      <c r="CSQ207"/>
      <c r="CSR207"/>
      <c r="CSS207"/>
      <c r="CST207"/>
      <c r="CSU207"/>
      <c r="CSV207"/>
      <c r="CSW207"/>
      <c r="CSX207"/>
      <c r="CSY207"/>
      <c r="CSZ207"/>
      <c r="CTA207"/>
      <c r="CTB207"/>
      <c r="CTC207"/>
      <c r="CTD207"/>
      <c r="CTE207"/>
      <c r="CTF207"/>
      <c r="CTG207"/>
      <c r="CTH207"/>
      <c r="CTI207"/>
      <c r="CTJ207"/>
      <c r="CTK207"/>
      <c r="CTL207"/>
      <c r="CTM207"/>
      <c r="CTN207"/>
      <c r="CTO207"/>
      <c r="CTP207"/>
      <c r="CTQ207"/>
      <c r="CTR207"/>
      <c r="CTS207"/>
      <c r="CTT207"/>
      <c r="CTU207"/>
      <c r="CTV207"/>
      <c r="CTW207"/>
      <c r="CTX207"/>
      <c r="CTY207"/>
      <c r="CTZ207"/>
      <c r="CUA207"/>
      <c r="CUB207"/>
      <c r="CUC207"/>
      <c r="CUD207"/>
      <c r="CUE207"/>
      <c r="CUF207"/>
      <c r="CUG207"/>
      <c r="CUH207"/>
      <c r="CUI207"/>
      <c r="CUJ207"/>
      <c r="CUK207"/>
      <c r="CUL207"/>
      <c r="CUM207"/>
      <c r="CUN207"/>
      <c r="CUO207"/>
      <c r="CUP207"/>
      <c r="CUQ207"/>
      <c r="CUR207"/>
      <c r="CUS207"/>
      <c r="CUT207"/>
      <c r="CUU207"/>
      <c r="CUV207"/>
      <c r="CUW207"/>
      <c r="CUX207"/>
      <c r="CUY207"/>
      <c r="CUZ207"/>
      <c r="CVA207"/>
      <c r="CVB207"/>
      <c r="CVC207"/>
      <c r="CVD207"/>
      <c r="CVE207"/>
      <c r="CVF207"/>
      <c r="CVG207"/>
      <c r="CVH207"/>
      <c r="CVI207"/>
      <c r="CVJ207"/>
      <c r="CVK207"/>
      <c r="CVL207"/>
      <c r="CVM207"/>
      <c r="CVN207"/>
      <c r="CVO207"/>
      <c r="CVP207"/>
      <c r="CVQ207"/>
      <c r="CVR207"/>
      <c r="CVS207"/>
      <c r="CVT207"/>
      <c r="CVU207"/>
      <c r="CVV207"/>
      <c r="CVW207"/>
      <c r="CVX207"/>
      <c r="CVY207"/>
      <c r="CVZ207"/>
      <c r="CWA207"/>
      <c r="CWB207"/>
      <c r="CWC207"/>
      <c r="CWD207"/>
      <c r="CWE207"/>
      <c r="CWF207"/>
      <c r="CWG207"/>
      <c r="CWH207"/>
      <c r="CWI207"/>
      <c r="CWJ207"/>
      <c r="CWK207"/>
      <c r="CWL207"/>
      <c r="CWM207"/>
      <c r="CWN207"/>
      <c r="CWO207"/>
      <c r="CWP207"/>
      <c r="CWQ207"/>
      <c r="CWR207"/>
      <c r="CWS207"/>
      <c r="CWT207"/>
      <c r="CWU207"/>
      <c r="CWV207"/>
      <c r="CWW207"/>
      <c r="CWX207"/>
      <c r="CWY207"/>
      <c r="CWZ207"/>
      <c r="CXA207"/>
      <c r="CXB207"/>
      <c r="CXC207"/>
      <c r="CXD207"/>
      <c r="CXE207"/>
      <c r="CXF207"/>
      <c r="CXG207"/>
      <c r="CXH207"/>
      <c r="CXI207"/>
      <c r="CXJ207"/>
      <c r="CXK207"/>
      <c r="CXL207"/>
      <c r="CXM207"/>
      <c r="CXN207"/>
      <c r="CXO207"/>
      <c r="CXP207"/>
      <c r="CXQ207"/>
      <c r="CXR207"/>
      <c r="CXS207"/>
      <c r="CXT207"/>
      <c r="CXU207"/>
      <c r="CXV207"/>
      <c r="CXW207"/>
      <c r="CXX207"/>
      <c r="CXY207"/>
      <c r="CXZ207"/>
      <c r="CYA207"/>
      <c r="CYB207"/>
      <c r="CYC207"/>
      <c r="CYD207"/>
      <c r="CYE207"/>
      <c r="CYF207"/>
      <c r="CYG207"/>
      <c r="CYH207"/>
      <c r="CYI207"/>
      <c r="CYJ207"/>
      <c r="CYK207"/>
      <c r="CYL207"/>
      <c r="CYM207"/>
      <c r="CYN207"/>
      <c r="CYO207"/>
      <c r="CYP207"/>
      <c r="CYQ207"/>
      <c r="CYR207"/>
      <c r="CYS207"/>
      <c r="CYT207"/>
      <c r="CYU207"/>
      <c r="CYV207"/>
      <c r="CYW207"/>
      <c r="CYX207"/>
      <c r="CYY207"/>
      <c r="CYZ207"/>
      <c r="CZA207"/>
      <c r="CZB207"/>
      <c r="CZC207"/>
      <c r="CZD207"/>
      <c r="CZE207"/>
      <c r="CZF207"/>
      <c r="CZG207"/>
      <c r="CZH207"/>
      <c r="CZI207"/>
      <c r="CZJ207"/>
      <c r="CZK207"/>
      <c r="CZL207"/>
      <c r="CZM207"/>
      <c r="CZN207"/>
      <c r="CZO207"/>
      <c r="CZP207"/>
      <c r="CZQ207"/>
      <c r="CZR207"/>
      <c r="CZS207"/>
      <c r="CZT207"/>
      <c r="CZU207"/>
      <c r="CZV207"/>
      <c r="CZW207"/>
      <c r="CZX207"/>
      <c r="CZY207"/>
      <c r="CZZ207"/>
      <c r="DAA207"/>
      <c r="DAB207"/>
      <c r="DAC207"/>
      <c r="DAD207"/>
      <c r="DAE207"/>
      <c r="DAF207"/>
      <c r="DAG207"/>
      <c r="DAH207"/>
      <c r="DAI207"/>
      <c r="DAJ207"/>
      <c r="DAK207"/>
      <c r="DAL207"/>
      <c r="DAM207"/>
      <c r="DAN207"/>
      <c r="DAO207"/>
      <c r="DAP207"/>
      <c r="DAQ207"/>
      <c r="DAR207"/>
      <c r="DAS207"/>
      <c r="DAT207"/>
      <c r="DAU207"/>
      <c r="DAV207"/>
      <c r="DAW207"/>
      <c r="DAX207"/>
      <c r="DAY207"/>
      <c r="DAZ207"/>
      <c r="DBA207"/>
      <c r="DBB207"/>
      <c r="DBC207"/>
      <c r="DBD207"/>
      <c r="DBE207"/>
      <c r="DBF207"/>
      <c r="DBG207"/>
      <c r="DBH207"/>
      <c r="DBI207"/>
      <c r="DBJ207"/>
      <c r="DBK207"/>
      <c r="DBL207"/>
      <c r="DBM207"/>
      <c r="DBN207"/>
      <c r="DBO207"/>
      <c r="DBP207"/>
      <c r="DBQ207"/>
      <c r="DBR207"/>
      <c r="DBS207"/>
      <c r="DBT207"/>
      <c r="DBU207"/>
      <c r="DBV207"/>
      <c r="DBW207"/>
      <c r="DBX207"/>
      <c r="DBY207"/>
      <c r="DBZ207"/>
      <c r="DCA207"/>
      <c r="DCB207"/>
      <c r="DCC207"/>
      <c r="DCD207"/>
      <c r="DCE207"/>
      <c r="DCF207"/>
      <c r="DCG207"/>
      <c r="DCH207"/>
      <c r="DCI207"/>
      <c r="DCJ207"/>
      <c r="DCK207"/>
      <c r="DCL207"/>
      <c r="DCM207"/>
      <c r="DCN207"/>
      <c r="DCO207"/>
      <c r="DCP207"/>
      <c r="DCQ207"/>
      <c r="DCR207"/>
      <c r="DCS207"/>
      <c r="DCT207"/>
      <c r="DCU207"/>
      <c r="DCV207"/>
      <c r="DCW207"/>
      <c r="DCX207"/>
      <c r="DCY207"/>
      <c r="DCZ207"/>
      <c r="DDA207"/>
      <c r="DDB207"/>
      <c r="DDC207"/>
      <c r="DDD207"/>
      <c r="DDE207"/>
      <c r="DDF207"/>
      <c r="DDG207"/>
      <c r="DDH207"/>
      <c r="DDI207"/>
      <c r="DDJ207"/>
      <c r="DDK207"/>
      <c r="DDL207"/>
      <c r="DDM207"/>
      <c r="DDN207"/>
      <c r="DDO207"/>
      <c r="DDP207"/>
      <c r="DDQ207"/>
      <c r="DDR207"/>
      <c r="DDS207"/>
      <c r="DDT207"/>
      <c r="DDU207"/>
      <c r="DDV207"/>
      <c r="DDW207"/>
      <c r="DDX207"/>
      <c r="DDY207"/>
      <c r="DDZ207"/>
      <c r="DEA207"/>
      <c r="DEB207"/>
      <c r="DEC207"/>
      <c r="DED207"/>
      <c r="DEE207"/>
      <c r="DEF207"/>
      <c r="DEG207"/>
      <c r="DEH207"/>
      <c r="DEI207"/>
      <c r="DEJ207"/>
      <c r="DEK207"/>
      <c r="DEL207"/>
      <c r="DEM207"/>
      <c r="DEN207"/>
      <c r="DEO207"/>
      <c r="DEP207"/>
      <c r="DEQ207"/>
      <c r="DER207"/>
      <c r="DES207"/>
      <c r="DET207"/>
      <c r="DEU207"/>
      <c r="DEV207"/>
      <c r="DEW207"/>
      <c r="DEX207"/>
      <c r="DEY207"/>
      <c r="DEZ207"/>
      <c r="DFA207"/>
      <c r="DFB207"/>
      <c r="DFC207"/>
      <c r="DFD207"/>
      <c r="DFE207"/>
      <c r="DFF207"/>
      <c r="DFG207"/>
      <c r="DFH207"/>
      <c r="DFI207"/>
      <c r="DFJ207"/>
      <c r="DFK207"/>
      <c r="DFL207"/>
      <c r="DFM207"/>
      <c r="DFN207"/>
      <c r="DFO207"/>
      <c r="DFP207"/>
      <c r="DFQ207"/>
      <c r="DFR207"/>
      <c r="DFS207"/>
      <c r="DFT207"/>
      <c r="DFU207"/>
      <c r="DFV207"/>
      <c r="DFW207"/>
      <c r="DFX207"/>
      <c r="DFY207"/>
      <c r="DFZ207"/>
      <c r="DGA207"/>
      <c r="DGB207"/>
      <c r="DGC207"/>
      <c r="DGD207"/>
      <c r="DGE207"/>
      <c r="DGF207"/>
      <c r="DGG207"/>
      <c r="DGH207"/>
      <c r="DGI207"/>
      <c r="DGJ207"/>
      <c r="DGK207"/>
      <c r="DGL207"/>
      <c r="DGM207"/>
      <c r="DGN207"/>
      <c r="DGO207"/>
      <c r="DGP207"/>
      <c r="DGQ207"/>
      <c r="DGR207"/>
      <c r="DGS207"/>
      <c r="DGT207"/>
      <c r="DGU207"/>
      <c r="DGV207"/>
      <c r="DGW207"/>
      <c r="DGX207"/>
      <c r="DGY207"/>
      <c r="DGZ207"/>
      <c r="DHA207"/>
      <c r="DHB207"/>
      <c r="DHC207"/>
      <c r="DHD207"/>
      <c r="DHE207"/>
      <c r="DHF207"/>
      <c r="DHG207"/>
      <c r="DHH207"/>
      <c r="DHI207"/>
      <c r="DHJ207"/>
      <c r="DHK207"/>
      <c r="DHL207"/>
      <c r="DHM207"/>
      <c r="DHN207"/>
      <c r="DHO207"/>
      <c r="DHP207"/>
      <c r="DHQ207"/>
      <c r="DHR207"/>
      <c r="DHS207"/>
      <c r="DHT207"/>
      <c r="DHU207"/>
      <c r="DHV207"/>
      <c r="DHW207"/>
      <c r="DHX207"/>
      <c r="DHY207"/>
      <c r="DHZ207"/>
      <c r="DIA207"/>
      <c r="DIB207"/>
      <c r="DIC207"/>
      <c r="DID207"/>
      <c r="DIE207"/>
      <c r="DIF207"/>
      <c r="DIG207"/>
      <c r="DIH207"/>
      <c r="DII207"/>
      <c r="DIJ207"/>
      <c r="DIK207"/>
      <c r="DIL207"/>
      <c r="DIM207"/>
      <c r="DIN207"/>
      <c r="DIO207"/>
      <c r="DIP207"/>
      <c r="DIQ207"/>
      <c r="DIR207"/>
      <c r="DIS207"/>
      <c r="DIT207"/>
      <c r="DIU207"/>
      <c r="DIV207"/>
      <c r="DIW207"/>
      <c r="DIX207"/>
      <c r="DIY207"/>
      <c r="DIZ207"/>
      <c r="DJA207"/>
      <c r="DJB207"/>
      <c r="DJC207"/>
      <c r="DJD207"/>
      <c r="DJE207"/>
      <c r="DJF207"/>
      <c r="DJG207"/>
      <c r="DJH207"/>
      <c r="DJI207"/>
      <c r="DJJ207"/>
      <c r="DJK207"/>
      <c r="DJL207"/>
      <c r="DJM207"/>
      <c r="DJN207"/>
      <c r="DJO207"/>
      <c r="DJP207"/>
      <c r="DJQ207"/>
      <c r="DJR207"/>
      <c r="DJS207"/>
      <c r="DJT207"/>
      <c r="DJU207"/>
      <c r="DJV207"/>
      <c r="DJW207"/>
      <c r="DJX207"/>
      <c r="DJY207"/>
      <c r="DJZ207"/>
      <c r="DKA207"/>
      <c r="DKB207"/>
      <c r="DKC207"/>
      <c r="DKD207"/>
      <c r="DKE207"/>
      <c r="DKF207"/>
      <c r="DKG207"/>
      <c r="DKH207"/>
      <c r="DKI207"/>
      <c r="DKJ207"/>
      <c r="DKK207"/>
      <c r="DKL207"/>
      <c r="DKM207"/>
      <c r="DKN207"/>
      <c r="DKO207"/>
      <c r="DKP207"/>
      <c r="DKQ207"/>
      <c r="DKR207"/>
      <c r="DKS207"/>
      <c r="DKT207"/>
      <c r="DKU207"/>
      <c r="DKV207"/>
      <c r="DKW207"/>
      <c r="DKX207"/>
      <c r="DKY207"/>
      <c r="DKZ207"/>
      <c r="DLA207"/>
      <c r="DLB207"/>
      <c r="DLC207"/>
      <c r="DLD207"/>
      <c r="DLE207"/>
      <c r="DLF207"/>
      <c r="DLG207"/>
      <c r="DLH207"/>
      <c r="DLI207"/>
      <c r="DLJ207"/>
      <c r="DLK207"/>
      <c r="DLL207"/>
      <c r="DLM207"/>
      <c r="DLN207"/>
      <c r="DLO207"/>
      <c r="DLP207"/>
      <c r="DLQ207"/>
      <c r="DLR207"/>
      <c r="DLS207"/>
      <c r="DLT207"/>
      <c r="DLU207"/>
      <c r="DLV207"/>
      <c r="DLW207"/>
      <c r="DLX207"/>
      <c r="DLY207"/>
      <c r="DLZ207"/>
      <c r="DMA207"/>
      <c r="DMB207"/>
      <c r="DMC207"/>
      <c r="DMD207"/>
      <c r="DME207"/>
      <c r="DMF207"/>
      <c r="DMG207"/>
      <c r="DMH207"/>
      <c r="DMI207"/>
      <c r="DMJ207"/>
      <c r="DMK207"/>
      <c r="DML207"/>
      <c r="DMM207"/>
      <c r="DMN207"/>
      <c r="DMO207"/>
      <c r="DMP207"/>
      <c r="DMQ207"/>
      <c r="DMR207"/>
      <c r="DMS207"/>
      <c r="DMT207"/>
      <c r="DMU207"/>
      <c r="DMV207"/>
      <c r="DMW207"/>
      <c r="DMX207"/>
      <c r="DMY207"/>
      <c r="DMZ207"/>
      <c r="DNA207"/>
      <c r="DNB207"/>
      <c r="DNC207"/>
      <c r="DND207"/>
      <c r="DNE207"/>
      <c r="DNF207"/>
      <c r="DNG207"/>
      <c r="DNH207"/>
      <c r="DNI207"/>
      <c r="DNJ207"/>
      <c r="DNK207"/>
      <c r="DNL207"/>
      <c r="DNM207"/>
      <c r="DNN207"/>
      <c r="DNO207"/>
      <c r="DNP207"/>
      <c r="DNQ207"/>
      <c r="DNR207"/>
      <c r="DNS207"/>
      <c r="DNT207"/>
      <c r="DNU207"/>
      <c r="DNV207"/>
      <c r="DNW207"/>
      <c r="DNX207"/>
      <c r="DNY207"/>
      <c r="DNZ207"/>
      <c r="DOA207"/>
      <c r="DOB207"/>
      <c r="DOC207"/>
      <c r="DOD207"/>
      <c r="DOE207"/>
      <c r="DOF207"/>
      <c r="DOG207"/>
      <c r="DOH207"/>
      <c r="DOI207"/>
      <c r="DOJ207"/>
      <c r="DOK207"/>
      <c r="DOL207"/>
      <c r="DOM207"/>
      <c r="DON207"/>
      <c r="DOO207"/>
      <c r="DOP207"/>
      <c r="DOQ207"/>
      <c r="DOR207"/>
      <c r="DOS207"/>
      <c r="DOT207"/>
      <c r="DOU207"/>
      <c r="DOV207"/>
      <c r="DOW207"/>
      <c r="DOX207"/>
      <c r="DOY207"/>
      <c r="DOZ207"/>
      <c r="DPA207"/>
      <c r="DPB207"/>
      <c r="DPC207"/>
      <c r="DPD207"/>
      <c r="DPE207"/>
      <c r="DPF207"/>
      <c r="DPG207"/>
      <c r="DPH207"/>
      <c r="DPI207"/>
      <c r="DPJ207"/>
      <c r="DPK207"/>
      <c r="DPL207"/>
      <c r="DPM207"/>
      <c r="DPN207"/>
      <c r="DPO207"/>
      <c r="DPP207"/>
      <c r="DPQ207"/>
      <c r="DPR207"/>
      <c r="DPS207"/>
      <c r="DPT207"/>
      <c r="DPU207"/>
      <c r="DPV207"/>
      <c r="DPW207"/>
      <c r="DPX207"/>
      <c r="DPY207"/>
      <c r="DPZ207"/>
      <c r="DQA207"/>
      <c r="DQB207"/>
      <c r="DQC207"/>
      <c r="DQD207"/>
      <c r="DQE207"/>
      <c r="DQF207"/>
      <c r="DQG207"/>
      <c r="DQH207"/>
      <c r="DQI207"/>
      <c r="DQJ207"/>
      <c r="DQK207"/>
      <c r="DQL207"/>
      <c r="DQM207"/>
      <c r="DQN207"/>
      <c r="DQO207"/>
      <c r="DQP207"/>
      <c r="DQQ207"/>
      <c r="DQR207"/>
      <c r="DQS207"/>
      <c r="DQT207"/>
      <c r="DQU207"/>
      <c r="DQV207"/>
      <c r="DQW207"/>
      <c r="DQX207"/>
      <c r="DQY207"/>
      <c r="DQZ207"/>
      <c r="DRA207"/>
      <c r="DRB207"/>
      <c r="DRC207"/>
      <c r="DRD207"/>
      <c r="DRE207"/>
      <c r="DRF207"/>
      <c r="DRG207"/>
      <c r="DRH207"/>
      <c r="DRI207"/>
      <c r="DRJ207"/>
      <c r="DRK207"/>
      <c r="DRL207"/>
      <c r="DRM207"/>
      <c r="DRN207"/>
      <c r="DRO207"/>
      <c r="DRP207"/>
      <c r="DRQ207"/>
      <c r="DRR207"/>
      <c r="DRS207"/>
      <c r="DRT207"/>
      <c r="DRU207"/>
      <c r="DRV207"/>
      <c r="DRW207"/>
      <c r="DRX207"/>
      <c r="DRY207"/>
      <c r="DRZ207"/>
      <c r="DSA207"/>
      <c r="DSB207"/>
      <c r="DSC207"/>
      <c r="DSD207"/>
      <c r="DSE207"/>
      <c r="DSF207"/>
      <c r="DSG207"/>
      <c r="DSH207"/>
      <c r="DSI207"/>
      <c r="DSJ207"/>
      <c r="DSK207"/>
      <c r="DSL207"/>
      <c r="DSM207"/>
      <c r="DSN207"/>
      <c r="DSO207"/>
      <c r="DSP207"/>
      <c r="DSQ207"/>
      <c r="DSR207"/>
      <c r="DSS207"/>
      <c r="DST207"/>
      <c r="DSU207"/>
      <c r="DSV207"/>
      <c r="DSW207"/>
      <c r="DSX207"/>
      <c r="DSY207"/>
      <c r="DSZ207"/>
      <c r="DTA207"/>
      <c r="DTB207"/>
      <c r="DTC207"/>
      <c r="DTD207"/>
      <c r="DTE207"/>
      <c r="DTF207"/>
      <c r="DTG207"/>
      <c r="DTH207"/>
      <c r="DTI207"/>
      <c r="DTJ207"/>
      <c r="DTK207"/>
      <c r="DTL207"/>
      <c r="DTM207"/>
      <c r="DTN207"/>
      <c r="DTO207"/>
      <c r="DTP207"/>
      <c r="DTQ207"/>
      <c r="DTR207"/>
      <c r="DTS207"/>
      <c r="DTT207"/>
      <c r="DTU207"/>
      <c r="DTV207"/>
      <c r="DTW207"/>
      <c r="DTX207"/>
      <c r="DTY207"/>
      <c r="DTZ207"/>
      <c r="DUA207"/>
      <c r="DUB207"/>
      <c r="DUC207"/>
      <c r="DUD207"/>
      <c r="DUE207"/>
      <c r="DUF207"/>
      <c r="DUG207"/>
      <c r="DUH207"/>
      <c r="DUI207"/>
      <c r="DUJ207"/>
      <c r="DUK207"/>
      <c r="DUL207"/>
      <c r="DUM207"/>
      <c r="DUN207"/>
      <c r="DUO207"/>
      <c r="DUP207"/>
      <c r="DUQ207"/>
      <c r="DUR207"/>
      <c r="DUS207"/>
      <c r="DUT207"/>
      <c r="DUU207"/>
      <c r="DUV207"/>
      <c r="DUW207"/>
      <c r="DUX207"/>
      <c r="DUY207"/>
      <c r="DUZ207"/>
      <c r="DVA207"/>
      <c r="DVB207"/>
      <c r="DVC207"/>
      <c r="DVD207"/>
      <c r="DVE207"/>
      <c r="DVF207"/>
      <c r="DVG207"/>
      <c r="DVH207"/>
      <c r="DVI207"/>
      <c r="DVJ207"/>
      <c r="DVK207"/>
      <c r="DVL207"/>
      <c r="DVM207"/>
      <c r="DVN207"/>
      <c r="DVO207"/>
      <c r="DVP207"/>
      <c r="DVQ207"/>
      <c r="DVR207"/>
      <c r="DVS207"/>
      <c r="DVT207"/>
      <c r="DVU207"/>
      <c r="DVV207"/>
      <c r="DVW207"/>
      <c r="DVX207"/>
      <c r="DVY207"/>
      <c r="DVZ207"/>
      <c r="DWA207"/>
      <c r="DWB207"/>
      <c r="DWC207"/>
      <c r="DWD207"/>
      <c r="DWE207"/>
      <c r="DWF207"/>
      <c r="DWG207"/>
      <c r="DWH207"/>
      <c r="DWI207"/>
      <c r="DWJ207"/>
      <c r="DWK207"/>
      <c r="DWL207"/>
      <c r="DWM207"/>
      <c r="DWN207"/>
      <c r="DWO207"/>
      <c r="DWP207"/>
      <c r="DWQ207"/>
      <c r="DWR207"/>
      <c r="DWS207"/>
      <c r="DWT207"/>
      <c r="DWU207"/>
      <c r="DWV207"/>
      <c r="DWW207"/>
      <c r="DWX207"/>
      <c r="DWY207"/>
      <c r="DWZ207"/>
      <c r="DXA207"/>
      <c r="DXB207"/>
      <c r="DXC207"/>
      <c r="DXD207"/>
      <c r="DXE207"/>
      <c r="DXF207"/>
      <c r="DXG207"/>
      <c r="DXH207"/>
      <c r="DXI207"/>
      <c r="DXJ207"/>
      <c r="DXK207"/>
      <c r="DXL207"/>
      <c r="DXM207"/>
      <c r="DXN207"/>
      <c r="DXO207"/>
      <c r="DXP207"/>
      <c r="DXQ207"/>
      <c r="DXR207"/>
      <c r="DXS207"/>
      <c r="DXT207"/>
      <c r="DXU207"/>
      <c r="DXV207"/>
      <c r="DXW207"/>
      <c r="DXX207"/>
      <c r="DXY207"/>
      <c r="DXZ207"/>
      <c r="DYA207"/>
      <c r="DYB207"/>
      <c r="DYC207"/>
      <c r="DYD207"/>
      <c r="DYE207"/>
      <c r="DYF207"/>
      <c r="DYG207"/>
      <c r="DYH207"/>
      <c r="DYI207"/>
      <c r="DYJ207"/>
      <c r="DYK207"/>
      <c r="DYL207"/>
      <c r="DYM207"/>
      <c r="DYN207"/>
      <c r="DYO207"/>
      <c r="DYP207"/>
      <c r="DYQ207"/>
      <c r="DYR207"/>
      <c r="DYS207"/>
      <c r="DYT207"/>
      <c r="DYU207"/>
      <c r="DYV207"/>
      <c r="DYW207"/>
      <c r="DYX207"/>
      <c r="DYY207"/>
      <c r="DYZ207"/>
      <c r="DZA207"/>
      <c r="DZB207"/>
      <c r="DZC207"/>
      <c r="DZD207"/>
      <c r="DZE207"/>
      <c r="DZF207"/>
      <c r="DZG207"/>
      <c r="DZH207"/>
      <c r="DZI207"/>
      <c r="DZJ207"/>
      <c r="DZK207"/>
      <c r="DZL207"/>
      <c r="DZM207"/>
      <c r="DZN207"/>
      <c r="DZO207"/>
      <c r="DZP207"/>
      <c r="DZQ207"/>
      <c r="DZR207"/>
      <c r="DZS207"/>
      <c r="DZT207"/>
      <c r="DZU207"/>
      <c r="DZV207"/>
      <c r="DZW207"/>
      <c r="DZX207"/>
      <c r="DZY207"/>
      <c r="DZZ207"/>
      <c r="EAA207"/>
      <c r="EAB207"/>
      <c r="EAC207"/>
      <c r="EAD207"/>
      <c r="EAE207"/>
      <c r="EAF207"/>
      <c r="EAG207"/>
      <c r="EAH207"/>
      <c r="EAI207"/>
      <c r="EAJ207"/>
      <c r="EAK207"/>
      <c r="EAL207"/>
      <c r="EAM207"/>
      <c r="EAN207"/>
      <c r="EAO207"/>
      <c r="EAP207"/>
      <c r="EAQ207"/>
      <c r="EAR207"/>
      <c r="EAS207"/>
      <c r="EAT207"/>
      <c r="EAU207"/>
      <c r="EAV207"/>
      <c r="EAW207"/>
      <c r="EAX207"/>
      <c r="EAY207"/>
      <c r="EAZ207"/>
      <c r="EBA207"/>
      <c r="EBB207"/>
      <c r="EBC207"/>
      <c r="EBD207"/>
      <c r="EBE207"/>
      <c r="EBF207"/>
      <c r="EBG207"/>
      <c r="EBH207"/>
      <c r="EBI207"/>
      <c r="EBJ207"/>
      <c r="EBK207"/>
      <c r="EBL207"/>
      <c r="EBM207"/>
      <c r="EBN207"/>
      <c r="EBO207"/>
      <c r="EBP207"/>
      <c r="EBQ207"/>
      <c r="EBR207"/>
      <c r="EBS207"/>
      <c r="EBT207"/>
      <c r="EBU207"/>
      <c r="EBV207"/>
      <c r="EBW207"/>
      <c r="EBX207"/>
      <c r="EBY207"/>
      <c r="EBZ207"/>
      <c r="ECA207"/>
      <c r="ECB207"/>
      <c r="ECC207"/>
      <c r="ECD207"/>
      <c r="ECE207"/>
      <c r="ECF207"/>
      <c r="ECG207"/>
      <c r="ECH207"/>
      <c r="ECI207"/>
      <c r="ECJ207"/>
      <c r="ECK207"/>
      <c r="ECL207"/>
      <c r="ECM207"/>
      <c r="ECN207"/>
      <c r="ECO207"/>
      <c r="ECP207"/>
      <c r="ECQ207"/>
      <c r="ECR207"/>
      <c r="ECS207"/>
      <c r="ECT207"/>
      <c r="ECU207"/>
      <c r="ECV207"/>
      <c r="ECW207"/>
      <c r="ECX207"/>
      <c r="ECY207"/>
      <c r="ECZ207"/>
      <c r="EDA207"/>
      <c r="EDB207"/>
      <c r="EDC207"/>
      <c r="EDD207"/>
      <c r="EDE207"/>
      <c r="EDF207"/>
      <c r="EDG207"/>
      <c r="EDH207"/>
      <c r="EDI207"/>
      <c r="EDJ207"/>
      <c r="EDK207"/>
      <c r="EDL207"/>
      <c r="EDM207"/>
      <c r="EDN207"/>
      <c r="EDO207"/>
      <c r="EDP207"/>
      <c r="EDQ207"/>
      <c r="EDR207"/>
      <c r="EDS207"/>
      <c r="EDT207"/>
      <c r="EDU207"/>
      <c r="EDV207"/>
      <c r="EDW207"/>
      <c r="EDX207"/>
      <c r="EDY207"/>
      <c r="EDZ207"/>
      <c r="EEA207"/>
      <c r="EEB207"/>
      <c r="EEC207"/>
      <c r="EED207"/>
      <c r="EEE207"/>
      <c r="EEF207"/>
      <c r="EEG207"/>
      <c r="EEH207"/>
      <c r="EEI207"/>
      <c r="EEJ207"/>
      <c r="EEK207"/>
      <c r="EEL207"/>
      <c r="EEM207"/>
      <c r="EEN207"/>
      <c r="EEO207"/>
      <c r="EEP207"/>
      <c r="EEQ207"/>
      <c r="EER207"/>
      <c r="EES207"/>
      <c r="EET207"/>
      <c r="EEU207"/>
      <c r="EEV207"/>
      <c r="EEW207"/>
      <c r="EEX207"/>
      <c r="EEY207"/>
      <c r="EEZ207"/>
      <c r="EFA207"/>
      <c r="EFB207"/>
      <c r="EFC207"/>
      <c r="EFD207"/>
      <c r="EFE207"/>
      <c r="EFF207"/>
      <c r="EFG207"/>
      <c r="EFH207"/>
      <c r="EFI207"/>
      <c r="EFJ207"/>
      <c r="EFK207"/>
      <c r="EFL207"/>
      <c r="EFM207"/>
      <c r="EFN207"/>
      <c r="EFO207"/>
      <c r="EFP207"/>
      <c r="EFQ207"/>
      <c r="EFR207"/>
      <c r="EFS207"/>
      <c r="EFT207"/>
      <c r="EFU207"/>
      <c r="EFV207"/>
      <c r="EFW207"/>
      <c r="EFX207"/>
      <c r="EFY207"/>
      <c r="EFZ207"/>
      <c r="EGA207"/>
      <c r="EGB207"/>
      <c r="EGC207"/>
      <c r="EGD207"/>
      <c r="EGE207"/>
      <c r="EGF207"/>
      <c r="EGG207"/>
      <c r="EGH207"/>
      <c r="EGI207"/>
      <c r="EGJ207"/>
      <c r="EGK207"/>
      <c r="EGL207"/>
      <c r="EGM207"/>
      <c r="EGN207"/>
      <c r="EGO207"/>
      <c r="EGP207"/>
      <c r="EGQ207"/>
      <c r="EGR207"/>
      <c r="EGS207"/>
      <c r="EGT207"/>
      <c r="EGU207"/>
      <c r="EGV207"/>
      <c r="EGW207"/>
      <c r="EGX207"/>
      <c r="EGY207"/>
      <c r="EGZ207"/>
      <c r="EHA207"/>
      <c r="EHB207"/>
      <c r="EHC207"/>
      <c r="EHD207"/>
      <c r="EHE207"/>
      <c r="EHF207"/>
      <c r="EHG207"/>
      <c r="EHH207"/>
      <c r="EHI207"/>
      <c r="EHJ207"/>
      <c r="EHK207"/>
      <c r="EHL207"/>
      <c r="EHM207"/>
      <c r="EHN207"/>
      <c r="EHO207"/>
      <c r="EHP207"/>
      <c r="EHQ207"/>
      <c r="EHR207"/>
      <c r="EHS207"/>
      <c r="EHT207"/>
      <c r="EHU207"/>
      <c r="EHV207"/>
      <c r="EHW207"/>
      <c r="EHX207"/>
      <c r="EHY207"/>
      <c r="EHZ207"/>
      <c r="EIA207"/>
      <c r="EIB207"/>
      <c r="EIC207"/>
      <c r="EID207"/>
      <c r="EIE207"/>
      <c r="EIF207"/>
      <c r="EIG207"/>
      <c r="EIH207"/>
      <c r="EII207"/>
      <c r="EIJ207"/>
      <c r="EIK207"/>
      <c r="EIL207"/>
      <c r="EIM207"/>
      <c r="EIN207"/>
      <c r="EIO207"/>
      <c r="EIP207"/>
      <c r="EIQ207"/>
      <c r="EIR207"/>
      <c r="EIS207"/>
      <c r="EIT207"/>
      <c r="EIU207"/>
      <c r="EIV207"/>
      <c r="EIW207"/>
      <c r="EIX207"/>
      <c r="EIY207"/>
      <c r="EIZ207"/>
      <c r="EJA207"/>
      <c r="EJB207"/>
      <c r="EJC207"/>
      <c r="EJD207"/>
      <c r="EJE207"/>
      <c r="EJF207"/>
      <c r="EJG207"/>
      <c r="EJH207"/>
      <c r="EJI207"/>
      <c r="EJJ207"/>
      <c r="EJK207"/>
      <c r="EJL207"/>
      <c r="EJM207"/>
      <c r="EJN207"/>
      <c r="EJO207"/>
      <c r="EJP207"/>
      <c r="EJQ207"/>
      <c r="EJR207"/>
      <c r="EJS207"/>
      <c r="EJT207"/>
      <c r="EJU207"/>
      <c r="EJV207"/>
      <c r="EJW207"/>
      <c r="EJX207"/>
      <c r="EJY207"/>
      <c r="EJZ207"/>
      <c r="EKA207"/>
      <c r="EKB207"/>
      <c r="EKC207"/>
      <c r="EKD207"/>
      <c r="EKE207"/>
      <c r="EKF207"/>
      <c r="EKG207"/>
      <c r="EKH207"/>
      <c r="EKI207"/>
      <c r="EKJ207"/>
      <c r="EKK207"/>
      <c r="EKL207"/>
      <c r="EKM207"/>
      <c r="EKN207"/>
      <c r="EKO207"/>
      <c r="EKP207"/>
      <c r="EKQ207"/>
      <c r="EKR207"/>
      <c r="EKS207"/>
      <c r="EKT207"/>
      <c r="EKU207"/>
      <c r="EKV207"/>
      <c r="EKW207"/>
      <c r="EKX207"/>
      <c r="EKY207"/>
      <c r="EKZ207"/>
      <c r="ELA207"/>
      <c r="ELB207"/>
      <c r="ELC207"/>
      <c r="ELD207"/>
      <c r="ELE207"/>
      <c r="ELF207"/>
      <c r="ELG207"/>
      <c r="ELH207"/>
      <c r="ELI207"/>
      <c r="ELJ207"/>
      <c r="ELK207"/>
      <c r="ELL207"/>
      <c r="ELM207"/>
      <c r="ELN207"/>
      <c r="ELO207"/>
      <c r="ELP207"/>
      <c r="ELQ207"/>
      <c r="ELR207"/>
      <c r="ELS207"/>
      <c r="ELT207"/>
      <c r="ELU207"/>
      <c r="ELV207"/>
      <c r="ELW207"/>
      <c r="ELX207"/>
      <c r="ELY207"/>
      <c r="ELZ207"/>
      <c r="EMA207"/>
      <c r="EMB207"/>
      <c r="EMC207"/>
      <c r="EMD207"/>
      <c r="EME207"/>
      <c r="EMF207"/>
      <c r="EMG207"/>
      <c r="EMH207"/>
      <c r="EMI207"/>
      <c r="EMJ207"/>
      <c r="EMK207"/>
      <c r="EML207"/>
      <c r="EMM207"/>
      <c r="EMN207"/>
      <c r="EMO207"/>
      <c r="EMP207"/>
      <c r="EMQ207"/>
      <c r="EMR207"/>
      <c r="EMS207"/>
      <c r="EMT207"/>
      <c r="EMU207"/>
      <c r="EMV207"/>
      <c r="EMW207"/>
      <c r="EMX207"/>
      <c r="EMY207"/>
      <c r="EMZ207"/>
      <c r="ENA207"/>
      <c r="ENB207"/>
      <c r="ENC207"/>
      <c r="END207"/>
      <c r="ENE207"/>
      <c r="ENF207"/>
      <c r="ENG207"/>
      <c r="ENH207"/>
      <c r="ENI207"/>
      <c r="ENJ207"/>
      <c r="ENK207"/>
      <c r="ENL207"/>
      <c r="ENM207"/>
      <c r="ENN207"/>
      <c r="ENO207"/>
      <c r="ENP207"/>
      <c r="ENQ207"/>
      <c r="ENR207"/>
      <c r="ENS207"/>
      <c r="ENT207"/>
      <c r="ENU207"/>
      <c r="ENV207"/>
      <c r="ENW207"/>
      <c r="ENX207"/>
      <c r="ENY207"/>
      <c r="ENZ207"/>
      <c r="EOA207"/>
      <c r="EOB207"/>
      <c r="EOC207"/>
      <c r="EOD207"/>
      <c r="EOE207"/>
      <c r="EOF207"/>
      <c r="EOG207"/>
      <c r="EOH207"/>
      <c r="EOI207"/>
      <c r="EOJ207"/>
      <c r="EOK207"/>
      <c r="EOL207"/>
      <c r="EOM207"/>
      <c r="EON207"/>
      <c r="EOO207"/>
      <c r="EOP207"/>
      <c r="EOQ207"/>
      <c r="EOR207"/>
      <c r="EOS207"/>
      <c r="EOT207"/>
      <c r="EOU207"/>
      <c r="EOV207"/>
      <c r="EOW207"/>
      <c r="EOX207"/>
      <c r="EOY207"/>
      <c r="EOZ207"/>
      <c r="EPA207"/>
      <c r="EPB207"/>
      <c r="EPC207"/>
      <c r="EPD207"/>
      <c r="EPE207"/>
      <c r="EPF207"/>
      <c r="EPG207"/>
      <c r="EPH207"/>
      <c r="EPI207"/>
      <c r="EPJ207"/>
      <c r="EPK207"/>
      <c r="EPL207"/>
      <c r="EPM207"/>
      <c r="EPN207"/>
      <c r="EPO207"/>
      <c r="EPP207"/>
      <c r="EPQ207"/>
      <c r="EPR207"/>
      <c r="EPS207"/>
      <c r="EPT207"/>
      <c r="EPU207"/>
      <c r="EPV207"/>
      <c r="EPW207"/>
      <c r="EPX207"/>
      <c r="EPY207"/>
      <c r="EPZ207"/>
      <c r="EQA207"/>
      <c r="EQB207"/>
      <c r="EQC207"/>
      <c r="EQD207"/>
      <c r="EQE207"/>
      <c r="EQF207"/>
      <c r="EQG207"/>
      <c r="EQH207"/>
      <c r="EQI207"/>
      <c r="EQJ207"/>
      <c r="EQK207"/>
      <c r="EQL207"/>
      <c r="EQM207"/>
      <c r="EQN207"/>
      <c r="EQO207"/>
      <c r="EQP207"/>
      <c r="EQQ207"/>
      <c r="EQR207"/>
      <c r="EQS207"/>
      <c r="EQT207"/>
      <c r="EQU207"/>
      <c r="EQV207"/>
      <c r="EQW207"/>
      <c r="EQX207"/>
      <c r="EQY207"/>
      <c r="EQZ207"/>
      <c r="ERA207"/>
      <c r="ERB207"/>
      <c r="ERC207"/>
      <c r="ERD207"/>
      <c r="ERE207"/>
      <c r="ERF207"/>
      <c r="ERG207"/>
      <c r="ERH207"/>
      <c r="ERI207"/>
      <c r="ERJ207"/>
      <c r="ERK207"/>
      <c r="ERL207"/>
      <c r="ERM207"/>
      <c r="ERN207"/>
      <c r="ERO207"/>
      <c r="ERP207"/>
      <c r="ERQ207"/>
      <c r="ERR207"/>
      <c r="ERS207"/>
      <c r="ERT207"/>
      <c r="ERU207"/>
      <c r="ERV207"/>
      <c r="ERW207"/>
      <c r="ERX207"/>
      <c r="ERY207"/>
      <c r="ERZ207"/>
      <c r="ESA207"/>
      <c r="ESB207"/>
      <c r="ESC207"/>
      <c r="ESD207"/>
      <c r="ESE207"/>
      <c r="ESF207"/>
      <c r="ESG207"/>
      <c r="ESH207"/>
      <c r="ESI207"/>
      <c r="ESJ207"/>
      <c r="ESK207"/>
      <c r="ESL207"/>
      <c r="ESM207"/>
      <c r="ESN207"/>
      <c r="ESO207"/>
      <c r="ESP207"/>
      <c r="ESQ207"/>
      <c r="ESR207"/>
      <c r="ESS207"/>
      <c r="EST207"/>
      <c r="ESU207"/>
      <c r="ESV207"/>
      <c r="ESW207"/>
      <c r="ESX207"/>
      <c r="ESY207"/>
      <c r="ESZ207"/>
      <c r="ETA207"/>
      <c r="ETB207"/>
      <c r="ETC207"/>
      <c r="ETD207"/>
      <c r="ETE207"/>
      <c r="ETF207"/>
      <c r="ETG207"/>
      <c r="ETH207"/>
      <c r="ETI207"/>
      <c r="ETJ207"/>
      <c r="ETK207"/>
      <c r="ETL207"/>
      <c r="ETM207"/>
      <c r="ETN207"/>
      <c r="ETO207"/>
      <c r="ETP207"/>
      <c r="ETQ207"/>
      <c r="ETR207"/>
      <c r="ETS207"/>
      <c r="ETT207"/>
      <c r="ETU207"/>
      <c r="ETV207"/>
      <c r="ETW207"/>
      <c r="ETX207"/>
      <c r="ETY207"/>
      <c r="ETZ207"/>
      <c r="EUA207"/>
      <c r="EUB207"/>
      <c r="EUC207"/>
      <c r="EUD207"/>
      <c r="EUE207"/>
      <c r="EUF207"/>
      <c r="EUG207"/>
      <c r="EUH207"/>
      <c r="EUI207"/>
      <c r="EUJ207"/>
      <c r="EUK207"/>
      <c r="EUL207"/>
      <c r="EUM207"/>
      <c r="EUN207"/>
      <c r="EUO207"/>
      <c r="EUP207"/>
      <c r="EUQ207"/>
      <c r="EUR207"/>
      <c r="EUS207"/>
      <c r="EUT207"/>
      <c r="EUU207"/>
      <c r="EUV207"/>
      <c r="EUW207"/>
      <c r="EUX207"/>
      <c r="EUY207"/>
      <c r="EUZ207"/>
      <c r="EVA207"/>
      <c r="EVB207"/>
      <c r="EVC207"/>
      <c r="EVD207"/>
      <c r="EVE207"/>
      <c r="EVF207"/>
      <c r="EVG207"/>
      <c r="EVH207"/>
      <c r="EVI207"/>
      <c r="EVJ207"/>
      <c r="EVK207"/>
      <c r="EVL207"/>
      <c r="EVM207"/>
      <c r="EVN207"/>
      <c r="EVO207"/>
      <c r="EVP207"/>
      <c r="EVQ207"/>
      <c r="EVR207"/>
      <c r="EVS207"/>
      <c r="EVT207"/>
      <c r="EVU207"/>
      <c r="EVV207"/>
      <c r="EVW207"/>
      <c r="EVX207"/>
      <c r="EVY207"/>
      <c r="EVZ207"/>
      <c r="EWA207"/>
      <c r="EWB207"/>
      <c r="EWC207"/>
      <c r="EWD207"/>
      <c r="EWE207"/>
      <c r="EWF207"/>
      <c r="EWG207"/>
      <c r="EWH207"/>
      <c r="EWI207"/>
      <c r="EWJ207"/>
      <c r="EWK207"/>
      <c r="EWL207"/>
      <c r="EWM207"/>
      <c r="EWN207"/>
      <c r="EWO207"/>
      <c r="EWP207"/>
      <c r="EWQ207"/>
      <c r="EWR207"/>
      <c r="EWS207"/>
      <c r="EWT207"/>
      <c r="EWU207"/>
      <c r="EWV207"/>
      <c r="EWW207"/>
      <c r="EWX207"/>
      <c r="EWY207"/>
      <c r="EWZ207"/>
      <c r="EXA207"/>
      <c r="EXB207"/>
      <c r="EXC207"/>
      <c r="EXD207"/>
      <c r="EXE207"/>
      <c r="EXF207"/>
      <c r="EXG207"/>
      <c r="EXH207"/>
      <c r="EXI207"/>
      <c r="EXJ207"/>
      <c r="EXK207"/>
      <c r="EXL207"/>
      <c r="EXM207"/>
      <c r="EXN207"/>
      <c r="EXO207"/>
      <c r="EXP207"/>
      <c r="EXQ207"/>
      <c r="EXR207"/>
      <c r="EXS207"/>
      <c r="EXT207"/>
      <c r="EXU207"/>
      <c r="EXV207"/>
      <c r="EXW207"/>
      <c r="EXX207"/>
      <c r="EXY207"/>
      <c r="EXZ207"/>
      <c r="EYA207"/>
      <c r="EYB207"/>
      <c r="EYC207"/>
      <c r="EYD207"/>
      <c r="EYE207"/>
      <c r="EYF207"/>
      <c r="EYG207"/>
      <c r="EYH207"/>
      <c r="EYI207"/>
      <c r="EYJ207"/>
      <c r="EYK207"/>
      <c r="EYL207"/>
      <c r="EYM207"/>
      <c r="EYN207"/>
      <c r="EYO207"/>
      <c r="EYP207"/>
      <c r="EYQ207"/>
      <c r="EYR207"/>
      <c r="EYS207"/>
      <c r="EYT207"/>
      <c r="EYU207"/>
      <c r="EYV207"/>
      <c r="EYW207"/>
      <c r="EYX207"/>
      <c r="EYY207"/>
      <c r="EYZ207"/>
      <c r="EZA207"/>
      <c r="EZB207"/>
      <c r="EZC207"/>
      <c r="EZD207"/>
      <c r="EZE207"/>
      <c r="EZF207"/>
      <c r="EZG207"/>
      <c r="EZH207"/>
      <c r="EZI207"/>
      <c r="EZJ207"/>
      <c r="EZK207"/>
      <c r="EZL207"/>
      <c r="EZM207"/>
      <c r="EZN207"/>
      <c r="EZO207"/>
      <c r="EZP207"/>
      <c r="EZQ207"/>
      <c r="EZR207"/>
      <c r="EZS207"/>
      <c r="EZT207"/>
      <c r="EZU207"/>
      <c r="EZV207"/>
      <c r="EZW207"/>
      <c r="EZX207"/>
      <c r="EZY207"/>
      <c r="EZZ207"/>
      <c r="FAA207"/>
      <c r="FAB207"/>
      <c r="FAC207"/>
      <c r="FAD207"/>
      <c r="FAE207"/>
      <c r="FAF207"/>
      <c r="FAG207"/>
      <c r="FAH207"/>
      <c r="FAI207"/>
      <c r="FAJ207"/>
      <c r="FAK207"/>
      <c r="FAL207"/>
      <c r="FAM207"/>
      <c r="FAN207"/>
      <c r="FAO207"/>
      <c r="FAP207"/>
      <c r="FAQ207"/>
      <c r="FAR207"/>
      <c r="FAS207"/>
      <c r="FAT207"/>
      <c r="FAU207"/>
      <c r="FAV207"/>
      <c r="FAW207"/>
      <c r="FAX207"/>
      <c r="FAY207"/>
      <c r="FAZ207"/>
      <c r="FBA207"/>
      <c r="FBB207"/>
      <c r="FBC207"/>
      <c r="FBD207"/>
      <c r="FBE207"/>
      <c r="FBF207"/>
      <c r="FBG207"/>
      <c r="FBH207"/>
      <c r="FBI207"/>
      <c r="FBJ207"/>
      <c r="FBK207"/>
      <c r="FBL207"/>
      <c r="FBM207"/>
      <c r="FBN207"/>
      <c r="FBO207"/>
      <c r="FBP207"/>
      <c r="FBQ207"/>
      <c r="FBR207"/>
      <c r="FBS207"/>
      <c r="FBT207"/>
      <c r="FBU207"/>
      <c r="FBV207"/>
      <c r="FBW207"/>
      <c r="FBX207"/>
      <c r="FBY207"/>
      <c r="FBZ207"/>
      <c r="FCA207"/>
      <c r="FCB207"/>
      <c r="FCC207"/>
      <c r="FCD207"/>
      <c r="FCE207"/>
      <c r="FCF207"/>
      <c r="FCG207"/>
      <c r="FCH207"/>
      <c r="FCI207"/>
      <c r="FCJ207"/>
      <c r="FCK207"/>
      <c r="FCL207"/>
      <c r="FCM207"/>
      <c r="FCN207"/>
      <c r="FCO207"/>
      <c r="FCP207"/>
      <c r="FCQ207"/>
      <c r="FCR207"/>
      <c r="FCS207"/>
      <c r="FCT207"/>
      <c r="FCU207"/>
      <c r="FCV207"/>
      <c r="FCW207"/>
      <c r="FCX207"/>
      <c r="FCY207"/>
      <c r="FCZ207"/>
      <c r="FDA207"/>
      <c r="FDB207"/>
      <c r="FDC207"/>
      <c r="FDD207"/>
      <c r="FDE207"/>
      <c r="FDF207"/>
      <c r="FDG207"/>
      <c r="FDH207"/>
      <c r="FDI207"/>
      <c r="FDJ207"/>
      <c r="FDK207"/>
      <c r="FDL207"/>
      <c r="FDM207"/>
      <c r="FDN207"/>
      <c r="FDO207"/>
      <c r="FDP207"/>
      <c r="FDQ207"/>
      <c r="FDR207"/>
      <c r="FDS207"/>
      <c r="FDT207"/>
      <c r="FDU207"/>
      <c r="FDV207"/>
      <c r="FDW207"/>
      <c r="FDX207"/>
      <c r="FDY207"/>
      <c r="FDZ207"/>
      <c r="FEA207"/>
      <c r="FEB207"/>
      <c r="FEC207"/>
      <c r="FED207"/>
      <c r="FEE207"/>
      <c r="FEF207"/>
      <c r="FEG207"/>
      <c r="FEH207"/>
      <c r="FEI207"/>
      <c r="FEJ207"/>
      <c r="FEK207"/>
      <c r="FEL207"/>
      <c r="FEM207"/>
      <c r="FEN207"/>
      <c r="FEO207"/>
      <c r="FEP207"/>
      <c r="FEQ207"/>
      <c r="FER207"/>
      <c r="FES207"/>
      <c r="FET207"/>
      <c r="FEU207"/>
      <c r="FEV207"/>
      <c r="FEW207"/>
      <c r="FEX207"/>
      <c r="FEY207"/>
      <c r="FEZ207"/>
      <c r="FFA207"/>
      <c r="FFB207"/>
      <c r="FFC207"/>
      <c r="FFD207"/>
      <c r="FFE207"/>
      <c r="FFF207"/>
      <c r="FFG207"/>
      <c r="FFH207"/>
      <c r="FFI207"/>
      <c r="FFJ207"/>
      <c r="FFK207"/>
      <c r="FFL207"/>
      <c r="FFM207"/>
      <c r="FFN207"/>
      <c r="FFO207"/>
      <c r="FFP207"/>
      <c r="FFQ207"/>
      <c r="FFR207"/>
      <c r="FFS207"/>
      <c r="FFT207"/>
      <c r="FFU207"/>
      <c r="FFV207"/>
      <c r="FFW207"/>
      <c r="FFX207"/>
      <c r="FFY207"/>
      <c r="FFZ207"/>
      <c r="FGA207"/>
      <c r="FGB207"/>
      <c r="FGC207"/>
      <c r="FGD207"/>
      <c r="FGE207"/>
      <c r="FGF207"/>
      <c r="FGG207"/>
      <c r="FGH207"/>
      <c r="FGI207"/>
      <c r="FGJ207"/>
      <c r="FGK207"/>
      <c r="FGL207"/>
      <c r="FGM207"/>
      <c r="FGN207"/>
      <c r="FGO207"/>
      <c r="FGP207"/>
      <c r="FGQ207"/>
      <c r="FGR207"/>
      <c r="FGS207"/>
      <c r="FGT207"/>
      <c r="FGU207"/>
      <c r="FGV207"/>
      <c r="FGW207"/>
      <c r="FGX207"/>
      <c r="FGY207"/>
      <c r="FGZ207"/>
      <c r="FHA207"/>
      <c r="FHB207"/>
      <c r="FHC207"/>
      <c r="FHD207"/>
      <c r="FHE207"/>
      <c r="FHF207"/>
      <c r="FHG207"/>
      <c r="FHH207"/>
      <c r="FHI207"/>
      <c r="FHJ207"/>
      <c r="FHK207"/>
      <c r="FHL207"/>
      <c r="FHM207"/>
      <c r="FHN207"/>
      <c r="FHO207"/>
      <c r="FHP207"/>
      <c r="FHQ207"/>
      <c r="FHR207"/>
      <c r="FHS207"/>
      <c r="FHT207"/>
      <c r="FHU207"/>
      <c r="FHV207"/>
      <c r="FHW207"/>
      <c r="FHX207"/>
      <c r="FHY207"/>
      <c r="FHZ207"/>
      <c r="FIA207"/>
      <c r="FIB207"/>
      <c r="FIC207"/>
      <c r="FID207"/>
      <c r="FIE207"/>
      <c r="FIF207"/>
      <c r="FIG207"/>
      <c r="FIH207"/>
      <c r="FII207"/>
      <c r="FIJ207"/>
      <c r="FIK207"/>
      <c r="FIL207"/>
      <c r="FIM207"/>
      <c r="FIN207"/>
      <c r="FIO207"/>
      <c r="FIP207"/>
      <c r="FIQ207"/>
      <c r="FIR207"/>
      <c r="FIS207"/>
      <c r="FIT207"/>
      <c r="FIU207"/>
      <c r="FIV207"/>
      <c r="FIW207"/>
      <c r="FIX207"/>
      <c r="FIY207"/>
      <c r="FIZ207"/>
      <c r="FJA207"/>
      <c r="FJB207"/>
      <c r="FJC207"/>
      <c r="FJD207"/>
      <c r="FJE207"/>
      <c r="FJF207"/>
      <c r="FJG207"/>
      <c r="FJH207"/>
      <c r="FJI207"/>
      <c r="FJJ207"/>
      <c r="FJK207"/>
      <c r="FJL207"/>
      <c r="FJM207"/>
      <c r="FJN207"/>
      <c r="FJO207"/>
      <c r="FJP207"/>
      <c r="FJQ207"/>
      <c r="FJR207"/>
      <c r="FJS207"/>
      <c r="FJT207"/>
      <c r="FJU207"/>
      <c r="FJV207"/>
      <c r="FJW207"/>
      <c r="FJX207"/>
      <c r="FJY207"/>
      <c r="FJZ207"/>
      <c r="FKA207"/>
      <c r="FKB207"/>
      <c r="FKC207"/>
      <c r="FKD207"/>
      <c r="FKE207"/>
      <c r="FKF207"/>
      <c r="FKG207"/>
      <c r="FKH207"/>
      <c r="FKI207"/>
      <c r="FKJ207"/>
      <c r="FKK207"/>
      <c r="FKL207"/>
      <c r="FKM207"/>
      <c r="FKN207"/>
      <c r="FKO207"/>
      <c r="FKP207"/>
      <c r="FKQ207"/>
      <c r="FKR207"/>
      <c r="FKS207"/>
      <c r="FKT207"/>
      <c r="FKU207"/>
      <c r="FKV207"/>
      <c r="FKW207"/>
      <c r="FKX207"/>
      <c r="FKY207"/>
      <c r="FKZ207"/>
      <c r="FLA207"/>
      <c r="FLB207"/>
      <c r="FLC207"/>
      <c r="FLD207"/>
      <c r="FLE207"/>
      <c r="FLF207"/>
      <c r="FLG207"/>
      <c r="FLH207"/>
      <c r="FLI207"/>
      <c r="FLJ207"/>
      <c r="FLK207"/>
      <c r="FLL207"/>
      <c r="FLM207"/>
      <c r="FLN207"/>
      <c r="FLO207"/>
      <c r="FLP207"/>
      <c r="FLQ207"/>
      <c r="FLR207"/>
      <c r="FLS207"/>
      <c r="FLT207"/>
      <c r="FLU207"/>
      <c r="FLV207"/>
      <c r="FLW207"/>
      <c r="FLX207"/>
      <c r="FLY207"/>
      <c r="FLZ207"/>
      <c r="FMA207"/>
      <c r="FMB207"/>
      <c r="FMC207"/>
      <c r="FMD207"/>
      <c r="FME207"/>
      <c r="FMF207"/>
      <c r="FMG207"/>
      <c r="FMH207"/>
      <c r="FMI207"/>
      <c r="FMJ207"/>
      <c r="FMK207"/>
      <c r="FML207"/>
      <c r="FMM207"/>
      <c r="FMN207"/>
      <c r="FMO207"/>
      <c r="FMP207"/>
      <c r="FMQ207"/>
      <c r="FMR207"/>
      <c r="FMS207"/>
      <c r="FMT207"/>
      <c r="FMU207"/>
      <c r="FMV207"/>
      <c r="FMW207"/>
      <c r="FMX207"/>
      <c r="FMY207"/>
      <c r="FMZ207"/>
      <c r="FNA207"/>
      <c r="FNB207"/>
      <c r="FNC207"/>
      <c r="FND207"/>
      <c r="FNE207"/>
      <c r="FNF207"/>
      <c r="FNG207"/>
      <c r="FNH207"/>
      <c r="FNI207"/>
      <c r="FNJ207"/>
      <c r="FNK207"/>
      <c r="FNL207"/>
      <c r="FNM207"/>
      <c r="FNN207"/>
      <c r="FNO207"/>
      <c r="FNP207"/>
      <c r="FNQ207"/>
      <c r="FNR207"/>
      <c r="FNS207"/>
      <c r="FNT207"/>
      <c r="FNU207"/>
      <c r="FNV207"/>
      <c r="FNW207"/>
      <c r="FNX207"/>
      <c r="FNY207"/>
      <c r="FNZ207"/>
      <c r="FOA207"/>
      <c r="FOB207"/>
      <c r="FOC207"/>
      <c r="FOD207"/>
      <c r="FOE207"/>
      <c r="FOF207"/>
      <c r="FOG207"/>
      <c r="FOH207"/>
      <c r="FOI207"/>
      <c r="FOJ207"/>
      <c r="FOK207"/>
      <c r="FOL207"/>
      <c r="FOM207"/>
      <c r="FON207"/>
      <c r="FOO207"/>
      <c r="FOP207"/>
      <c r="FOQ207"/>
      <c r="FOR207"/>
      <c r="FOS207"/>
      <c r="FOT207"/>
      <c r="FOU207"/>
      <c r="FOV207"/>
      <c r="FOW207"/>
      <c r="FOX207"/>
      <c r="FOY207"/>
      <c r="FOZ207"/>
      <c r="FPA207"/>
      <c r="FPB207"/>
      <c r="FPC207"/>
      <c r="FPD207"/>
      <c r="FPE207"/>
      <c r="FPF207"/>
      <c r="FPG207"/>
      <c r="FPH207"/>
      <c r="FPI207"/>
      <c r="FPJ207"/>
      <c r="FPK207"/>
      <c r="FPL207"/>
      <c r="FPM207"/>
      <c r="FPN207"/>
      <c r="FPO207"/>
      <c r="FPP207"/>
      <c r="FPQ207"/>
      <c r="FPR207"/>
      <c r="FPS207"/>
      <c r="FPT207"/>
      <c r="FPU207"/>
      <c r="FPV207"/>
      <c r="FPW207"/>
      <c r="FPX207"/>
      <c r="FPY207"/>
      <c r="FPZ207"/>
      <c r="FQA207"/>
      <c r="FQB207"/>
      <c r="FQC207"/>
      <c r="FQD207"/>
      <c r="FQE207"/>
      <c r="FQF207"/>
      <c r="FQG207"/>
      <c r="FQH207"/>
      <c r="FQI207"/>
      <c r="FQJ207"/>
      <c r="FQK207"/>
      <c r="FQL207"/>
      <c r="FQM207"/>
      <c r="FQN207"/>
      <c r="FQO207"/>
      <c r="FQP207"/>
      <c r="FQQ207"/>
      <c r="FQR207"/>
      <c r="FQS207"/>
      <c r="FQT207"/>
      <c r="FQU207"/>
      <c r="FQV207"/>
      <c r="FQW207"/>
      <c r="FQX207"/>
      <c r="FQY207"/>
      <c r="FQZ207"/>
      <c r="FRA207"/>
      <c r="FRB207"/>
      <c r="FRC207"/>
      <c r="FRD207"/>
      <c r="FRE207"/>
      <c r="FRF207"/>
      <c r="FRG207"/>
      <c r="FRH207"/>
      <c r="FRI207"/>
      <c r="FRJ207"/>
      <c r="FRK207"/>
      <c r="FRL207"/>
      <c r="FRM207"/>
      <c r="FRN207"/>
      <c r="FRO207"/>
      <c r="FRP207"/>
      <c r="FRQ207"/>
      <c r="FRR207"/>
      <c r="FRS207"/>
      <c r="FRT207"/>
      <c r="FRU207"/>
      <c r="FRV207"/>
      <c r="FRW207"/>
      <c r="FRX207"/>
      <c r="FRY207"/>
      <c r="FRZ207"/>
      <c r="FSA207"/>
      <c r="FSB207"/>
      <c r="FSC207"/>
      <c r="FSD207"/>
      <c r="FSE207"/>
      <c r="FSF207"/>
      <c r="FSG207"/>
      <c r="FSH207"/>
      <c r="FSI207"/>
      <c r="FSJ207"/>
      <c r="FSK207"/>
      <c r="FSL207"/>
      <c r="FSM207"/>
      <c r="FSN207"/>
      <c r="FSO207"/>
      <c r="FSP207"/>
      <c r="FSQ207"/>
      <c r="FSR207"/>
      <c r="FSS207"/>
      <c r="FST207"/>
      <c r="FSU207"/>
      <c r="FSV207"/>
      <c r="FSW207"/>
      <c r="FSX207"/>
      <c r="FSY207"/>
      <c r="FSZ207"/>
      <c r="FTA207"/>
      <c r="FTB207"/>
      <c r="FTC207"/>
      <c r="FTD207"/>
      <c r="FTE207"/>
      <c r="FTF207"/>
      <c r="FTG207"/>
      <c r="FTH207"/>
      <c r="FTI207"/>
      <c r="FTJ207"/>
      <c r="FTK207"/>
      <c r="FTL207"/>
      <c r="FTM207"/>
      <c r="FTN207"/>
      <c r="FTO207"/>
      <c r="FTP207"/>
      <c r="FTQ207"/>
      <c r="FTR207"/>
      <c r="FTS207"/>
      <c r="FTT207"/>
      <c r="FTU207"/>
      <c r="FTV207"/>
      <c r="FTW207"/>
      <c r="FTX207"/>
      <c r="FTY207"/>
      <c r="FTZ207"/>
      <c r="FUA207"/>
      <c r="FUB207"/>
      <c r="FUC207"/>
      <c r="FUD207"/>
      <c r="FUE207"/>
      <c r="FUF207"/>
      <c r="FUG207"/>
      <c r="FUH207"/>
      <c r="FUI207"/>
      <c r="FUJ207"/>
      <c r="FUK207"/>
      <c r="FUL207"/>
      <c r="FUM207"/>
      <c r="FUN207"/>
      <c r="FUO207"/>
      <c r="FUP207"/>
      <c r="FUQ207"/>
      <c r="FUR207"/>
      <c r="FUS207"/>
      <c r="FUT207"/>
      <c r="FUU207"/>
      <c r="FUV207"/>
      <c r="FUW207"/>
      <c r="FUX207"/>
      <c r="FUY207"/>
      <c r="FUZ207"/>
      <c r="FVA207"/>
      <c r="FVB207"/>
      <c r="FVC207"/>
      <c r="FVD207"/>
      <c r="FVE207"/>
      <c r="FVF207"/>
      <c r="FVG207"/>
      <c r="FVH207"/>
      <c r="FVI207"/>
      <c r="FVJ207"/>
      <c r="FVK207"/>
      <c r="FVL207"/>
      <c r="FVM207"/>
      <c r="FVN207"/>
      <c r="FVO207"/>
      <c r="FVP207"/>
      <c r="FVQ207"/>
      <c r="FVR207"/>
      <c r="FVS207"/>
      <c r="FVT207"/>
      <c r="FVU207"/>
      <c r="FVV207"/>
      <c r="FVW207"/>
      <c r="FVX207"/>
      <c r="FVY207"/>
      <c r="FVZ207"/>
      <c r="FWA207"/>
      <c r="FWB207"/>
      <c r="FWC207"/>
      <c r="FWD207"/>
      <c r="FWE207"/>
      <c r="FWF207"/>
      <c r="FWG207"/>
      <c r="FWH207"/>
      <c r="FWI207"/>
      <c r="FWJ207"/>
      <c r="FWK207"/>
      <c r="FWL207"/>
      <c r="FWM207"/>
      <c r="FWN207"/>
      <c r="FWO207"/>
      <c r="FWP207"/>
      <c r="FWQ207"/>
      <c r="FWR207"/>
      <c r="FWS207"/>
      <c r="FWT207"/>
      <c r="FWU207"/>
      <c r="FWV207"/>
      <c r="FWW207"/>
      <c r="FWX207"/>
      <c r="FWY207"/>
      <c r="FWZ207"/>
      <c r="FXA207"/>
      <c r="FXB207"/>
      <c r="FXC207"/>
      <c r="FXD207"/>
      <c r="FXE207"/>
      <c r="FXF207"/>
      <c r="FXG207"/>
      <c r="FXH207"/>
      <c r="FXI207"/>
      <c r="FXJ207"/>
      <c r="FXK207"/>
      <c r="FXL207"/>
      <c r="FXM207"/>
      <c r="FXN207"/>
      <c r="FXO207"/>
      <c r="FXP207"/>
      <c r="FXQ207"/>
      <c r="FXR207"/>
      <c r="FXS207"/>
      <c r="FXT207"/>
      <c r="FXU207"/>
      <c r="FXV207"/>
      <c r="FXW207"/>
      <c r="FXX207"/>
      <c r="FXY207"/>
      <c r="FXZ207"/>
      <c r="FYA207"/>
      <c r="FYB207"/>
      <c r="FYC207"/>
      <c r="FYD207"/>
      <c r="FYE207"/>
      <c r="FYF207"/>
      <c r="FYG207"/>
      <c r="FYH207"/>
      <c r="FYI207"/>
      <c r="FYJ207"/>
      <c r="FYK207"/>
      <c r="FYL207"/>
      <c r="FYM207"/>
      <c r="FYN207"/>
      <c r="FYO207"/>
      <c r="FYP207"/>
      <c r="FYQ207"/>
      <c r="FYR207"/>
      <c r="FYS207"/>
      <c r="FYT207"/>
      <c r="FYU207"/>
      <c r="FYV207"/>
      <c r="FYW207"/>
      <c r="FYX207"/>
      <c r="FYY207"/>
      <c r="FYZ207"/>
      <c r="FZA207"/>
      <c r="FZB207"/>
      <c r="FZC207"/>
      <c r="FZD207"/>
      <c r="FZE207"/>
      <c r="FZF207"/>
      <c r="FZG207"/>
      <c r="FZH207"/>
      <c r="FZI207"/>
      <c r="FZJ207"/>
      <c r="FZK207"/>
      <c r="FZL207"/>
      <c r="FZM207"/>
      <c r="FZN207"/>
      <c r="FZO207"/>
      <c r="FZP207"/>
      <c r="FZQ207"/>
      <c r="FZR207"/>
      <c r="FZS207"/>
      <c r="FZT207"/>
      <c r="FZU207"/>
      <c r="FZV207"/>
      <c r="FZW207"/>
      <c r="FZX207"/>
      <c r="FZY207"/>
      <c r="FZZ207"/>
      <c r="GAA207"/>
      <c r="GAB207"/>
      <c r="GAC207"/>
      <c r="GAD207"/>
      <c r="GAE207"/>
      <c r="GAF207"/>
      <c r="GAG207"/>
      <c r="GAH207"/>
      <c r="GAI207"/>
      <c r="GAJ207"/>
      <c r="GAK207"/>
      <c r="GAL207"/>
      <c r="GAM207"/>
      <c r="GAN207"/>
      <c r="GAO207"/>
      <c r="GAP207"/>
      <c r="GAQ207"/>
      <c r="GAR207"/>
      <c r="GAS207"/>
      <c r="GAT207"/>
      <c r="GAU207"/>
      <c r="GAV207"/>
      <c r="GAW207"/>
      <c r="GAX207"/>
      <c r="GAY207"/>
      <c r="GAZ207"/>
      <c r="GBA207"/>
      <c r="GBB207"/>
      <c r="GBC207"/>
      <c r="GBD207"/>
      <c r="GBE207"/>
      <c r="GBF207"/>
      <c r="GBG207"/>
      <c r="GBH207"/>
      <c r="GBI207"/>
      <c r="GBJ207"/>
      <c r="GBK207"/>
      <c r="GBL207"/>
      <c r="GBM207"/>
      <c r="GBN207"/>
      <c r="GBO207"/>
      <c r="GBP207"/>
      <c r="GBQ207"/>
      <c r="GBR207"/>
      <c r="GBS207"/>
      <c r="GBT207"/>
      <c r="GBU207"/>
      <c r="GBV207"/>
      <c r="GBW207"/>
      <c r="GBX207"/>
      <c r="GBY207"/>
      <c r="GBZ207"/>
      <c r="GCA207"/>
      <c r="GCB207"/>
      <c r="GCC207"/>
      <c r="GCD207"/>
      <c r="GCE207"/>
      <c r="GCF207"/>
      <c r="GCG207"/>
      <c r="GCH207"/>
      <c r="GCI207"/>
      <c r="GCJ207"/>
      <c r="GCK207"/>
      <c r="GCL207"/>
      <c r="GCM207"/>
      <c r="GCN207"/>
      <c r="GCO207"/>
      <c r="GCP207"/>
      <c r="GCQ207"/>
      <c r="GCR207"/>
      <c r="GCS207"/>
      <c r="GCT207"/>
      <c r="GCU207"/>
      <c r="GCV207"/>
      <c r="GCW207"/>
      <c r="GCX207"/>
      <c r="GCY207"/>
      <c r="GCZ207"/>
      <c r="GDA207"/>
      <c r="GDB207"/>
      <c r="GDC207"/>
      <c r="GDD207"/>
      <c r="GDE207"/>
      <c r="GDF207"/>
      <c r="GDG207"/>
      <c r="GDH207"/>
      <c r="GDI207"/>
      <c r="GDJ207"/>
      <c r="GDK207"/>
      <c r="GDL207"/>
      <c r="GDM207"/>
      <c r="GDN207"/>
      <c r="GDO207"/>
      <c r="GDP207"/>
      <c r="GDQ207"/>
      <c r="GDR207"/>
      <c r="GDS207"/>
      <c r="GDT207"/>
      <c r="GDU207"/>
      <c r="GDV207"/>
      <c r="GDW207"/>
      <c r="GDX207"/>
      <c r="GDY207"/>
      <c r="GDZ207"/>
      <c r="GEA207"/>
      <c r="GEB207"/>
      <c r="GEC207"/>
      <c r="GED207"/>
      <c r="GEE207"/>
      <c r="GEF207"/>
      <c r="GEG207"/>
      <c r="GEH207"/>
      <c r="GEI207"/>
      <c r="GEJ207"/>
      <c r="GEK207"/>
      <c r="GEL207"/>
      <c r="GEM207"/>
      <c r="GEN207"/>
      <c r="GEO207"/>
      <c r="GEP207"/>
      <c r="GEQ207"/>
      <c r="GER207"/>
      <c r="GES207"/>
      <c r="GET207"/>
      <c r="GEU207"/>
      <c r="GEV207"/>
      <c r="GEW207"/>
      <c r="GEX207"/>
      <c r="GEY207"/>
      <c r="GEZ207"/>
      <c r="GFA207"/>
      <c r="GFB207"/>
      <c r="GFC207"/>
      <c r="GFD207"/>
      <c r="GFE207"/>
      <c r="GFF207"/>
      <c r="GFG207"/>
      <c r="GFH207"/>
      <c r="GFI207"/>
      <c r="GFJ207"/>
      <c r="GFK207"/>
      <c r="GFL207"/>
      <c r="GFM207"/>
      <c r="GFN207"/>
      <c r="GFO207"/>
      <c r="GFP207"/>
      <c r="GFQ207"/>
      <c r="GFR207"/>
      <c r="GFS207"/>
      <c r="GFT207"/>
      <c r="GFU207"/>
      <c r="GFV207"/>
      <c r="GFW207"/>
      <c r="GFX207"/>
      <c r="GFY207"/>
      <c r="GFZ207"/>
      <c r="GGA207"/>
      <c r="GGB207"/>
      <c r="GGC207"/>
      <c r="GGD207"/>
      <c r="GGE207"/>
      <c r="GGF207"/>
      <c r="GGG207"/>
      <c r="GGH207"/>
      <c r="GGI207"/>
      <c r="GGJ207"/>
      <c r="GGK207"/>
      <c r="GGL207"/>
      <c r="GGM207"/>
      <c r="GGN207"/>
      <c r="GGO207"/>
      <c r="GGP207"/>
      <c r="GGQ207"/>
      <c r="GGR207"/>
      <c r="GGS207"/>
      <c r="GGT207"/>
      <c r="GGU207"/>
      <c r="GGV207"/>
      <c r="GGW207"/>
      <c r="GGX207"/>
      <c r="GGY207"/>
      <c r="GGZ207"/>
      <c r="GHA207"/>
      <c r="GHB207"/>
      <c r="GHC207"/>
      <c r="GHD207"/>
      <c r="GHE207"/>
      <c r="GHF207"/>
      <c r="GHG207"/>
      <c r="GHH207"/>
      <c r="GHI207"/>
      <c r="GHJ207"/>
      <c r="GHK207"/>
      <c r="GHL207"/>
      <c r="GHM207"/>
      <c r="GHN207"/>
      <c r="GHO207"/>
      <c r="GHP207"/>
      <c r="GHQ207"/>
      <c r="GHR207"/>
      <c r="GHS207"/>
      <c r="GHT207"/>
      <c r="GHU207"/>
      <c r="GHV207"/>
      <c r="GHW207"/>
      <c r="GHX207"/>
      <c r="GHY207"/>
      <c r="GHZ207"/>
      <c r="GIA207"/>
      <c r="GIB207"/>
      <c r="GIC207"/>
      <c r="GID207"/>
      <c r="GIE207"/>
      <c r="GIF207"/>
      <c r="GIG207"/>
      <c r="GIH207"/>
      <c r="GII207"/>
      <c r="GIJ207"/>
      <c r="GIK207"/>
      <c r="GIL207"/>
      <c r="GIM207"/>
      <c r="GIN207"/>
      <c r="GIO207"/>
      <c r="GIP207"/>
      <c r="GIQ207"/>
      <c r="GIR207"/>
      <c r="GIS207"/>
      <c r="GIT207"/>
      <c r="GIU207"/>
      <c r="GIV207"/>
      <c r="GIW207"/>
      <c r="GIX207"/>
      <c r="GIY207"/>
      <c r="GIZ207"/>
      <c r="GJA207"/>
      <c r="GJB207"/>
      <c r="GJC207"/>
      <c r="GJD207"/>
      <c r="GJE207"/>
      <c r="GJF207"/>
      <c r="GJG207"/>
      <c r="GJH207"/>
      <c r="GJI207"/>
      <c r="GJJ207"/>
      <c r="GJK207"/>
      <c r="GJL207"/>
      <c r="GJM207"/>
      <c r="GJN207"/>
      <c r="GJO207"/>
      <c r="GJP207"/>
      <c r="GJQ207"/>
      <c r="GJR207"/>
      <c r="GJS207"/>
      <c r="GJT207"/>
      <c r="GJU207"/>
      <c r="GJV207"/>
      <c r="GJW207"/>
      <c r="GJX207"/>
      <c r="GJY207"/>
      <c r="GJZ207"/>
      <c r="GKA207"/>
      <c r="GKB207"/>
      <c r="GKC207"/>
      <c r="GKD207"/>
      <c r="GKE207"/>
      <c r="GKF207"/>
      <c r="GKG207"/>
      <c r="GKH207"/>
      <c r="GKI207"/>
      <c r="GKJ207"/>
      <c r="GKK207"/>
      <c r="GKL207"/>
      <c r="GKM207"/>
      <c r="GKN207"/>
      <c r="GKO207"/>
      <c r="GKP207"/>
      <c r="GKQ207"/>
      <c r="GKR207"/>
      <c r="GKS207"/>
      <c r="GKT207"/>
      <c r="GKU207"/>
      <c r="GKV207"/>
      <c r="GKW207"/>
      <c r="GKX207"/>
      <c r="GKY207"/>
      <c r="GKZ207"/>
      <c r="GLA207"/>
      <c r="GLB207"/>
      <c r="GLC207"/>
      <c r="GLD207"/>
      <c r="GLE207"/>
      <c r="GLF207"/>
      <c r="GLG207"/>
      <c r="GLH207"/>
      <c r="GLI207"/>
      <c r="GLJ207"/>
      <c r="GLK207"/>
      <c r="GLL207"/>
      <c r="GLM207"/>
      <c r="GLN207"/>
      <c r="GLO207"/>
      <c r="GLP207"/>
      <c r="GLQ207"/>
      <c r="GLR207"/>
      <c r="GLS207"/>
      <c r="GLT207"/>
      <c r="GLU207"/>
      <c r="GLV207"/>
      <c r="GLW207"/>
      <c r="GLX207"/>
      <c r="GLY207"/>
      <c r="GLZ207"/>
      <c r="GMA207"/>
      <c r="GMB207"/>
      <c r="GMC207"/>
      <c r="GMD207"/>
      <c r="GME207"/>
      <c r="GMF207"/>
      <c r="GMG207"/>
      <c r="GMH207"/>
      <c r="GMI207"/>
      <c r="GMJ207"/>
      <c r="GMK207"/>
      <c r="GML207"/>
      <c r="GMM207"/>
      <c r="GMN207"/>
      <c r="GMO207"/>
      <c r="GMP207"/>
      <c r="GMQ207"/>
      <c r="GMR207"/>
      <c r="GMS207"/>
      <c r="GMT207"/>
      <c r="GMU207"/>
      <c r="GMV207"/>
      <c r="GMW207"/>
      <c r="GMX207"/>
      <c r="GMY207"/>
      <c r="GMZ207"/>
      <c r="GNA207"/>
      <c r="GNB207"/>
      <c r="GNC207"/>
      <c r="GND207"/>
      <c r="GNE207"/>
      <c r="GNF207"/>
      <c r="GNG207"/>
      <c r="GNH207"/>
      <c r="GNI207"/>
      <c r="GNJ207"/>
      <c r="GNK207"/>
      <c r="GNL207"/>
      <c r="GNM207"/>
      <c r="GNN207"/>
      <c r="GNO207"/>
      <c r="GNP207"/>
      <c r="GNQ207"/>
      <c r="GNR207"/>
      <c r="GNS207"/>
      <c r="GNT207"/>
      <c r="GNU207"/>
      <c r="GNV207"/>
      <c r="GNW207"/>
      <c r="GNX207"/>
      <c r="GNY207"/>
      <c r="GNZ207"/>
      <c r="GOA207"/>
      <c r="GOB207"/>
      <c r="GOC207"/>
      <c r="GOD207"/>
      <c r="GOE207"/>
      <c r="GOF207"/>
      <c r="GOG207"/>
      <c r="GOH207"/>
      <c r="GOI207"/>
      <c r="GOJ207"/>
      <c r="GOK207"/>
      <c r="GOL207"/>
      <c r="GOM207"/>
      <c r="GON207"/>
      <c r="GOO207"/>
      <c r="GOP207"/>
      <c r="GOQ207"/>
      <c r="GOR207"/>
      <c r="GOS207"/>
      <c r="GOT207"/>
      <c r="GOU207"/>
      <c r="GOV207"/>
      <c r="GOW207"/>
      <c r="GOX207"/>
      <c r="GOY207"/>
      <c r="GOZ207"/>
      <c r="GPA207"/>
      <c r="GPB207"/>
      <c r="GPC207"/>
      <c r="GPD207"/>
      <c r="GPE207"/>
      <c r="GPF207"/>
      <c r="GPG207"/>
      <c r="GPH207"/>
      <c r="GPI207"/>
      <c r="GPJ207"/>
      <c r="GPK207"/>
      <c r="GPL207"/>
      <c r="GPM207"/>
      <c r="GPN207"/>
      <c r="GPO207"/>
      <c r="GPP207"/>
      <c r="GPQ207"/>
      <c r="GPR207"/>
      <c r="GPS207"/>
      <c r="GPT207"/>
      <c r="GPU207"/>
      <c r="GPV207"/>
      <c r="GPW207"/>
      <c r="GPX207"/>
      <c r="GPY207"/>
      <c r="GPZ207"/>
      <c r="GQA207"/>
      <c r="GQB207"/>
      <c r="GQC207"/>
      <c r="GQD207"/>
      <c r="GQE207"/>
      <c r="GQF207"/>
      <c r="GQG207"/>
      <c r="GQH207"/>
      <c r="GQI207"/>
      <c r="GQJ207"/>
      <c r="GQK207"/>
      <c r="GQL207"/>
      <c r="GQM207"/>
      <c r="GQN207"/>
      <c r="GQO207"/>
      <c r="GQP207"/>
      <c r="GQQ207"/>
      <c r="GQR207"/>
      <c r="GQS207"/>
      <c r="GQT207"/>
      <c r="GQU207"/>
      <c r="GQV207"/>
      <c r="GQW207"/>
      <c r="GQX207"/>
      <c r="GQY207"/>
      <c r="GQZ207"/>
      <c r="GRA207"/>
      <c r="GRB207"/>
      <c r="GRC207"/>
      <c r="GRD207"/>
      <c r="GRE207"/>
      <c r="GRF207"/>
      <c r="GRG207"/>
      <c r="GRH207"/>
      <c r="GRI207"/>
      <c r="GRJ207"/>
      <c r="GRK207"/>
      <c r="GRL207"/>
      <c r="GRM207"/>
      <c r="GRN207"/>
      <c r="GRO207"/>
      <c r="GRP207"/>
      <c r="GRQ207"/>
      <c r="GRR207"/>
      <c r="GRS207"/>
      <c r="GRT207"/>
      <c r="GRU207"/>
      <c r="GRV207"/>
      <c r="GRW207"/>
      <c r="GRX207"/>
      <c r="GRY207"/>
      <c r="GRZ207"/>
      <c r="GSA207"/>
      <c r="GSB207"/>
      <c r="GSC207"/>
      <c r="GSD207"/>
      <c r="GSE207"/>
      <c r="GSF207"/>
      <c r="GSG207"/>
      <c r="GSH207"/>
      <c r="GSI207"/>
      <c r="GSJ207"/>
      <c r="GSK207"/>
      <c r="GSL207"/>
      <c r="GSM207"/>
      <c r="GSN207"/>
      <c r="GSO207"/>
      <c r="GSP207"/>
      <c r="GSQ207"/>
      <c r="GSR207"/>
      <c r="GSS207"/>
      <c r="GST207"/>
      <c r="GSU207"/>
      <c r="GSV207"/>
      <c r="GSW207"/>
      <c r="GSX207"/>
      <c r="GSY207"/>
      <c r="GSZ207"/>
      <c r="GTA207"/>
      <c r="GTB207"/>
      <c r="GTC207"/>
      <c r="GTD207"/>
      <c r="GTE207"/>
      <c r="GTF207"/>
      <c r="GTG207"/>
      <c r="GTH207"/>
      <c r="GTI207"/>
      <c r="GTJ207"/>
      <c r="GTK207"/>
      <c r="GTL207"/>
      <c r="GTM207"/>
      <c r="GTN207"/>
      <c r="GTO207"/>
      <c r="GTP207"/>
      <c r="GTQ207"/>
      <c r="GTR207"/>
      <c r="GTS207"/>
      <c r="GTT207"/>
      <c r="GTU207"/>
      <c r="GTV207"/>
      <c r="GTW207"/>
      <c r="GTX207"/>
      <c r="GTY207"/>
      <c r="GTZ207"/>
      <c r="GUA207"/>
      <c r="GUB207"/>
      <c r="GUC207"/>
      <c r="GUD207"/>
      <c r="GUE207"/>
      <c r="GUF207"/>
      <c r="GUG207"/>
      <c r="GUH207"/>
      <c r="GUI207"/>
      <c r="GUJ207"/>
      <c r="GUK207"/>
      <c r="GUL207"/>
      <c r="GUM207"/>
      <c r="GUN207"/>
      <c r="GUO207"/>
      <c r="GUP207"/>
      <c r="GUQ207"/>
      <c r="GUR207"/>
      <c r="GUS207"/>
      <c r="GUT207"/>
      <c r="GUU207"/>
      <c r="GUV207"/>
      <c r="GUW207"/>
      <c r="GUX207"/>
      <c r="GUY207"/>
      <c r="GUZ207"/>
      <c r="GVA207"/>
      <c r="GVB207"/>
      <c r="GVC207"/>
      <c r="GVD207"/>
      <c r="GVE207"/>
      <c r="GVF207"/>
      <c r="GVG207"/>
      <c r="GVH207"/>
      <c r="GVI207"/>
      <c r="GVJ207"/>
      <c r="GVK207"/>
      <c r="GVL207"/>
      <c r="GVM207"/>
      <c r="GVN207"/>
      <c r="GVO207"/>
      <c r="GVP207"/>
      <c r="GVQ207"/>
      <c r="GVR207"/>
      <c r="GVS207"/>
      <c r="GVT207"/>
      <c r="GVU207"/>
      <c r="GVV207"/>
      <c r="GVW207"/>
      <c r="GVX207"/>
      <c r="GVY207"/>
      <c r="GVZ207"/>
      <c r="GWA207"/>
      <c r="GWB207"/>
      <c r="GWC207"/>
      <c r="GWD207"/>
      <c r="GWE207"/>
      <c r="GWF207"/>
      <c r="GWG207"/>
      <c r="GWH207"/>
      <c r="GWI207"/>
      <c r="GWJ207"/>
      <c r="GWK207"/>
      <c r="GWL207"/>
      <c r="GWM207"/>
      <c r="GWN207"/>
      <c r="GWO207"/>
      <c r="GWP207"/>
      <c r="GWQ207"/>
      <c r="GWR207"/>
      <c r="GWS207"/>
      <c r="GWT207"/>
      <c r="GWU207"/>
      <c r="GWV207"/>
      <c r="GWW207"/>
      <c r="GWX207"/>
      <c r="GWY207"/>
      <c r="GWZ207"/>
      <c r="GXA207"/>
      <c r="GXB207"/>
      <c r="GXC207"/>
      <c r="GXD207"/>
      <c r="GXE207"/>
      <c r="GXF207"/>
      <c r="GXG207"/>
      <c r="GXH207"/>
      <c r="GXI207"/>
      <c r="GXJ207"/>
      <c r="GXK207"/>
      <c r="GXL207"/>
      <c r="GXM207"/>
      <c r="GXN207"/>
      <c r="GXO207"/>
      <c r="GXP207"/>
      <c r="GXQ207"/>
      <c r="GXR207"/>
      <c r="GXS207"/>
      <c r="GXT207"/>
      <c r="GXU207"/>
      <c r="GXV207"/>
      <c r="GXW207"/>
      <c r="GXX207"/>
      <c r="GXY207"/>
      <c r="GXZ207"/>
      <c r="GYA207"/>
      <c r="GYB207"/>
      <c r="GYC207"/>
      <c r="GYD207"/>
      <c r="GYE207"/>
      <c r="GYF207"/>
      <c r="GYG207"/>
      <c r="GYH207"/>
      <c r="GYI207"/>
      <c r="GYJ207"/>
      <c r="GYK207"/>
      <c r="GYL207"/>
      <c r="GYM207"/>
      <c r="GYN207"/>
      <c r="GYO207"/>
      <c r="GYP207"/>
      <c r="GYQ207"/>
      <c r="GYR207"/>
      <c r="GYS207"/>
      <c r="GYT207"/>
      <c r="GYU207"/>
      <c r="GYV207"/>
      <c r="GYW207"/>
      <c r="GYX207"/>
      <c r="GYY207"/>
      <c r="GYZ207"/>
      <c r="GZA207"/>
      <c r="GZB207"/>
      <c r="GZC207"/>
      <c r="GZD207"/>
      <c r="GZE207"/>
      <c r="GZF207"/>
      <c r="GZG207"/>
      <c r="GZH207"/>
      <c r="GZI207"/>
      <c r="GZJ207"/>
      <c r="GZK207"/>
      <c r="GZL207"/>
      <c r="GZM207"/>
      <c r="GZN207"/>
      <c r="GZO207"/>
      <c r="GZP207"/>
      <c r="GZQ207"/>
      <c r="GZR207"/>
      <c r="GZS207"/>
      <c r="GZT207"/>
      <c r="GZU207"/>
      <c r="GZV207"/>
      <c r="GZW207"/>
      <c r="GZX207"/>
      <c r="GZY207"/>
      <c r="GZZ207"/>
      <c r="HAA207"/>
      <c r="HAB207"/>
      <c r="HAC207"/>
      <c r="HAD207"/>
      <c r="HAE207"/>
      <c r="HAF207"/>
      <c r="HAG207"/>
      <c r="HAH207"/>
      <c r="HAI207"/>
      <c r="HAJ207"/>
      <c r="HAK207"/>
      <c r="HAL207"/>
      <c r="HAM207"/>
      <c r="HAN207"/>
      <c r="HAO207"/>
      <c r="HAP207"/>
      <c r="HAQ207"/>
      <c r="HAR207"/>
      <c r="HAS207"/>
      <c r="HAT207"/>
      <c r="HAU207"/>
      <c r="HAV207"/>
      <c r="HAW207"/>
      <c r="HAX207"/>
      <c r="HAY207"/>
      <c r="HAZ207"/>
      <c r="HBA207"/>
      <c r="HBB207"/>
      <c r="HBC207"/>
      <c r="HBD207"/>
      <c r="HBE207"/>
      <c r="HBF207"/>
      <c r="HBG207"/>
      <c r="HBH207"/>
      <c r="HBI207"/>
      <c r="HBJ207"/>
      <c r="HBK207"/>
      <c r="HBL207"/>
      <c r="HBM207"/>
      <c r="HBN207"/>
      <c r="HBO207"/>
      <c r="HBP207"/>
      <c r="HBQ207"/>
      <c r="HBR207"/>
      <c r="HBS207"/>
      <c r="HBT207"/>
      <c r="HBU207"/>
      <c r="HBV207"/>
      <c r="HBW207"/>
      <c r="HBX207"/>
      <c r="HBY207"/>
      <c r="HBZ207"/>
      <c r="HCA207"/>
      <c r="HCB207"/>
      <c r="HCC207"/>
      <c r="HCD207"/>
      <c r="HCE207"/>
      <c r="HCF207"/>
      <c r="HCG207"/>
      <c r="HCH207"/>
      <c r="HCI207"/>
      <c r="HCJ207"/>
      <c r="HCK207"/>
      <c r="HCL207"/>
      <c r="HCM207"/>
      <c r="HCN207"/>
      <c r="HCO207"/>
      <c r="HCP207"/>
      <c r="HCQ207"/>
      <c r="HCR207"/>
      <c r="HCS207"/>
      <c r="HCT207"/>
      <c r="HCU207"/>
      <c r="HCV207"/>
      <c r="HCW207"/>
      <c r="HCX207"/>
      <c r="HCY207"/>
      <c r="HCZ207"/>
      <c r="HDA207"/>
      <c r="HDB207"/>
      <c r="HDC207"/>
      <c r="HDD207"/>
      <c r="HDE207"/>
      <c r="HDF207"/>
      <c r="HDG207"/>
      <c r="HDH207"/>
      <c r="HDI207"/>
      <c r="HDJ207"/>
      <c r="HDK207"/>
      <c r="HDL207"/>
      <c r="HDM207"/>
      <c r="HDN207"/>
      <c r="HDO207"/>
      <c r="HDP207"/>
      <c r="HDQ207"/>
      <c r="HDR207"/>
      <c r="HDS207"/>
      <c r="HDT207"/>
      <c r="HDU207"/>
      <c r="HDV207"/>
      <c r="HDW207"/>
      <c r="HDX207"/>
      <c r="HDY207"/>
      <c r="HDZ207"/>
      <c r="HEA207"/>
      <c r="HEB207"/>
      <c r="HEC207"/>
      <c r="HED207"/>
      <c r="HEE207"/>
      <c r="HEF207"/>
      <c r="HEG207"/>
      <c r="HEH207"/>
      <c r="HEI207"/>
      <c r="HEJ207"/>
      <c r="HEK207"/>
      <c r="HEL207"/>
      <c r="HEM207"/>
      <c r="HEN207"/>
      <c r="HEO207"/>
      <c r="HEP207"/>
      <c r="HEQ207"/>
      <c r="HER207"/>
      <c r="HES207"/>
      <c r="HET207"/>
      <c r="HEU207"/>
      <c r="HEV207"/>
      <c r="HEW207"/>
      <c r="HEX207"/>
      <c r="HEY207"/>
      <c r="HEZ207"/>
      <c r="HFA207"/>
      <c r="HFB207"/>
      <c r="HFC207"/>
      <c r="HFD207"/>
      <c r="HFE207"/>
      <c r="HFF207"/>
      <c r="HFG207"/>
      <c r="HFH207"/>
      <c r="HFI207"/>
      <c r="HFJ207"/>
      <c r="HFK207"/>
      <c r="HFL207"/>
      <c r="HFM207"/>
      <c r="HFN207"/>
      <c r="HFO207"/>
      <c r="HFP207"/>
      <c r="HFQ207"/>
      <c r="HFR207"/>
      <c r="HFS207"/>
      <c r="HFT207"/>
      <c r="HFU207"/>
      <c r="HFV207"/>
      <c r="HFW207"/>
      <c r="HFX207"/>
      <c r="HFY207"/>
      <c r="HFZ207"/>
      <c r="HGA207"/>
      <c r="HGB207"/>
      <c r="HGC207"/>
      <c r="HGD207"/>
      <c r="HGE207"/>
      <c r="HGF207"/>
      <c r="HGG207"/>
      <c r="HGH207"/>
      <c r="HGI207"/>
      <c r="HGJ207"/>
      <c r="HGK207"/>
      <c r="HGL207"/>
      <c r="HGM207"/>
      <c r="HGN207"/>
      <c r="HGO207"/>
      <c r="HGP207"/>
      <c r="HGQ207"/>
      <c r="HGR207"/>
      <c r="HGS207"/>
      <c r="HGT207"/>
      <c r="HGU207"/>
      <c r="HGV207"/>
      <c r="HGW207"/>
      <c r="HGX207"/>
      <c r="HGY207"/>
      <c r="HGZ207"/>
      <c r="HHA207"/>
      <c r="HHB207"/>
      <c r="HHC207"/>
      <c r="HHD207"/>
      <c r="HHE207"/>
      <c r="HHF207"/>
      <c r="HHG207"/>
      <c r="HHH207"/>
      <c r="HHI207"/>
      <c r="HHJ207"/>
      <c r="HHK207"/>
      <c r="HHL207"/>
      <c r="HHM207"/>
      <c r="HHN207"/>
      <c r="HHO207"/>
      <c r="HHP207"/>
      <c r="HHQ207"/>
      <c r="HHR207"/>
      <c r="HHS207"/>
      <c r="HHT207"/>
      <c r="HHU207"/>
      <c r="HHV207"/>
      <c r="HHW207"/>
      <c r="HHX207"/>
      <c r="HHY207"/>
      <c r="HHZ207"/>
      <c r="HIA207"/>
      <c r="HIB207"/>
      <c r="HIC207"/>
      <c r="HID207"/>
      <c r="HIE207"/>
      <c r="HIF207"/>
      <c r="HIG207"/>
      <c r="HIH207"/>
      <c r="HII207"/>
      <c r="HIJ207"/>
      <c r="HIK207"/>
      <c r="HIL207"/>
      <c r="HIM207"/>
      <c r="HIN207"/>
      <c r="HIO207"/>
      <c r="HIP207"/>
      <c r="HIQ207"/>
      <c r="HIR207"/>
      <c r="HIS207"/>
      <c r="HIT207"/>
      <c r="HIU207"/>
      <c r="HIV207"/>
      <c r="HIW207"/>
      <c r="HIX207"/>
      <c r="HIY207"/>
      <c r="HIZ207"/>
      <c r="HJA207"/>
      <c r="HJB207"/>
      <c r="HJC207"/>
      <c r="HJD207"/>
      <c r="HJE207"/>
      <c r="HJF207"/>
      <c r="HJG207"/>
      <c r="HJH207"/>
      <c r="HJI207"/>
      <c r="HJJ207"/>
      <c r="HJK207"/>
      <c r="HJL207"/>
      <c r="HJM207"/>
      <c r="HJN207"/>
      <c r="HJO207"/>
      <c r="HJP207"/>
      <c r="HJQ207"/>
      <c r="HJR207"/>
      <c r="HJS207"/>
      <c r="HJT207"/>
      <c r="HJU207"/>
      <c r="HJV207"/>
      <c r="HJW207"/>
      <c r="HJX207"/>
      <c r="HJY207"/>
      <c r="HJZ207"/>
      <c r="HKA207"/>
      <c r="HKB207"/>
      <c r="HKC207"/>
      <c r="HKD207"/>
      <c r="HKE207"/>
      <c r="HKF207"/>
      <c r="HKG207"/>
      <c r="HKH207"/>
      <c r="HKI207"/>
      <c r="HKJ207"/>
      <c r="HKK207"/>
      <c r="HKL207"/>
      <c r="HKM207"/>
      <c r="HKN207"/>
      <c r="HKO207"/>
      <c r="HKP207"/>
      <c r="HKQ207"/>
      <c r="HKR207"/>
      <c r="HKS207"/>
      <c r="HKT207"/>
      <c r="HKU207"/>
      <c r="HKV207"/>
      <c r="HKW207"/>
      <c r="HKX207"/>
      <c r="HKY207"/>
      <c r="HKZ207"/>
      <c r="HLA207"/>
      <c r="HLB207"/>
      <c r="HLC207"/>
      <c r="HLD207"/>
      <c r="HLE207"/>
      <c r="HLF207"/>
      <c r="HLG207"/>
      <c r="HLH207"/>
      <c r="HLI207"/>
      <c r="HLJ207"/>
      <c r="HLK207"/>
      <c r="HLL207"/>
      <c r="HLM207"/>
      <c r="HLN207"/>
      <c r="HLO207"/>
      <c r="HLP207"/>
      <c r="HLQ207"/>
      <c r="HLR207"/>
      <c r="HLS207"/>
      <c r="HLT207"/>
      <c r="HLU207"/>
      <c r="HLV207"/>
      <c r="HLW207"/>
      <c r="HLX207"/>
      <c r="HLY207"/>
      <c r="HLZ207"/>
      <c r="HMA207"/>
      <c r="HMB207"/>
      <c r="HMC207"/>
      <c r="HMD207"/>
      <c r="HME207"/>
      <c r="HMF207"/>
      <c r="HMG207"/>
      <c r="HMH207"/>
      <c r="HMI207"/>
      <c r="HMJ207"/>
      <c r="HMK207"/>
      <c r="HML207"/>
      <c r="HMM207"/>
      <c r="HMN207"/>
      <c r="HMO207"/>
      <c r="HMP207"/>
      <c r="HMQ207"/>
      <c r="HMR207"/>
      <c r="HMS207"/>
      <c r="HMT207"/>
      <c r="HMU207"/>
      <c r="HMV207"/>
      <c r="HMW207"/>
      <c r="HMX207"/>
      <c r="HMY207"/>
      <c r="HMZ207"/>
      <c r="HNA207"/>
      <c r="HNB207"/>
      <c r="HNC207"/>
      <c r="HND207"/>
      <c r="HNE207"/>
      <c r="HNF207"/>
      <c r="HNG207"/>
      <c r="HNH207"/>
      <c r="HNI207"/>
      <c r="HNJ207"/>
      <c r="HNK207"/>
      <c r="HNL207"/>
      <c r="HNM207"/>
      <c r="HNN207"/>
      <c r="HNO207"/>
      <c r="HNP207"/>
      <c r="HNQ207"/>
      <c r="HNR207"/>
      <c r="HNS207"/>
      <c r="HNT207"/>
      <c r="HNU207"/>
      <c r="HNV207"/>
      <c r="HNW207"/>
      <c r="HNX207"/>
      <c r="HNY207"/>
      <c r="HNZ207"/>
      <c r="HOA207"/>
      <c r="HOB207"/>
      <c r="HOC207"/>
      <c r="HOD207"/>
      <c r="HOE207"/>
      <c r="HOF207"/>
      <c r="HOG207"/>
      <c r="HOH207"/>
      <c r="HOI207"/>
      <c r="HOJ207"/>
      <c r="HOK207"/>
      <c r="HOL207"/>
      <c r="HOM207"/>
      <c r="HON207"/>
      <c r="HOO207"/>
      <c r="HOP207"/>
      <c r="HOQ207"/>
      <c r="HOR207"/>
      <c r="HOS207"/>
      <c r="HOT207"/>
      <c r="HOU207"/>
      <c r="HOV207"/>
      <c r="HOW207"/>
      <c r="HOX207"/>
      <c r="HOY207"/>
      <c r="HOZ207"/>
      <c r="HPA207"/>
      <c r="HPB207"/>
      <c r="HPC207"/>
      <c r="HPD207"/>
      <c r="HPE207"/>
      <c r="HPF207"/>
      <c r="HPG207"/>
      <c r="HPH207"/>
      <c r="HPI207"/>
      <c r="HPJ207"/>
      <c r="HPK207"/>
      <c r="HPL207"/>
      <c r="HPM207"/>
      <c r="HPN207"/>
      <c r="HPO207"/>
      <c r="HPP207"/>
      <c r="HPQ207"/>
      <c r="HPR207"/>
      <c r="HPS207"/>
      <c r="HPT207"/>
      <c r="HPU207"/>
      <c r="HPV207"/>
      <c r="HPW207"/>
      <c r="HPX207"/>
      <c r="HPY207"/>
      <c r="HPZ207"/>
      <c r="HQA207"/>
      <c r="HQB207"/>
      <c r="HQC207"/>
      <c r="HQD207"/>
      <c r="HQE207"/>
      <c r="HQF207"/>
      <c r="HQG207"/>
      <c r="HQH207"/>
      <c r="HQI207"/>
      <c r="HQJ207"/>
      <c r="HQK207"/>
      <c r="HQL207"/>
      <c r="HQM207"/>
      <c r="HQN207"/>
      <c r="HQO207"/>
      <c r="HQP207"/>
      <c r="HQQ207"/>
      <c r="HQR207"/>
      <c r="HQS207"/>
      <c r="HQT207"/>
      <c r="HQU207"/>
      <c r="HQV207"/>
      <c r="HQW207"/>
      <c r="HQX207"/>
      <c r="HQY207"/>
      <c r="HQZ207"/>
      <c r="HRA207"/>
      <c r="HRB207"/>
      <c r="HRC207"/>
      <c r="HRD207"/>
      <c r="HRE207"/>
      <c r="HRF207"/>
      <c r="HRG207"/>
      <c r="HRH207"/>
      <c r="HRI207"/>
      <c r="HRJ207"/>
      <c r="HRK207"/>
      <c r="HRL207"/>
      <c r="HRM207"/>
      <c r="HRN207"/>
      <c r="HRO207"/>
      <c r="HRP207"/>
      <c r="HRQ207"/>
      <c r="HRR207"/>
      <c r="HRS207"/>
      <c r="HRT207"/>
      <c r="HRU207"/>
      <c r="HRV207"/>
      <c r="HRW207"/>
      <c r="HRX207"/>
      <c r="HRY207"/>
      <c r="HRZ207"/>
      <c r="HSA207"/>
      <c r="HSB207"/>
      <c r="HSC207"/>
      <c r="HSD207"/>
      <c r="HSE207"/>
      <c r="HSF207"/>
      <c r="HSG207"/>
      <c r="HSH207"/>
      <c r="HSI207"/>
      <c r="HSJ207"/>
      <c r="HSK207"/>
      <c r="HSL207"/>
      <c r="HSM207"/>
      <c r="HSN207"/>
      <c r="HSO207"/>
      <c r="HSP207"/>
      <c r="HSQ207"/>
      <c r="HSR207"/>
      <c r="HSS207"/>
      <c r="HST207"/>
      <c r="HSU207"/>
      <c r="HSV207"/>
      <c r="HSW207"/>
      <c r="HSX207"/>
      <c r="HSY207"/>
      <c r="HSZ207"/>
      <c r="HTA207"/>
      <c r="HTB207"/>
      <c r="HTC207"/>
      <c r="HTD207"/>
      <c r="HTE207"/>
      <c r="HTF207"/>
      <c r="HTG207"/>
      <c r="HTH207"/>
      <c r="HTI207"/>
      <c r="HTJ207"/>
      <c r="HTK207"/>
      <c r="HTL207"/>
      <c r="HTM207"/>
      <c r="HTN207"/>
      <c r="HTO207"/>
      <c r="HTP207"/>
      <c r="HTQ207"/>
      <c r="HTR207"/>
      <c r="HTS207"/>
      <c r="HTT207"/>
      <c r="HTU207"/>
      <c r="HTV207"/>
      <c r="HTW207"/>
      <c r="HTX207"/>
      <c r="HTY207"/>
      <c r="HTZ207"/>
      <c r="HUA207"/>
      <c r="HUB207"/>
      <c r="HUC207"/>
      <c r="HUD207"/>
      <c r="HUE207"/>
      <c r="HUF207"/>
      <c r="HUG207"/>
      <c r="HUH207"/>
      <c r="HUI207"/>
      <c r="HUJ207"/>
      <c r="HUK207"/>
      <c r="HUL207"/>
      <c r="HUM207"/>
      <c r="HUN207"/>
      <c r="HUO207"/>
      <c r="HUP207"/>
      <c r="HUQ207"/>
      <c r="HUR207"/>
      <c r="HUS207"/>
      <c r="HUT207"/>
      <c r="HUU207"/>
      <c r="HUV207"/>
      <c r="HUW207"/>
      <c r="HUX207"/>
      <c r="HUY207"/>
      <c r="HUZ207"/>
      <c r="HVA207"/>
      <c r="HVB207"/>
      <c r="HVC207"/>
      <c r="HVD207"/>
      <c r="HVE207"/>
      <c r="HVF207"/>
      <c r="HVG207"/>
      <c r="HVH207"/>
      <c r="HVI207"/>
      <c r="HVJ207"/>
      <c r="HVK207"/>
      <c r="HVL207"/>
      <c r="HVM207"/>
      <c r="HVN207"/>
      <c r="HVO207"/>
      <c r="HVP207"/>
      <c r="HVQ207"/>
      <c r="HVR207"/>
      <c r="HVS207"/>
      <c r="HVT207"/>
      <c r="HVU207"/>
      <c r="HVV207"/>
      <c r="HVW207"/>
      <c r="HVX207"/>
      <c r="HVY207"/>
      <c r="HVZ207"/>
      <c r="HWA207"/>
      <c r="HWB207"/>
      <c r="HWC207"/>
      <c r="HWD207"/>
      <c r="HWE207"/>
      <c r="HWF207"/>
      <c r="HWG207"/>
      <c r="HWH207"/>
      <c r="HWI207"/>
      <c r="HWJ207"/>
      <c r="HWK207"/>
      <c r="HWL207"/>
      <c r="HWM207"/>
      <c r="HWN207"/>
      <c r="HWO207"/>
      <c r="HWP207"/>
      <c r="HWQ207"/>
      <c r="HWR207"/>
      <c r="HWS207"/>
      <c r="HWT207"/>
      <c r="HWU207"/>
      <c r="HWV207"/>
      <c r="HWW207"/>
      <c r="HWX207"/>
      <c r="HWY207"/>
      <c r="HWZ207"/>
      <c r="HXA207"/>
      <c r="HXB207"/>
      <c r="HXC207"/>
      <c r="HXD207"/>
      <c r="HXE207"/>
      <c r="HXF207"/>
      <c r="HXG207"/>
      <c r="HXH207"/>
      <c r="HXI207"/>
      <c r="HXJ207"/>
      <c r="HXK207"/>
      <c r="HXL207"/>
      <c r="HXM207"/>
      <c r="HXN207"/>
      <c r="HXO207"/>
      <c r="HXP207"/>
      <c r="HXQ207"/>
      <c r="HXR207"/>
      <c r="HXS207"/>
      <c r="HXT207"/>
      <c r="HXU207"/>
      <c r="HXV207"/>
      <c r="HXW207"/>
      <c r="HXX207"/>
      <c r="HXY207"/>
      <c r="HXZ207"/>
      <c r="HYA207"/>
      <c r="HYB207"/>
      <c r="HYC207"/>
      <c r="HYD207"/>
      <c r="HYE207"/>
      <c r="HYF207"/>
      <c r="HYG207"/>
      <c r="HYH207"/>
      <c r="HYI207"/>
      <c r="HYJ207"/>
      <c r="HYK207"/>
      <c r="HYL207"/>
      <c r="HYM207"/>
      <c r="HYN207"/>
      <c r="HYO207"/>
      <c r="HYP207"/>
      <c r="HYQ207"/>
      <c r="HYR207"/>
      <c r="HYS207"/>
      <c r="HYT207"/>
      <c r="HYU207"/>
      <c r="HYV207"/>
      <c r="HYW207"/>
      <c r="HYX207"/>
      <c r="HYY207"/>
      <c r="HYZ207"/>
      <c r="HZA207"/>
      <c r="HZB207"/>
      <c r="HZC207"/>
      <c r="HZD207"/>
      <c r="HZE207"/>
      <c r="HZF207"/>
      <c r="HZG207"/>
      <c r="HZH207"/>
      <c r="HZI207"/>
      <c r="HZJ207"/>
      <c r="HZK207"/>
      <c r="HZL207"/>
      <c r="HZM207"/>
      <c r="HZN207"/>
      <c r="HZO207"/>
      <c r="HZP207"/>
      <c r="HZQ207"/>
      <c r="HZR207"/>
      <c r="HZS207"/>
      <c r="HZT207"/>
      <c r="HZU207"/>
      <c r="HZV207"/>
      <c r="HZW207"/>
      <c r="HZX207"/>
      <c r="HZY207"/>
      <c r="HZZ207"/>
      <c r="IAA207"/>
      <c r="IAB207"/>
      <c r="IAC207"/>
      <c r="IAD207"/>
      <c r="IAE207"/>
      <c r="IAF207"/>
      <c r="IAG207"/>
      <c r="IAH207"/>
      <c r="IAI207"/>
      <c r="IAJ207"/>
      <c r="IAK207"/>
      <c r="IAL207"/>
      <c r="IAM207"/>
      <c r="IAN207"/>
      <c r="IAO207"/>
      <c r="IAP207"/>
      <c r="IAQ207"/>
      <c r="IAR207"/>
      <c r="IAS207"/>
      <c r="IAT207"/>
      <c r="IAU207"/>
      <c r="IAV207"/>
      <c r="IAW207"/>
      <c r="IAX207"/>
      <c r="IAY207"/>
      <c r="IAZ207"/>
      <c r="IBA207"/>
      <c r="IBB207"/>
      <c r="IBC207"/>
      <c r="IBD207"/>
      <c r="IBE207"/>
      <c r="IBF207"/>
      <c r="IBG207"/>
      <c r="IBH207"/>
      <c r="IBI207"/>
      <c r="IBJ207"/>
      <c r="IBK207"/>
      <c r="IBL207"/>
      <c r="IBM207"/>
      <c r="IBN207"/>
      <c r="IBO207"/>
      <c r="IBP207"/>
      <c r="IBQ207"/>
      <c r="IBR207"/>
      <c r="IBS207"/>
      <c r="IBT207"/>
      <c r="IBU207"/>
      <c r="IBV207"/>
      <c r="IBW207"/>
      <c r="IBX207"/>
      <c r="IBY207"/>
      <c r="IBZ207"/>
      <c r="ICA207"/>
      <c r="ICB207"/>
      <c r="ICC207"/>
      <c r="ICD207"/>
      <c r="ICE207"/>
      <c r="ICF207"/>
      <c r="ICG207"/>
      <c r="ICH207"/>
      <c r="ICI207"/>
      <c r="ICJ207"/>
      <c r="ICK207"/>
      <c r="ICL207"/>
      <c r="ICM207"/>
      <c r="ICN207"/>
      <c r="ICO207"/>
      <c r="ICP207"/>
      <c r="ICQ207"/>
      <c r="ICR207"/>
      <c r="ICS207"/>
      <c r="ICT207"/>
      <c r="ICU207"/>
      <c r="ICV207"/>
      <c r="ICW207"/>
      <c r="ICX207"/>
      <c r="ICY207"/>
      <c r="ICZ207"/>
      <c r="IDA207"/>
      <c r="IDB207"/>
      <c r="IDC207"/>
      <c r="IDD207"/>
      <c r="IDE207"/>
      <c r="IDF207"/>
      <c r="IDG207"/>
      <c r="IDH207"/>
      <c r="IDI207"/>
      <c r="IDJ207"/>
      <c r="IDK207"/>
      <c r="IDL207"/>
      <c r="IDM207"/>
      <c r="IDN207"/>
      <c r="IDO207"/>
      <c r="IDP207"/>
      <c r="IDQ207"/>
      <c r="IDR207"/>
      <c r="IDS207"/>
      <c r="IDT207"/>
      <c r="IDU207"/>
      <c r="IDV207"/>
      <c r="IDW207"/>
      <c r="IDX207"/>
      <c r="IDY207"/>
      <c r="IDZ207"/>
      <c r="IEA207"/>
      <c r="IEB207"/>
      <c r="IEC207"/>
      <c r="IED207"/>
      <c r="IEE207"/>
      <c r="IEF207"/>
      <c r="IEG207"/>
      <c r="IEH207"/>
      <c r="IEI207"/>
      <c r="IEJ207"/>
      <c r="IEK207"/>
      <c r="IEL207"/>
      <c r="IEM207"/>
      <c r="IEN207"/>
      <c r="IEO207"/>
      <c r="IEP207"/>
      <c r="IEQ207"/>
      <c r="IER207"/>
      <c r="IES207"/>
      <c r="IET207"/>
      <c r="IEU207"/>
      <c r="IEV207"/>
      <c r="IEW207"/>
      <c r="IEX207"/>
      <c r="IEY207"/>
      <c r="IEZ207"/>
      <c r="IFA207"/>
      <c r="IFB207"/>
      <c r="IFC207"/>
      <c r="IFD207"/>
      <c r="IFE207"/>
      <c r="IFF207"/>
      <c r="IFG207"/>
      <c r="IFH207"/>
      <c r="IFI207"/>
      <c r="IFJ207"/>
      <c r="IFK207"/>
      <c r="IFL207"/>
      <c r="IFM207"/>
      <c r="IFN207"/>
      <c r="IFO207"/>
      <c r="IFP207"/>
      <c r="IFQ207"/>
      <c r="IFR207"/>
      <c r="IFS207"/>
      <c r="IFT207"/>
      <c r="IFU207"/>
      <c r="IFV207"/>
      <c r="IFW207"/>
      <c r="IFX207"/>
      <c r="IFY207"/>
      <c r="IFZ207"/>
      <c r="IGA207"/>
      <c r="IGB207"/>
      <c r="IGC207"/>
      <c r="IGD207"/>
      <c r="IGE207"/>
      <c r="IGF207"/>
      <c r="IGG207"/>
      <c r="IGH207"/>
      <c r="IGI207"/>
      <c r="IGJ207"/>
      <c r="IGK207"/>
      <c r="IGL207"/>
      <c r="IGM207"/>
      <c r="IGN207"/>
      <c r="IGO207"/>
      <c r="IGP207"/>
      <c r="IGQ207"/>
      <c r="IGR207"/>
      <c r="IGS207"/>
      <c r="IGT207"/>
      <c r="IGU207"/>
      <c r="IGV207"/>
      <c r="IGW207"/>
      <c r="IGX207"/>
      <c r="IGY207"/>
      <c r="IGZ207"/>
      <c r="IHA207"/>
      <c r="IHB207"/>
      <c r="IHC207"/>
      <c r="IHD207"/>
      <c r="IHE207"/>
      <c r="IHF207"/>
      <c r="IHG207"/>
      <c r="IHH207"/>
      <c r="IHI207"/>
      <c r="IHJ207"/>
      <c r="IHK207"/>
      <c r="IHL207"/>
      <c r="IHM207"/>
      <c r="IHN207"/>
      <c r="IHO207"/>
      <c r="IHP207"/>
      <c r="IHQ207"/>
      <c r="IHR207"/>
      <c r="IHS207"/>
      <c r="IHT207"/>
      <c r="IHU207"/>
      <c r="IHV207"/>
      <c r="IHW207"/>
      <c r="IHX207"/>
      <c r="IHY207"/>
      <c r="IHZ207"/>
      <c r="IIA207"/>
      <c r="IIB207"/>
      <c r="IIC207"/>
      <c r="IID207"/>
      <c r="IIE207"/>
      <c r="IIF207"/>
      <c r="IIG207"/>
      <c r="IIH207"/>
      <c r="III207"/>
      <c r="IIJ207"/>
      <c r="IIK207"/>
      <c r="IIL207"/>
      <c r="IIM207"/>
      <c r="IIN207"/>
      <c r="IIO207"/>
      <c r="IIP207"/>
      <c r="IIQ207"/>
      <c r="IIR207"/>
      <c r="IIS207"/>
      <c r="IIT207"/>
      <c r="IIU207"/>
      <c r="IIV207"/>
      <c r="IIW207"/>
      <c r="IIX207"/>
      <c r="IIY207"/>
      <c r="IIZ207"/>
      <c r="IJA207"/>
      <c r="IJB207"/>
      <c r="IJC207"/>
      <c r="IJD207"/>
      <c r="IJE207"/>
      <c r="IJF207"/>
      <c r="IJG207"/>
      <c r="IJH207"/>
      <c r="IJI207"/>
      <c r="IJJ207"/>
      <c r="IJK207"/>
      <c r="IJL207"/>
      <c r="IJM207"/>
      <c r="IJN207"/>
      <c r="IJO207"/>
      <c r="IJP207"/>
      <c r="IJQ207"/>
      <c r="IJR207"/>
      <c r="IJS207"/>
      <c r="IJT207"/>
      <c r="IJU207"/>
      <c r="IJV207"/>
      <c r="IJW207"/>
      <c r="IJX207"/>
      <c r="IJY207"/>
      <c r="IJZ207"/>
      <c r="IKA207"/>
      <c r="IKB207"/>
      <c r="IKC207"/>
      <c r="IKD207"/>
      <c r="IKE207"/>
      <c r="IKF207"/>
      <c r="IKG207"/>
      <c r="IKH207"/>
      <c r="IKI207"/>
      <c r="IKJ207"/>
      <c r="IKK207"/>
      <c r="IKL207"/>
      <c r="IKM207"/>
      <c r="IKN207"/>
      <c r="IKO207"/>
      <c r="IKP207"/>
      <c r="IKQ207"/>
      <c r="IKR207"/>
      <c r="IKS207"/>
      <c r="IKT207"/>
      <c r="IKU207"/>
      <c r="IKV207"/>
      <c r="IKW207"/>
      <c r="IKX207"/>
      <c r="IKY207"/>
      <c r="IKZ207"/>
      <c r="ILA207"/>
      <c r="ILB207"/>
      <c r="ILC207"/>
      <c r="ILD207"/>
      <c r="ILE207"/>
      <c r="ILF207"/>
      <c r="ILG207"/>
      <c r="ILH207"/>
      <c r="ILI207"/>
      <c r="ILJ207"/>
      <c r="ILK207"/>
      <c r="ILL207"/>
      <c r="ILM207"/>
      <c r="ILN207"/>
      <c r="ILO207"/>
      <c r="ILP207"/>
      <c r="ILQ207"/>
      <c r="ILR207"/>
      <c r="ILS207"/>
      <c r="ILT207"/>
      <c r="ILU207"/>
      <c r="ILV207"/>
      <c r="ILW207"/>
      <c r="ILX207"/>
      <c r="ILY207"/>
      <c r="ILZ207"/>
      <c r="IMA207"/>
      <c r="IMB207"/>
      <c r="IMC207"/>
      <c r="IMD207"/>
      <c r="IME207"/>
      <c r="IMF207"/>
      <c r="IMG207"/>
      <c r="IMH207"/>
      <c r="IMI207"/>
      <c r="IMJ207"/>
      <c r="IMK207"/>
      <c r="IML207"/>
      <c r="IMM207"/>
      <c r="IMN207"/>
      <c r="IMO207"/>
      <c r="IMP207"/>
      <c r="IMQ207"/>
      <c r="IMR207"/>
      <c r="IMS207"/>
      <c r="IMT207"/>
      <c r="IMU207"/>
      <c r="IMV207"/>
      <c r="IMW207"/>
      <c r="IMX207"/>
      <c r="IMY207"/>
      <c r="IMZ207"/>
      <c r="INA207"/>
      <c r="INB207"/>
      <c r="INC207"/>
      <c r="IND207"/>
      <c r="INE207"/>
      <c r="INF207"/>
      <c r="ING207"/>
      <c r="INH207"/>
      <c r="INI207"/>
      <c r="INJ207"/>
      <c r="INK207"/>
      <c r="INL207"/>
      <c r="INM207"/>
      <c r="INN207"/>
      <c r="INO207"/>
      <c r="INP207"/>
      <c r="INQ207"/>
      <c r="INR207"/>
      <c r="INS207"/>
      <c r="INT207"/>
      <c r="INU207"/>
      <c r="INV207"/>
      <c r="INW207"/>
      <c r="INX207"/>
      <c r="INY207"/>
      <c r="INZ207"/>
      <c r="IOA207"/>
      <c r="IOB207"/>
      <c r="IOC207"/>
      <c r="IOD207"/>
      <c r="IOE207"/>
      <c r="IOF207"/>
      <c r="IOG207"/>
      <c r="IOH207"/>
      <c r="IOI207"/>
      <c r="IOJ207"/>
      <c r="IOK207"/>
      <c r="IOL207"/>
      <c r="IOM207"/>
      <c r="ION207"/>
      <c r="IOO207"/>
      <c r="IOP207"/>
      <c r="IOQ207"/>
      <c r="IOR207"/>
      <c r="IOS207"/>
      <c r="IOT207"/>
      <c r="IOU207"/>
      <c r="IOV207"/>
      <c r="IOW207"/>
      <c r="IOX207"/>
      <c r="IOY207"/>
      <c r="IOZ207"/>
      <c r="IPA207"/>
      <c r="IPB207"/>
      <c r="IPC207"/>
      <c r="IPD207"/>
      <c r="IPE207"/>
      <c r="IPF207"/>
      <c r="IPG207"/>
      <c r="IPH207"/>
      <c r="IPI207"/>
      <c r="IPJ207"/>
      <c r="IPK207"/>
      <c r="IPL207"/>
      <c r="IPM207"/>
      <c r="IPN207"/>
      <c r="IPO207"/>
      <c r="IPP207"/>
      <c r="IPQ207"/>
      <c r="IPR207"/>
      <c r="IPS207"/>
      <c r="IPT207"/>
      <c r="IPU207"/>
      <c r="IPV207"/>
      <c r="IPW207"/>
      <c r="IPX207"/>
      <c r="IPY207"/>
      <c r="IPZ207"/>
      <c r="IQA207"/>
      <c r="IQB207"/>
      <c r="IQC207"/>
      <c r="IQD207"/>
      <c r="IQE207"/>
      <c r="IQF207"/>
      <c r="IQG207"/>
      <c r="IQH207"/>
      <c r="IQI207"/>
      <c r="IQJ207"/>
      <c r="IQK207"/>
      <c r="IQL207"/>
      <c r="IQM207"/>
      <c r="IQN207"/>
      <c r="IQO207"/>
      <c r="IQP207"/>
      <c r="IQQ207"/>
      <c r="IQR207"/>
      <c r="IQS207"/>
      <c r="IQT207"/>
      <c r="IQU207"/>
      <c r="IQV207"/>
      <c r="IQW207"/>
      <c r="IQX207"/>
      <c r="IQY207"/>
      <c r="IQZ207"/>
      <c r="IRA207"/>
      <c r="IRB207"/>
      <c r="IRC207"/>
      <c r="IRD207"/>
      <c r="IRE207"/>
      <c r="IRF207"/>
      <c r="IRG207"/>
      <c r="IRH207"/>
      <c r="IRI207"/>
      <c r="IRJ207"/>
      <c r="IRK207"/>
      <c r="IRL207"/>
      <c r="IRM207"/>
      <c r="IRN207"/>
      <c r="IRO207"/>
      <c r="IRP207"/>
      <c r="IRQ207"/>
      <c r="IRR207"/>
      <c r="IRS207"/>
      <c r="IRT207"/>
      <c r="IRU207"/>
      <c r="IRV207"/>
      <c r="IRW207"/>
      <c r="IRX207"/>
      <c r="IRY207"/>
      <c r="IRZ207"/>
      <c r="ISA207"/>
      <c r="ISB207"/>
      <c r="ISC207"/>
      <c r="ISD207"/>
      <c r="ISE207"/>
      <c r="ISF207"/>
      <c r="ISG207"/>
      <c r="ISH207"/>
      <c r="ISI207"/>
      <c r="ISJ207"/>
      <c r="ISK207"/>
      <c r="ISL207"/>
      <c r="ISM207"/>
      <c r="ISN207"/>
      <c r="ISO207"/>
      <c r="ISP207"/>
      <c r="ISQ207"/>
      <c r="ISR207"/>
      <c r="ISS207"/>
      <c r="IST207"/>
      <c r="ISU207"/>
      <c r="ISV207"/>
      <c r="ISW207"/>
      <c r="ISX207"/>
      <c r="ISY207"/>
      <c r="ISZ207"/>
      <c r="ITA207"/>
      <c r="ITB207"/>
      <c r="ITC207"/>
      <c r="ITD207"/>
      <c r="ITE207"/>
      <c r="ITF207"/>
      <c r="ITG207"/>
      <c r="ITH207"/>
      <c r="ITI207"/>
      <c r="ITJ207"/>
      <c r="ITK207"/>
      <c r="ITL207"/>
      <c r="ITM207"/>
      <c r="ITN207"/>
      <c r="ITO207"/>
      <c r="ITP207"/>
      <c r="ITQ207"/>
      <c r="ITR207"/>
      <c r="ITS207"/>
      <c r="ITT207"/>
      <c r="ITU207"/>
      <c r="ITV207"/>
      <c r="ITW207"/>
      <c r="ITX207"/>
      <c r="ITY207"/>
      <c r="ITZ207"/>
      <c r="IUA207"/>
      <c r="IUB207"/>
      <c r="IUC207"/>
      <c r="IUD207"/>
      <c r="IUE207"/>
      <c r="IUF207"/>
      <c r="IUG207"/>
      <c r="IUH207"/>
      <c r="IUI207"/>
      <c r="IUJ207"/>
      <c r="IUK207"/>
      <c r="IUL207"/>
      <c r="IUM207"/>
      <c r="IUN207"/>
      <c r="IUO207"/>
      <c r="IUP207"/>
      <c r="IUQ207"/>
      <c r="IUR207"/>
      <c r="IUS207"/>
      <c r="IUT207"/>
      <c r="IUU207"/>
      <c r="IUV207"/>
      <c r="IUW207"/>
      <c r="IUX207"/>
      <c r="IUY207"/>
      <c r="IUZ207"/>
      <c r="IVA207"/>
      <c r="IVB207"/>
      <c r="IVC207"/>
      <c r="IVD207"/>
      <c r="IVE207"/>
      <c r="IVF207"/>
      <c r="IVG207"/>
      <c r="IVH207"/>
      <c r="IVI207"/>
      <c r="IVJ207"/>
      <c r="IVK207"/>
      <c r="IVL207"/>
      <c r="IVM207"/>
      <c r="IVN207"/>
      <c r="IVO207"/>
      <c r="IVP207"/>
      <c r="IVQ207"/>
      <c r="IVR207"/>
      <c r="IVS207"/>
      <c r="IVT207"/>
      <c r="IVU207"/>
      <c r="IVV207"/>
      <c r="IVW207"/>
      <c r="IVX207"/>
      <c r="IVY207"/>
      <c r="IVZ207"/>
      <c r="IWA207"/>
      <c r="IWB207"/>
      <c r="IWC207"/>
      <c r="IWD207"/>
      <c r="IWE207"/>
      <c r="IWF207"/>
      <c r="IWG207"/>
      <c r="IWH207"/>
      <c r="IWI207"/>
      <c r="IWJ207"/>
      <c r="IWK207"/>
      <c r="IWL207"/>
      <c r="IWM207"/>
      <c r="IWN207"/>
      <c r="IWO207"/>
      <c r="IWP207"/>
      <c r="IWQ207"/>
      <c r="IWR207"/>
      <c r="IWS207"/>
      <c r="IWT207"/>
      <c r="IWU207"/>
      <c r="IWV207"/>
      <c r="IWW207"/>
      <c r="IWX207"/>
      <c r="IWY207"/>
      <c r="IWZ207"/>
      <c r="IXA207"/>
      <c r="IXB207"/>
      <c r="IXC207"/>
      <c r="IXD207"/>
      <c r="IXE207"/>
      <c r="IXF207"/>
      <c r="IXG207"/>
      <c r="IXH207"/>
      <c r="IXI207"/>
      <c r="IXJ207"/>
      <c r="IXK207"/>
      <c r="IXL207"/>
      <c r="IXM207"/>
      <c r="IXN207"/>
      <c r="IXO207"/>
      <c r="IXP207"/>
      <c r="IXQ207"/>
      <c r="IXR207"/>
      <c r="IXS207"/>
      <c r="IXT207"/>
      <c r="IXU207"/>
      <c r="IXV207"/>
      <c r="IXW207"/>
      <c r="IXX207"/>
      <c r="IXY207"/>
      <c r="IXZ207"/>
      <c r="IYA207"/>
      <c r="IYB207"/>
      <c r="IYC207"/>
      <c r="IYD207"/>
      <c r="IYE207"/>
      <c r="IYF207"/>
      <c r="IYG207"/>
      <c r="IYH207"/>
      <c r="IYI207"/>
      <c r="IYJ207"/>
      <c r="IYK207"/>
      <c r="IYL207"/>
      <c r="IYM207"/>
      <c r="IYN207"/>
      <c r="IYO207"/>
      <c r="IYP207"/>
      <c r="IYQ207"/>
      <c r="IYR207"/>
      <c r="IYS207"/>
      <c r="IYT207"/>
      <c r="IYU207"/>
      <c r="IYV207"/>
      <c r="IYW207"/>
      <c r="IYX207"/>
      <c r="IYY207"/>
      <c r="IYZ207"/>
      <c r="IZA207"/>
      <c r="IZB207"/>
      <c r="IZC207"/>
      <c r="IZD207"/>
      <c r="IZE207"/>
      <c r="IZF207"/>
      <c r="IZG207"/>
      <c r="IZH207"/>
      <c r="IZI207"/>
      <c r="IZJ207"/>
      <c r="IZK207"/>
      <c r="IZL207"/>
      <c r="IZM207"/>
      <c r="IZN207"/>
      <c r="IZO207"/>
      <c r="IZP207"/>
      <c r="IZQ207"/>
      <c r="IZR207"/>
      <c r="IZS207"/>
      <c r="IZT207"/>
      <c r="IZU207"/>
      <c r="IZV207"/>
      <c r="IZW207"/>
      <c r="IZX207"/>
      <c r="IZY207"/>
      <c r="IZZ207"/>
      <c r="JAA207"/>
      <c r="JAB207"/>
      <c r="JAC207"/>
      <c r="JAD207"/>
      <c r="JAE207"/>
      <c r="JAF207"/>
      <c r="JAG207"/>
      <c r="JAH207"/>
      <c r="JAI207"/>
      <c r="JAJ207"/>
      <c r="JAK207"/>
      <c r="JAL207"/>
      <c r="JAM207"/>
      <c r="JAN207"/>
      <c r="JAO207"/>
      <c r="JAP207"/>
      <c r="JAQ207"/>
      <c r="JAR207"/>
      <c r="JAS207"/>
      <c r="JAT207"/>
      <c r="JAU207"/>
      <c r="JAV207"/>
      <c r="JAW207"/>
      <c r="JAX207"/>
      <c r="JAY207"/>
      <c r="JAZ207"/>
      <c r="JBA207"/>
      <c r="JBB207"/>
      <c r="JBC207"/>
      <c r="JBD207"/>
      <c r="JBE207"/>
      <c r="JBF207"/>
      <c r="JBG207"/>
      <c r="JBH207"/>
      <c r="JBI207"/>
      <c r="JBJ207"/>
      <c r="JBK207"/>
      <c r="JBL207"/>
      <c r="JBM207"/>
      <c r="JBN207"/>
      <c r="JBO207"/>
      <c r="JBP207"/>
      <c r="JBQ207"/>
      <c r="JBR207"/>
      <c r="JBS207"/>
      <c r="JBT207"/>
      <c r="JBU207"/>
      <c r="JBV207"/>
      <c r="JBW207"/>
      <c r="JBX207"/>
      <c r="JBY207"/>
      <c r="JBZ207"/>
      <c r="JCA207"/>
      <c r="JCB207"/>
      <c r="JCC207"/>
      <c r="JCD207"/>
      <c r="JCE207"/>
      <c r="JCF207"/>
      <c r="JCG207"/>
      <c r="JCH207"/>
      <c r="JCI207"/>
      <c r="JCJ207"/>
      <c r="JCK207"/>
      <c r="JCL207"/>
      <c r="JCM207"/>
      <c r="JCN207"/>
      <c r="JCO207"/>
      <c r="JCP207"/>
      <c r="JCQ207"/>
      <c r="JCR207"/>
      <c r="JCS207"/>
      <c r="JCT207"/>
      <c r="JCU207"/>
      <c r="JCV207"/>
      <c r="JCW207"/>
      <c r="JCX207"/>
      <c r="JCY207"/>
      <c r="JCZ207"/>
      <c r="JDA207"/>
      <c r="JDB207"/>
      <c r="JDC207"/>
      <c r="JDD207"/>
      <c r="JDE207"/>
      <c r="JDF207"/>
      <c r="JDG207"/>
      <c r="JDH207"/>
      <c r="JDI207"/>
      <c r="JDJ207"/>
      <c r="JDK207"/>
      <c r="JDL207"/>
      <c r="JDM207"/>
      <c r="JDN207"/>
      <c r="JDO207"/>
      <c r="JDP207"/>
      <c r="JDQ207"/>
      <c r="JDR207"/>
      <c r="JDS207"/>
      <c r="JDT207"/>
      <c r="JDU207"/>
      <c r="JDV207"/>
      <c r="JDW207"/>
      <c r="JDX207"/>
      <c r="JDY207"/>
      <c r="JDZ207"/>
      <c r="JEA207"/>
      <c r="JEB207"/>
      <c r="JEC207"/>
      <c r="JED207"/>
      <c r="JEE207"/>
      <c r="JEF207"/>
      <c r="JEG207"/>
      <c r="JEH207"/>
      <c r="JEI207"/>
      <c r="JEJ207"/>
      <c r="JEK207"/>
      <c r="JEL207"/>
      <c r="JEM207"/>
      <c r="JEN207"/>
      <c r="JEO207"/>
      <c r="JEP207"/>
      <c r="JEQ207"/>
      <c r="JER207"/>
      <c r="JES207"/>
      <c r="JET207"/>
      <c r="JEU207"/>
      <c r="JEV207"/>
      <c r="JEW207"/>
      <c r="JEX207"/>
      <c r="JEY207"/>
      <c r="JEZ207"/>
      <c r="JFA207"/>
      <c r="JFB207"/>
      <c r="JFC207"/>
      <c r="JFD207"/>
      <c r="JFE207"/>
      <c r="JFF207"/>
      <c r="JFG207"/>
      <c r="JFH207"/>
      <c r="JFI207"/>
      <c r="JFJ207"/>
      <c r="JFK207"/>
      <c r="JFL207"/>
      <c r="JFM207"/>
      <c r="JFN207"/>
      <c r="JFO207"/>
      <c r="JFP207"/>
      <c r="JFQ207"/>
      <c r="JFR207"/>
      <c r="JFS207"/>
      <c r="JFT207"/>
      <c r="JFU207"/>
      <c r="JFV207"/>
      <c r="JFW207"/>
      <c r="JFX207"/>
      <c r="JFY207"/>
      <c r="JFZ207"/>
      <c r="JGA207"/>
      <c r="JGB207"/>
      <c r="JGC207"/>
      <c r="JGD207"/>
      <c r="JGE207"/>
      <c r="JGF207"/>
      <c r="JGG207"/>
      <c r="JGH207"/>
      <c r="JGI207"/>
      <c r="JGJ207"/>
      <c r="JGK207"/>
      <c r="JGL207"/>
      <c r="JGM207"/>
      <c r="JGN207"/>
      <c r="JGO207"/>
      <c r="JGP207"/>
      <c r="JGQ207"/>
      <c r="JGR207"/>
      <c r="JGS207"/>
      <c r="JGT207"/>
      <c r="JGU207"/>
      <c r="JGV207"/>
      <c r="JGW207"/>
      <c r="JGX207"/>
      <c r="JGY207"/>
      <c r="JGZ207"/>
      <c r="JHA207"/>
      <c r="JHB207"/>
      <c r="JHC207"/>
      <c r="JHD207"/>
      <c r="JHE207"/>
      <c r="JHF207"/>
      <c r="JHG207"/>
      <c r="JHH207"/>
      <c r="JHI207"/>
      <c r="JHJ207"/>
      <c r="JHK207"/>
      <c r="JHL207"/>
      <c r="JHM207"/>
      <c r="JHN207"/>
      <c r="JHO207"/>
      <c r="JHP207"/>
      <c r="JHQ207"/>
      <c r="JHR207"/>
      <c r="JHS207"/>
      <c r="JHT207"/>
      <c r="JHU207"/>
      <c r="JHV207"/>
      <c r="JHW207"/>
      <c r="JHX207"/>
      <c r="JHY207"/>
      <c r="JHZ207"/>
      <c r="JIA207"/>
      <c r="JIB207"/>
      <c r="JIC207"/>
      <c r="JID207"/>
      <c r="JIE207"/>
      <c r="JIF207"/>
      <c r="JIG207"/>
      <c r="JIH207"/>
      <c r="JII207"/>
      <c r="JIJ207"/>
      <c r="JIK207"/>
      <c r="JIL207"/>
      <c r="JIM207"/>
      <c r="JIN207"/>
      <c r="JIO207"/>
      <c r="JIP207"/>
      <c r="JIQ207"/>
      <c r="JIR207"/>
      <c r="JIS207"/>
      <c r="JIT207"/>
      <c r="JIU207"/>
      <c r="JIV207"/>
      <c r="JIW207"/>
      <c r="JIX207"/>
      <c r="JIY207"/>
      <c r="JIZ207"/>
      <c r="JJA207"/>
      <c r="JJB207"/>
      <c r="JJC207"/>
      <c r="JJD207"/>
      <c r="JJE207"/>
      <c r="JJF207"/>
      <c r="JJG207"/>
      <c r="JJH207"/>
      <c r="JJI207"/>
      <c r="JJJ207"/>
      <c r="JJK207"/>
      <c r="JJL207"/>
      <c r="JJM207"/>
      <c r="JJN207"/>
      <c r="JJO207"/>
      <c r="JJP207"/>
      <c r="JJQ207"/>
      <c r="JJR207"/>
      <c r="JJS207"/>
      <c r="JJT207"/>
      <c r="JJU207"/>
      <c r="JJV207"/>
      <c r="JJW207"/>
      <c r="JJX207"/>
      <c r="JJY207"/>
      <c r="JJZ207"/>
      <c r="JKA207"/>
      <c r="JKB207"/>
      <c r="JKC207"/>
      <c r="JKD207"/>
      <c r="JKE207"/>
      <c r="JKF207"/>
      <c r="JKG207"/>
      <c r="JKH207"/>
      <c r="JKI207"/>
      <c r="JKJ207"/>
      <c r="JKK207"/>
      <c r="JKL207"/>
      <c r="JKM207"/>
      <c r="JKN207"/>
      <c r="JKO207"/>
      <c r="JKP207"/>
      <c r="JKQ207"/>
      <c r="JKR207"/>
      <c r="JKS207"/>
      <c r="JKT207"/>
      <c r="JKU207"/>
      <c r="JKV207"/>
      <c r="JKW207"/>
      <c r="JKX207"/>
      <c r="JKY207"/>
      <c r="JKZ207"/>
      <c r="JLA207"/>
      <c r="JLB207"/>
      <c r="JLC207"/>
      <c r="JLD207"/>
      <c r="JLE207"/>
      <c r="JLF207"/>
      <c r="JLG207"/>
      <c r="JLH207"/>
      <c r="JLI207"/>
      <c r="JLJ207"/>
      <c r="JLK207"/>
      <c r="JLL207"/>
      <c r="JLM207"/>
      <c r="JLN207"/>
      <c r="JLO207"/>
      <c r="JLP207"/>
      <c r="JLQ207"/>
      <c r="JLR207"/>
      <c r="JLS207"/>
      <c r="JLT207"/>
      <c r="JLU207"/>
      <c r="JLV207"/>
      <c r="JLW207"/>
      <c r="JLX207"/>
      <c r="JLY207"/>
      <c r="JLZ207"/>
      <c r="JMA207"/>
      <c r="JMB207"/>
      <c r="JMC207"/>
      <c r="JMD207"/>
      <c r="JME207"/>
      <c r="JMF207"/>
      <c r="JMG207"/>
      <c r="JMH207"/>
      <c r="JMI207"/>
      <c r="JMJ207"/>
      <c r="JMK207"/>
      <c r="JML207"/>
      <c r="JMM207"/>
      <c r="JMN207"/>
      <c r="JMO207"/>
      <c r="JMP207"/>
      <c r="JMQ207"/>
      <c r="JMR207"/>
      <c r="JMS207"/>
      <c r="JMT207"/>
      <c r="JMU207"/>
      <c r="JMV207"/>
      <c r="JMW207"/>
      <c r="JMX207"/>
      <c r="JMY207"/>
      <c r="JMZ207"/>
      <c r="JNA207"/>
      <c r="JNB207"/>
      <c r="JNC207"/>
      <c r="JND207"/>
      <c r="JNE207"/>
      <c r="JNF207"/>
      <c r="JNG207"/>
      <c r="JNH207"/>
      <c r="JNI207"/>
      <c r="JNJ207"/>
      <c r="JNK207"/>
      <c r="JNL207"/>
      <c r="JNM207"/>
      <c r="JNN207"/>
      <c r="JNO207"/>
      <c r="JNP207"/>
      <c r="JNQ207"/>
      <c r="JNR207"/>
      <c r="JNS207"/>
      <c r="JNT207"/>
      <c r="JNU207"/>
      <c r="JNV207"/>
      <c r="JNW207"/>
      <c r="JNX207"/>
      <c r="JNY207"/>
      <c r="JNZ207"/>
      <c r="JOA207"/>
      <c r="JOB207"/>
      <c r="JOC207"/>
      <c r="JOD207"/>
      <c r="JOE207"/>
      <c r="JOF207"/>
      <c r="JOG207"/>
      <c r="JOH207"/>
      <c r="JOI207"/>
      <c r="JOJ207"/>
      <c r="JOK207"/>
      <c r="JOL207"/>
      <c r="JOM207"/>
      <c r="JON207"/>
      <c r="JOO207"/>
      <c r="JOP207"/>
      <c r="JOQ207"/>
      <c r="JOR207"/>
      <c r="JOS207"/>
      <c r="JOT207"/>
      <c r="JOU207"/>
      <c r="JOV207"/>
      <c r="JOW207"/>
      <c r="JOX207"/>
      <c r="JOY207"/>
      <c r="JOZ207"/>
      <c r="JPA207"/>
      <c r="JPB207"/>
      <c r="JPC207"/>
      <c r="JPD207"/>
      <c r="JPE207"/>
      <c r="JPF207"/>
      <c r="JPG207"/>
      <c r="JPH207"/>
      <c r="JPI207"/>
      <c r="JPJ207"/>
      <c r="JPK207"/>
      <c r="JPL207"/>
      <c r="JPM207"/>
      <c r="JPN207"/>
      <c r="JPO207"/>
      <c r="JPP207"/>
      <c r="JPQ207"/>
      <c r="JPR207"/>
      <c r="JPS207"/>
      <c r="JPT207"/>
      <c r="JPU207"/>
      <c r="JPV207"/>
      <c r="JPW207"/>
      <c r="JPX207"/>
      <c r="JPY207"/>
      <c r="JPZ207"/>
      <c r="JQA207"/>
      <c r="JQB207"/>
      <c r="JQC207"/>
      <c r="JQD207"/>
      <c r="JQE207"/>
      <c r="JQF207"/>
      <c r="JQG207"/>
      <c r="JQH207"/>
      <c r="JQI207"/>
      <c r="JQJ207"/>
      <c r="JQK207"/>
      <c r="JQL207"/>
      <c r="JQM207"/>
      <c r="JQN207"/>
      <c r="JQO207"/>
      <c r="JQP207"/>
      <c r="JQQ207"/>
      <c r="JQR207"/>
      <c r="JQS207"/>
      <c r="JQT207"/>
      <c r="JQU207"/>
      <c r="JQV207"/>
      <c r="JQW207"/>
      <c r="JQX207"/>
      <c r="JQY207"/>
      <c r="JQZ207"/>
      <c r="JRA207"/>
      <c r="JRB207"/>
      <c r="JRC207"/>
      <c r="JRD207"/>
      <c r="JRE207"/>
      <c r="JRF207"/>
      <c r="JRG207"/>
      <c r="JRH207"/>
      <c r="JRI207"/>
      <c r="JRJ207"/>
      <c r="JRK207"/>
      <c r="JRL207"/>
      <c r="JRM207"/>
      <c r="JRN207"/>
      <c r="JRO207"/>
      <c r="JRP207"/>
      <c r="JRQ207"/>
      <c r="JRR207"/>
      <c r="JRS207"/>
      <c r="JRT207"/>
      <c r="JRU207"/>
      <c r="JRV207"/>
      <c r="JRW207"/>
      <c r="JRX207"/>
      <c r="JRY207"/>
      <c r="JRZ207"/>
      <c r="JSA207"/>
      <c r="JSB207"/>
      <c r="JSC207"/>
      <c r="JSD207"/>
      <c r="JSE207"/>
      <c r="JSF207"/>
      <c r="JSG207"/>
      <c r="JSH207"/>
      <c r="JSI207"/>
      <c r="JSJ207"/>
      <c r="JSK207"/>
      <c r="JSL207"/>
      <c r="JSM207"/>
      <c r="JSN207"/>
      <c r="JSO207"/>
      <c r="JSP207"/>
      <c r="JSQ207"/>
      <c r="JSR207"/>
      <c r="JSS207"/>
      <c r="JST207"/>
      <c r="JSU207"/>
      <c r="JSV207"/>
      <c r="JSW207"/>
      <c r="JSX207"/>
      <c r="JSY207"/>
      <c r="JSZ207"/>
      <c r="JTA207"/>
      <c r="JTB207"/>
      <c r="JTC207"/>
      <c r="JTD207"/>
      <c r="JTE207"/>
      <c r="JTF207"/>
      <c r="JTG207"/>
      <c r="JTH207"/>
      <c r="JTI207"/>
      <c r="JTJ207"/>
      <c r="JTK207"/>
      <c r="JTL207"/>
      <c r="JTM207"/>
      <c r="JTN207"/>
      <c r="JTO207"/>
      <c r="JTP207"/>
      <c r="JTQ207"/>
      <c r="JTR207"/>
      <c r="JTS207"/>
      <c r="JTT207"/>
      <c r="JTU207"/>
      <c r="JTV207"/>
      <c r="JTW207"/>
      <c r="JTX207"/>
      <c r="JTY207"/>
      <c r="JTZ207"/>
      <c r="JUA207"/>
      <c r="JUB207"/>
      <c r="JUC207"/>
      <c r="JUD207"/>
      <c r="JUE207"/>
      <c r="JUF207"/>
      <c r="JUG207"/>
      <c r="JUH207"/>
      <c r="JUI207"/>
      <c r="JUJ207"/>
      <c r="JUK207"/>
      <c r="JUL207"/>
      <c r="JUM207"/>
      <c r="JUN207"/>
      <c r="JUO207"/>
      <c r="JUP207"/>
      <c r="JUQ207"/>
      <c r="JUR207"/>
      <c r="JUS207"/>
      <c r="JUT207"/>
      <c r="JUU207"/>
      <c r="JUV207"/>
      <c r="JUW207"/>
      <c r="JUX207"/>
      <c r="JUY207"/>
      <c r="JUZ207"/>
      <c r="JVA207"/>
      <c r="JVB207"/>
      <c r="JVC207"/>
      <c r="JVD207"/>
      <c r="JVE207"/>
      <c r="JVF207"/>
      <c r="JVG207"/>
      <c r="JVH207"/>
      <c r="JVI207"/>
      <c r="JVJ207"/>
      <c r="JVK207"/>
      <c r="JVL207"/>
      <c r="JVM207"/>
      <c r="JVN207"/>
      <c r="JVO207"/>
      <c r="JVP207"/>
      <c r="JVQ207"/>
      <c r="JVR207"/>
      <c r="JVS207"/>
      <c r="JVT207"/>
      <c r="JVU207"/>
      <c r="JVV207"/>
      <c r="JVW207"/>
      <c r="JVX207"/>
      <c r="JVY207"/>
      <c r="JVZ207"/>
      <c r="JWA207"/>
      <c r="JWB207"/>
      <c r="JWC207"/>
      <c r="JWD207"/>
      <c r="JWE207"/>
      <c r="JWF207"/>
      <c r="JWG207"/>
      <c r="JWH207"/>
      <c r="JWI207"/>
      <c r="JWJ207"/>
      <c r="JWK207"/>
      <c r="JWL207"/>
      <c r="JWM207"/>
      <c r="JWN207"/>
      <c r="JWO207"/>
      <c r="JWP207"/>
      <c r="JWQ207"/>
      <c r="JWR207"/>
      <c r="JWS207"/>
      <c r="JWT207"/>
      <c r="JWU207"/>
      <c r="JWV207"/>
      <c r="JWW207"/>
      <c r="JWX207"/>
      <c r="JWY207"/>
      <c r="JWZ207"/>
      <c r="JXA207"/>
      <c r="JXB207"/>
      <c r="JXC207"/>
      <c r="JXD207"/>
      <c r="JXE207"/>
      <c r="JXF207"/>
      <c r="JXG207"/>
      <c r="JXH207"/>
      <c r="JXI207"/>
      <c r="JXJ207"/>
      <c r="JXK207"/>
      <c r="JXL207"/>
      <c r="JXM207"/>
      <c r="JXN207"/>
      <c r="JXO207"/>
      <c r="JXP207"/>
      <c r="JXQ207"/>
      <c r="JXR207"/>
      <c r="JXS207"/>
      <c r="JXT207"/>
      <c r="JXU207"/>
      <c r="JXV207"/>
      <c r="JXW207"/>
      <c r="JXX207"/>
      <c r="JXY207"/>
      <c r="JXZ207"/>
      <c r="JYA207"/>
      <c r="JYB207"/>
      <c r="JYC207"/>
      <c r="JYD207"/>
      <c r="JYE207"/>
      <c r="JYF207"/>
      <c r="JYG207"/>
      <c r="JYH207"/>
      <c r="JYI207"/>
      <c r="JYJ207"/>
      <c r="JYK207"/>
      <c r="JYL207"/>
      <c r="JYM207"/>
      <c r="JYN207"/>
      <c r="JYO207"/>
      <c r="JYP207"/>
      <c r="JYQ207"/>
      <c r="JYR207"/>
      <c r="JYS207"/>
      <c r="JYT207"/>
      <c r="JYU207"/>
      <c r="JYV207"/>
      <c r="JYW207"/>
      <c r="JYX207"/>
      <c r="JYY207"/>
      <c r="JYZ207"/>
      <c r="JZA207"/>
      <c r="JZB207"/>
      <c r="JZC207"/>
      <c r="JZD207"/>
      <c r="JZE207"/>
      <c r="JZF207"/>
      <c r="JZG207"/>
      <c r="JZH207"/>
      <c r="JZI207"/>
      <c r="JZJ207"/>
      <c r="JZK207"/>
      <c r="JZL207"/>
      <c r="JZM207"/>
      <c r="JZN207"/>
      <c r="JZO207"/>
      <c r="JZP207"/>
      <c r="JZQ207"/>
      <c r="JZR207"/>
      <c r="JZS207"/>
      <c r="JZT207"/>
      <c r="JZU207"/>
      <c r="JZV207"/>
      <c r="JZW207"/>
      <c r="JZX207"/>
      <c r="JZY207"/>
      <c r="JZZ207"/>
      <c r="KAA207"/>
      <c r="KAB207"/>
      <c r="KAC207"/>
      <c r="KAD207"/>
      <c r="KAE207"/>
      <c r="KAF207"/>
      <c r="KAG207"/>
      <c r="KAH207"/>
      <c r="KAI207"/>
      <c r="KAJ207"/>
      <c r="KAK207"/>
      <c r="KAL207"/>
      <c r="KAM207"/>
      <c r="KAN207"/>
      <c r="KAO207"/>
      <c r="KAP207"/>
      <c r="KAQ207"/>
      <c r="KAR207"/>
      <c r="KAS207"/>
      <c r="KAT207"/>
      <c r="KAU207"/>
      <c r="KAV207"/>
      <c r="KAW207"/>
      <c r="KAX207"/>
      <c r="KAY207"/>
      <c r="KAZ207"/>
      <c r="KBA207"/>
      <c r="KBB207"/>
      <c r="KBC207"/>
      <c r="KBD207"/>
      <c r="KBE207"/>
      <c r="KBF207"/>
      <c r="KBG207"/>
      <c r="KBH207"/>
      <c r="KBI207"/>
      <c r="KBJ207"/>
      <c r="KBK207"/>
      <c r="KBL207"/>
      <c r="KBM207"/>
      <c r="KBN207"/>
      <c r="KBO207"/>
      <c r="KBP207"/>
      <c r="KBQ207"/>
      <c r="KBR207"/>
      <c r="KBS207"/>
      <c r="KBT207"/>
      <c r="KBU207"/>
      <c r="KBV207"/>
      <c r="KBW207"/>
      <c r="KBX207"/>
      <c r="KBY207"/>
      <c r="KBZ207"/>
      <c r="KCA207"/>
      <c r="KCB207"/>
      <c r="KCC207"/>
      <c r="KCD207"/>
      <c r="KCE207"/>
      <c r="KCF207"/>
      <c r="KCG207"/>
      <c r="KCH207"/>
      <c r="KCI207"/>
      <c r="KCJ207"/>
      <c r="KCK207"/>
      <c r="KCL207"/>
      <c r="KCM207"/>
      <c r="KCN207"/>
      <c r="KCO207"/>
      <c r="KCP207"/>
      <c r="KCQ207"/>
      <c r="KCR207"/>
      <c r="KCS207"/>
      <c r="KCT207"/>
      <c r="KCU207"/>
      <c r="KCV207"/>
      <c r="KCW207"/>
      <c r="KCX207"/>
      <c r="KCY207"/>
      <c r="KCZ207"/>
      <c r="KDA207"/>
      <c r="KDB207"/>
      <c r="KDC207"/>
      <c r="KDD207"/>
      <c r="KDE207"/>
      <c r="KDF207"/>
      <c r="KDG207"/>
      <c r="KDH207"/>
      <c r="KDI207"/>
      <c r="KDJ207"/>
      <c r="KDK207"/>
      <c r="KDL207"/>
      <c r="KDM207"/>
      <c r="KDN207"/>
      <c r="KDO207"/>
      <c r="KDP207"/>
      <c r="KDQ207"/>
      <c r="KDR207"/>
      <c r="KDS207"/>
      <c r="KDT207"/>
      <c r="KDU207"/>
      <c r="KDV207"/>
      <c r="KDW207"/>
      <c r="KDX207"/>
      <c r="KDY207"/>
      <c r="KDZ207"/>
      <c r="KEA207"/>
      <c r="KEB207"/>
      <c r="KEC207"/>
      <c r="KED207"/>
      <c r="KEE207"/>
      <c r="KEF207"/>
      <c r="KEG207"/>
      <c r="KEH207"/>
      <c r="KEI207"/>
      <c r="KEJ207"/>
      <c r="KEK207"/>
      <c r="KEL207"/>
      <c r="KEM207"/>
      <c r="KEN207"/>
      <c r="KEO207"/>
      <c r="KEP207"/>
      <c r="KEQ207"/>
      <c r="KER207"/>
      <c r="KES207"/>
      <c r="KET207"/>
      <c r="KEU207"/>
      <c r="KEV207"/>
      <c r="KEW207"/>
      <c r="KEX207"/>
      <c r="KEY207"/>
      <c r="KEZ207"/>
      <c r="KFA207"/>
      <c r="KFB207"/>
      <c r="KFC207"/>
      <c r="KFD207"/>
      <c r="KFE207"/>
      <c r="KFF207"/>
      <c r="KFG207"/>
      <c r="KFH207"/>
      <c r="KFI207"/>
      <c r="KFJ207"/>
      <c r="KFK207"/>
      <c r="KFL207"/>
      <c r="KFM207"/>
      <c r="KFN207"/>
      <c r="KFO207"/>
      <c r="KFP207"/>
      <c r="KFQ207"/>
      <c r="KFR207"/>
      <c r="KFS207"/>
      <c r="KFT207"/>
      <c r="KFU207"/>
      <c r="KFV207"/>
      <c r="KFW207"/>
      <c r="KFX207"/>
      <c r="KFY207"/>
      <c r="KFZ207"/>
      <c r="KGA207"/>
      <c r="KGB207"/>
      <c r="KGC207"/>
      <c r="KGD207"/>
      <c r="KGE207"/>
      <c r="KGF207"/>
      <c r="KGG207"/>
      <c r="KGH207"/>
      <c r="KGI207"/>
      <c r="KGJ207"/>
      <c r="KGK207"/>
      <c r="KGL207"/>
      <c r="KGM207"/>
      <c r="KGN207"/>
      <c r="KGO207"/>
      <c r="KGP207"/>
      <c r="KGQ207"/>
      <c r="KGR207"/>
      <c r="KGS207"/>
      <c r="KGT207"/>
      <c r="KGU207"/>
      <c r="KGV207"/>
      <c r="KGW207"/>
      <c r="KGX207"/>
      <c r="KGY207"/>
      <c r="KGZ207"/>
      <c r="KHA207"/>
      <c r="KHB207"/>
      <c r="KHC207"/>
      <c r="KHD207"/>
      <c r="KHE207"/>
      <c r="KHF207"/>
      <c r="KHG207"/>
      <c r="KHH207"/>
      <c r="KHI207"/>
      <c r="KHJ207"/>
      <c r="KHK207"/>
      <c r="KHL207"/>
      <c r="KHM207"/>
      <c r="KHN207"/>
      <c r="KHO207"/>
      <c r="KHP207"/>
      <c r="KHQ207"/>
      <c r="KHR207"/>
      <c r="KHS207"/>
      <c r="KHT207"/>
      <c r="KHU207"/>
      <c r="KHV207"/>
      <c r="KHW207"/>
      <c r="KHX207"/>
      <c r="KHY207"/>
      <c r="KHZ207"/>
      <c r="KIA207"/>
      <c r="KIB207"/>
      <c r="KIC207"/>
      <c r="KID207"/>
      <c r="KIE207"/>
      <c r="KIF207"/>
      <c r="KIG207"/>
      <c r="KIH207"/>
      <c r="KII207"/>
      <c r="KIJ207"/>
      <c r="KIK207"/>
      <c r="KIL207"/>
      <c r="KIM207"/>
      <c r="KIN207"/>
      <c r="KIO207"/>
      <c r="KIP207"/>
      <c r="KIQ207"/>
      <c r="KIR207"/>
      <c r="KIS207"/>
      <c r="KIT207"/>
      <c r="KIU207"/>
      <c r="KIV207"/>
      <c r="KIW207"/>
      <c r="KIX207"/>
      <c r="KIY207"/>
      <c r="KIZ207"/>
      <c r="KJA207"/>
      <c r="KJB207"/>
      <c r="KJC207"/>
      <c r="KJD207"/>
      <c r="KJE207"/>
      <c r="KJF207"/>
      <c r="KJG207"/>
      <c r="KJH207"/>
      <c r="KJI207"/>
      <c r="KJJ207"/>
      <c r="KJK207"/>
      <c r="KJL207"/>
      <c r="KJM207"/>
      <c r="KJN207"/>
      <c r="KJO207"/>
      <c r="KJP207"/>
      <c r="KJQ207"/>
      <c r="KJR207"/>
      <c r="KJS207"/>
      <c r="KJT207"/>
      <c r="KJU207"/>
      <c r="KJV207"/>
      <c r="KJW207"/>
      <c r="KJX207"/>
      <c r="KJY207"/>
      <c r="KJZ207"/>
      <c r="KKA207"/>
      <c r="KKB207"/>
      <c r="KKC207"/>
      <c r="KKD207"/>
      <c r="KKE207"/>
      <c r="KKF207"/>
      <c r="KKG207"/>
      <c r="KKH207"/>
      <c r="KKI207"/>
      <c r="KKJ207"/>
      <c r="KKK207"/>
      <c r="KKL207"/>
      <c r="KKM207"/>
      <c r="KKN207"/>
      <c r="KKO207"/>
      <c r="KKP207"/>
      <c r="KKQ207"/>
      <c r="KKR207"/>
      <c r="KKS207"/>
      <c r="KKT207"/>
      <c r="KKU207"/>
      <c r="KKV207"/>
      <c r="KKW207"/>
      <c r="KKX207"/>
      <c r="KKY207"/>
      <c r="KKZ207"/>
      <c r="KLA207"/>
      <c r="KLB207"/>
      <c r="KLC207"/>
      <c r="KLD207"/>
      <c r="KLE207"/>
      <c r="KLF207"/>
      <c r="KLG207"/>
      <c r="KLH207"/>
      <c r="KLI207"/>
      <c r="KLJ207"/>
      <c r="KLK207"/>
      <c r="KLL207"/>
      <c r="KLM207"/>
      <c r="KLN207"/>
      <c r="KLO207"/>
      <c r="KLP207"/>
      <c r="KLQ207"/>
      <c r="KLR207"/>
      <c r="KLS207"/>
      <c r="KLT207"/>
      <c r="KLU207"/>
      <c r="KLV207"/>
      <c r="KLW207"/>
      <c r="KLX207"/>
      <c r="KLY207"/>
      <c r="KLZ207"/>
      <c r="KMA207"/>
      <c r="KMB207"/>
      <c r="KMC207"/>
      <c r="KMD207"/>
      <c r="KME207"/>
      <c r="KMF207"/>
      <c r="KMG207"/>
      <c r="KMH207"/>
      <c r="KMI207"/>
      <c r="KMJ207"/>
      <c r="KMK207"/>
      <c r="KML207"/>
      <c r="KMM207"/>
      <c r="KMN207"/>
      <c r="KMO207"/>
      <c r="KMP207"/>
      <c r="KMQ207"/>
      <c r="KMR207"/>
      <c r="KMS207"/>
      <c r="KMT207"/>
      <c r="KMU207"/>
      <c r="KMV207"/>
      <c r="KMW207"/>
      <c r="KMX207"/>
      <c r="KMY207"/>
      <c r="KMZ207"/>
      <c r="KNA207"/>
      <c r="KNB207"/>
      <c r="KNC207"/>
      <c r="KND207"/>
      <c r="KNE207"/>
      <c r="KNF207"/>
      <c r="KNG207"/>
      <c r="KNH207"/>
      <c r="KNI207"/>
      <c r="KNJ207"/>
      <c r="KNK207"/>
      <c r="KNL207"/>
      <c r="KNM207"/>
      <c r="KNN207"/>
      <c r="KNO207"/>
      <c r="KNP207"/>
      <c r="KNQ207"/>
      <c r="KNR207"/>
      <c r="KNS207"/>
      <c r="KNT207"/>
      <c r="KNU207"/>
      <c r="KNV207"/>
      <c r="KNW207"/>
      <c r="KNX207"/>
      <c r="KNY207"/>
      <c r="KNZ207"/>
      <c r="KOA207"/>
      <c r="KOB207"/>
      <c r="KOC207"/>
      <c r="KOD207"/>
      <c r="KOE207"/>
      <c r="KOF207"/>
      <c r="KOG207"/>
      <c r="KOH207"/>
      <c r="KOI207"/>
      <c r="KOJ207"/>
      <c r="KOK207"/>
      <c r="KOL207"/>
      <c r="KOM207"/>
      <c r="KON207"/>
      <c r="KOO207"/>
      <c r="KOP207"/>
      <c r="KOQ207"/>
      <c r="KOR207"/>
      <c r="KOS207"/>
      <c r="KOT207"/>
      <c r="KOU207"/>
      <c r="KOV207"/>
      <c r="KOW207"/>
      <c r="KOX207"/>
      <c r="KOY207"/>
      <c r="KOZ207"/>
      <c r="KPA207"/>
      <c r="KPB207"/>
      <c r="KPC207"/>
      <c r="KPD207"/>
      <c r="KPE207"/>
      <c r="KPF207"/>
      <c r="KPG207"/>
      <c r="KPH207"/>
      <c r="KPI207"/>
      <c r="KPJ207"/>
      <c r="KPK207"/>
      <c r="KPL207"/>
      <c r="KPM207"/>
      <c r="KPN207"/>
      <c r="KPO207"/>
      <c r="KPP207"/>
      <c r="KPQ207"/>
      <c r="KPR207"/>
      <c r="KPS207"/>
      <c r="KPT207"/>
      <c r="KPU207"/>
      <c r="KPV207"/>
      <c r="KPW207"/>
      <c r="KPX207"/>
      <c r="KPY207"/>
      <c r="KPZ207"/>
      <c r="KQA207"/>
      <c r="KQB207"/>
      <c r="KQC207"/>
      <c r="KQD207"/>
      <c r="KQE207"/>
      <c r="KQF207"/>
      <c r="KQG207"/>
      <c r="KQH207"/>
      <c r="KQI207"/>
      <c r="KQJ207"/>
      <c r="KQK207"/>
      <c r="KQL207"/>
      <c r="KQM207"/>
      <c r="KQN207"/>
      <c r="KQO207"/>
      <c r="KQP207"/>
      <c r="KQQ207"/>
      <c r="KQR207"/>
      <c r="KQS207"/>
      <c r="KQT207"/>
      <c r="KQU207"/>
      <c r="KQV207"/>
      <c r="KQW207"/>
      <c r="KQX207"/>
      <c r="KQY207"/>
      <c r="KQZ207"/>
      <c r="KRA207"/>
      <c r="KRB207"/>
      <c r="KRC207"/>
      <c r="KRD207"/>
      <c r="KRE207"/>
      <c r="KRF207"/>
      <c r="KRG207"/>
      <c r="KRH207"/>
      <c r="KRI207"/>
      <c r="KRJ207"/>
      <c r="KRK207"/>
      <c r="KRL207"/>
      <c r="KRM207"/>
      <c r="KRN207"/>
      <c r="KRO207"/>
      <c r="KRP207"/>
      <c r="KRQ207"/>
      <c r="KRR207"/>
      <c r="KRS207"/>
      <c r="KRT207"/>
      <c r="KRU207"/>
      <c r="KRV207"/>
      <c r="KRW207"/>
      <c r="KRX207"/>
      <c r="KRY207"/>
      <c r="KRZ207"/>
      <c r="KSA207"/>
      <c r="KSB207"/>
      <c r="KSC207"/>
      <c r="KSD207"/>
      <c r="KSE207"/>
      <c r="KSF207"/>
      <c r="KSG207"/>
      <c r="KSH207"/>
      <c r="KSI207"/>
      <c r="KSJ207"/>
      <c r="KSK207"/>
      <c r="KSL207"/>
      <c r="KSM207"/>
      <c r="KSN207"/>
      <c r="KSO207"/>
      <c r="KSP207"/>
      <c r="KSQ207"/>
      <c r="KSR207"/>
      <c r="KSS207"/>
      <c r="KST207"/>
      <c r="KSU207"/>
      <c r="KSV207"/>
      <c r="KSW207"/>
      <c r="KSX207"/>
      <c r="KSY207"/>
      <c r="KSZ207"/>
      <c r="KTA207"/>
      <c r="KTB207"/>
      <c r="KTC207"/>
      <c r="KTD207"/>
      <c r="KTE207"/>
      <c r="KTF207"/>
      <c r="KTG207"/>
      <c r="KTH207"/>
      <c r="KTI207"/>
      <c r="KTJ207"/>
      <c r="KTK207"/>
      <c r="KTL207"/>
      <c r="KTM207"/>
      <c r="KTN207"/>
      <c r="KTO207"/>
      <c r="KTP207"/>
      <c r="KTQ207"/>
      <c r="KTR207"/>
      <c r="KTS207"/>
      <c r="KTT207"/>
      <c r="KTU207"/>
      <c r="KTV207"/>
      <c r="KTW207"/>
      <c r="KTX207"/>
      <c r="KTY207"/>
      <c r="KTZ207"/>
      <c r="KUA207"/>
      <c r="KUB207"/>
      <c r="KUC207"/>
      <c r="KUD207"/>
      <c r="KUE207"/>
      <c r="KUF207"/>
      <c r="KUG207"/>
      <c r="KUH207"/>
      <c r="KUI207"/>
      <c r="KUJ207"/>
      <c r="KUK207"/>
      <c r="KUL207"/>
      <c r="KUM207"/>
      <c r="KUN207"/>
      <c r="KUO207"/>
      <c r="KUP207"/>
      <c r="KUQ207"/>
      <c r="KUR207"/>
      <c r="KUS207"/>
      <c r="KUT207"/>
      <c r="KUU207"/>
      <c r="KUV207"/>
      <c r="KUW207"/>
      <c r="KUX207"/>
      <c r="KUY207"/>
      <c r="KUZ207"/>
      <c r="KVA207"/>
      <c r="KVB207"/>
      <c r="KVC207"/>
      <c r="KVD207"/>
      <c r="KVE207"/>
      <c r="KVF207"/>
      <c r="KVG207"/>
      <c r="KVH207"/>
      <c r="KVI207"/>
      <c r="KVJ207"/>
      <c r="KVK207"/>
      <c r="KVL207"/>
      <c r="KVM207"/>
      <c r="KVN207"/>
      <c r="KVO207"/>
      <c r="KVP207"/>
      <c r="KVQ207"/>
      <c r="KVR207"/>
      <c r="KVS207"/>
      <c r="KVT207"/>
      <c r="KVU207"/>
      <c r="KVV207"/>
      <c r="KVW207"/>
      <c r="KVX207"/>
      <c r="KVY207"/>
      <c r="KVZ207"/>
      <c r="KWA207"/>
      <c r="KWB207"/>
      <c r="KWC207"/>
      <c r="KWD207"/>
      <c r="KWE207"/>
      <c r="KWF207"/>
      <c r="KWG207"/>
      <c r="KWH207"/>
      <c r="KWI207"/>
      <c r="KWJ207"/>
      <c r="KWK207"/>
      <c r="KWL207"/>
      <c r="KWM207"/>
      <c r="KWN207"/>
      <c r="KWO207"/>
      <c r="KWP207"/>
      <c r="KWQ207"/>
      <c r="KWR207"/>
      <c r="KWS207"/>
      <c r="KWT207"/>
      <c r="KWU207"/>
      <c r="KWV207"/>
      <c r="KWW207"/>
      <c r="KWX207"/>
      <c r="KWY207"/>
      <c r="KWZ207"/>
      <c r="KXA207"/>
      <c r="KXB207"/>
      <c r="KXC207"/>
      <c r="KXD207"/>
      <c r="KXE207"/>
      <c r="KXF207"/>
      <c r="KXG207"/>
      <c r="KXH207"/>
      <c r="KXI207"/>
      <c r="KXJ207"/>
      <c r="KXK207"/>
      <c r="KXL207"/>
      <c r="KXM207"/>
      <c r="KXN207"/>
      <c r="KXO207"/>
      <c r="KXP207"/>
      <c r="KXQ207"/>
      <c r="KXR207"/>
      <c r="KXS207"/>
      <c r="KXT207"/>
      <c r="KXU207"/>
      <c r="KXV207"/>
      <c r="KXW207"/>
      <c r="KXX207"/>
      <c r="KXY207"/>
      <c r="KXZ207"/>
      <c r="KYA207"/>
      <c r="KYB207"/>
      <c r="KYC207"/>
      <c r="KYD207"/>
      <c r="KYE207"/>
      <c r="KYF207"/>
      <c r="KYG207"/>
      <c r="KYH207"/>
      <c r="KYI207"/>
      <c r="KYJ207"/>
      <c r="KYK207"/>
      <c r="KYL207"/>
      <c r="KYM207"/>
      <c r="KYN207"/>
      <c r="KYO207"/>
      <c r="KYP207"/>
      <c r="KYQ207"/>
      <c r="KYR207"/>
      <c r="KYS207"/>
      <c r="KYT207"/>
      <c r="KYU207"/>
      <c r="KYV207"/>
      <c r="KYW207"/>
      <c r="KYX207"/>
      <c r="KYY207"/>
      <c r="KYZ207"/>
      <c r="KZA207"/>
      <c r="KZB207"/>
      <c r="KZC207"/>
      <c r="KZD207"/>
      <c r="KZE207"/>
      <c r="KZF207"/>
      <c r="KZG207"/>
      <c r="KZH207"/>
      <c r="KZI207"/>
      <c r="KZJ207"/>
      <c r="KZK207"/>
      <c r="KZL207"/>
      <c r="KZM207"/>
      <c r="KZN207"/>
      <c r="KZO207"/>
      <c r="KZP207"/>
      <c r="KZQ207"/>
      <c r="KZR207"/>
      <c r="KZS207"/>
      <c r="KZT207"/>
      <c r="KZU207"/>
      <c r="KZV207"/>
      <c r="KZW207"/>
      <c r="KZX207"/>
      <c r="KZY207"/>
      <c r="KZZ207"/>
      <c r="LAA207"/>
      <c r="LAB207"/>
      <c r="LAC207"/>
      <c r="LAD207"/>
      <c r="LAE207"/>
      <c r="LAF207"/>
      <c r="LAG207"/>
      <c r="LAH207"/>
      <c r="LAI207"/>
      <c r="LAJ207"/>
      <c r="LAK207"/>
      <c r="LAL207"/>
      <c r="LAM207"/>
      <c r="LAN207"/>
      <c r="LAO207"/>
      <c r="LAP207"/>
      <c r="LAQ207"/>
      <c r="LAR207"/>
      <c r="LAS207"/>
      <c r="LAT207"/>
      <c r="LAU207"/>
      <c r="LAV207"/>
      <c r="LAW207"/>
      <c r="LAX207"/>
      <c r="LAY207"/>
      <c r="LAZ207"/>
      <c r="LBA207"/>
      <c r="LBB207"/>
      <c r="LBC207"/>
      <c r="LBD207"/>
      <c r="LBE207"/>
      <c r="LBF207"/>
      <c r="LBG207"/>
      <c r="LBH207"/>
      <c r="LBI207"/>
      <c r="LBJ207"/>
      <c r="LBK207"/>
      <c r="LBL207"/>
      <c r="LBM207"/>
      <c r="LBN207"/>
      <c r="LBO207"/>
      <c r="LBP207"/>
      <c r="LBQ207"/>
      <c r="LBR207"/>
      <c r="LBS207"/>
      <c r="LBT207"/>
      <c r="LBU207"/>
      <c r="LBV207"/>
      <c r="LBW207"/>
      <c r="LBX207"/>
      <c r="LBY207"/>
      <c r="LBZ207"/>
      <c r="LCA207"/>
      <c r="LCB207"/>
      <c r="LCC207"/>
      <c r="LCD207"/>
      <c r="LCE207"/>
      <c r="LCF207"/>
      <c r="LCG207"/>
      <c r="LCH207"/>
      <c r="LCI207"/>
      <c r="LCJ207"/>
      <c r="LCK207"/>
      <c r="LCL207"/>
      <c r="LCM207"/>
      <c r="LCN207"/>
      <c r="LCO207"/>
      <c r="LCP207"/>
      <c r="LCQ207"/>
      <c r="LCR207"/>
      <c r="LCS207"/>
      <c r="LCT207"/>
      <c r="LCU207"/>
      <c r="LCV207"/>
      <c r="LCW207"/>
      <c r="LCX207"/>
      <c r="LCY207"/>
      <c r="LCZ207"/>
      <c r="LDA207"/>
      <c r="LDB207"/>
      <c r="LDC207"/>
      <c r="LDD207"/>
      <c r="LDE207"/>
      <c r="LDF207"/>
      <c r="LDG207"/>
      <c r="LDH207"/>
      <c r="LDI207"/>
      <c r="LDJ207"/>
      <c r="LDK207"/>
      <c r="LDL207"/>
      <c r="LDM207"/>
      <c r="LDN207"/>
      <c r="LDO207"/>
      <c r="LDP207"/>
      <c r="LDQ207"/>
      <c r="LDR207"/>
      <c r="LDS207"/>
      <c r="LDT207"/>
      <c r="LDU207"/>
      <c r="LDV207"/>
      <c r="LDW207"/>
      <c r="LDX207"/>
      <c r="LDY207"/>
      <c r="LDZ207"/>
      <c r="LEA207"/>
      <c r="LEB207"/>
      <c r="LEC207"/>
      <c r="LED207"/>
      <c r="LEE207"/>
      <c r="LEF207"/>
      <c r="LEG207"/>
      <c r="LEH207"/>
      <c r="LEI207"/>
      <c r="LEJ207"/>
      <c r="LEK207"/>
      <c r="LEL207"/>
      <c r="LEM207"/>
      <c r="LEN207"/>
      <c r="LEO207"/>
      <c r="LEP207"/>
      <c r="LEQ207"/>
      <c r="LER207"/>
      <c r="LES207"/>
      <c r="LET207"/>
      <c r="LEU207"/>
      <c r="LEV207"/>
      <c r="LEW207"/>
      <c r="LEX207"/>
      <c r="LEY207"/>
      <c r="LEZ207"/>
      <c r="LFA207"/>
      <c r="LFB207"/>
      <c r="LFC207"/>
      <c r="LFD207"/>
      <c r="LFE207"/>
      <c r="LFF207"/>
      <c r="LFG207"/>
      <c r="LFH207"/>
      <c r="LFI207"/>
      <c r="LFJ207"/>
      <c r="LFK207"/>
      <c r="LFL207"/>
      <c r="LFM207"/>
      <c r="LFN207"/>
      <c r="LFO207"/>
      <c r="LFP207"/>
      <c r="LFQ207"/>
      <c r="LFR207"/>
      <c r="LFS207"/>
      <c r="LFT207"/>
      <c r="LFU207"/>
      <c r="LFV207"/>
      <c r="LFW207"/>
      <c r="LFX207"/>
      <c r="LFY207"/>
      <c r="LFZ207"/>
      <c r="LGA207"/>
      <c r="LGB207"/>
      <c r="LGC207"/>
      <c r="LGD207"/>
      <c r="LGE207"/>
      <c r="LGF207"/>
      <c r="LGG207"/>
      <c r="LGH207"/>
      <c r="LGI207"/>
      <c r="LGJ207"/>
      <c r="LGK207"/>
      <c r="LGL207"/>
      <c r="LGM207"/>
      <c r="LGN207"/>
      <c r="LGO207"/>
      <c r="LGP207"/>
      <c r="LGQ207"/>
      <c r="LGR207"/>
      <c r="LGS207"/>
      <c r="LGT207"/>
      <c r="LGU207"/>
      <c r="LGV207"/>
      <c r="LGW207"/>
      <c r="LGX207"/>
      <c r="LGY207"/>
      <c r="LGZ207"/>
      <c r="LHA207"/>
      <c r="LHB207"/>
      <c r="LHC207"/>
      <c r="LHD207"/>
      <c r="LHE207"/>
      <c r="LHF207"/>
      <c r="LHG207"/>
      <c r="LHH207"/>
      <c r="LHI207"/>
      <c r="LHJ207"/>
      <c r="LHK207"/>
      <c r="LHL207"/>
      <c r="LHM207"/>
      <c r="LHN207"/>
      <c r="LHO207"/>
      <c r="LHP207"/>
      <c r="LHQ207"/>
      <c r="LHR207"/>
      <c r="LHS207"/>
      <c r="LHT207"/>
      <c r="LHU207"/>
      <c r="LHV207"/>
      <c r="LHW207"/>
      <c r="LHX207"/>
      <c r="LHY207"/>
      <c r="LHZ207"/>
      <c r="LIA207"/>
      <c r="LIB207"/>
      <c r="LIC207"/>
      <c r="LID207"/>
      <c r="LIE207"/>
      <c r="LIF207"/>
      <c r="LIG207"/>
      <c r="LIH207"/>
      <c r="LII207"/>
      <c r="LIJ207"/>
      <c r="LIK207"/>
      <c r="LIL207"/>
      <c r="LIM207"/>
      <c r="LIN207"/>
      <c r="LIO207"/>
      <c r="LIP207"/>
      <c r="LIQ207"/>
      <c r="LIR207"/>
      <c r="LIS207"/>
      <c r="LIT207"/>
      <c r="LIU207"/>
      <c r="LIV207"/>
      <c r="LIW207"/>
      <c r="LIX207"/>
      <c r="LIY207"/>
      <c r="LIZ207"/>
      <c r="LJA207"/>
      <c r="LJB207"/>
      <c r="LJC207"/>
      <c r="LJD207"/>
      <c r="LJE207"/>
      <c r="LJF207"/>
      <c r="LJG207"/>
      <c r="LJH207"/>
      <c r="LJI207"/>
      <c r="LJJ207"/>
      <c r="LJK207"/>
      <c r="LJL207"/>
      <c r="LJM207"/>
      <c r="LJN207"/>
      <c r="LJO207"/>
      <c r="LJP207"/>
      <c r="LJQ207"/>
      <c r="LJR207"/>
      <c r="LJS207"/>
      <c r="LJT207"/>
      <c r="LJU207"/>
      <c r="LJV207"/>
      <c r="LJW207"/>
      <c r="LJX207"/>
      <c r="LJY207"/>
      <c r="LJZ207"/>
      <c r="LKA207"/>
      <c r="LKB207"/>
      <c r="LKC207"/>
      <c r="LKD207"/>
      <c r="LKE207"/>
      <c r="LKF207"/>
      <c r="LKG207"/>
      <c r="LKH207"/>
      <c r="LKI207"/>
      <c r="LKJ207"/>
      <c r="LKK207"/>
      <c r="LKL207"/>
      <c r="LKM207"/>
      <c r="LKN207"/>
      <c r="LKO207"/>
      <c r="LKP207"/>
      <c r="LKQ207"/>
      <c r="LKR207"/>
      <c r="LKS207"/>
      <c r="LKT207"/>
      <c r="LKU207"/>
      <c r="LKV207"/>
      <c r="LKW207"/>
      <c r="LKX207"/>
      <c r="LKY207"/>
      <c r="LKZ207"/>
      <c r="LLA207"/>
      <c r="LLB207"/>
      <c r="LLC207"/>
      <c r="LLD207"/>
      <c r="LLE207"/>
      <c r="LLF207"/>
      <c r="LLG207"/>
      <c r="LLH207"/>
      <c r="LLI207"/>
      <c r="LLJ207"/>
      <c r="LLK207"/>
      <c r="LLL207"/>
      <c r="LLM207"/>
      <c r="LLN207"/>
      <c r="LLO207"/>
      <c r="LLP207"/>
      <c r="LLQ207"/>
      <c r="LLR207"/>
      <c r="LLS207"/>
      <c r="LLT207"/>
      <c r="LLU207"/>
      <c r="LLV207"/>
      <c r="LLW207"/>
      <c r="LLX207"/>
      <c r="LLY207"/>
      <c r="LLZ207"/>
      <c r="LMA207"/>
      <c r="LMB207"/>
      <c r="LMC207"/>
      <c r="LMD207"/>
      <c r="LME207"/>
      <c r="LMF207"/>
      <c r="LMG207"/>
      <c r="LMH207"/>
      <c r="LMI207"/>
      <c r="LMJ207"/>
      <c r="LMK207"/>
      <c r="LML207"/>
      <c r="LMM207"/>
      <c r="LMN207"/>
      <c r="LMO207"/>
      <c r="LMP207"/>
      <c r="LMQ207"/>
      <c r="LMR207"/>
      <c r="LMS207"/>
      <c r="LMT207"/>
      <c r="LMU207"/>
      <c r="LMV207"/>
      <c r="LMW207"/>
      <c r="LMX207"/>
      <c r="LMY207"/>
      <c r="LMZ207"/>
      <c r="LNA207"/>
      <c r="LNB207"/>
      <c r="LNC207"/>
      <c r="LND207"/>
      <c r="LNE207"/>
      <c r="LNF207"/>
      <c r="LNG207"/>
      <c r="LNH207"/>
      <c r="LNI207"/>
      <c r="LNJ207"/>
      <c r="LNK207"/>
      <c r="LNL207"/>
      <c r="LNM207"/>
      <c r="LNN207"/>
      <c r="LNO207"/>
      <c r="LNP207"/>
      <c r="LNQ207"/>
      <c r="LNR207"/>
      <c r="LNS207"/>
      <c r="LNT207"/>
      <c r="LNU207"/>
      <c r="LNV207"/>
      <c r="LNW207"/>
      <c r="LNX207"/>
      <c r="LNY207"/>
      <c r="LNZ207"/>
      <c r="LOA207"/>
      <c r="LOB207"/>
      <c r="LOC207"/>
      <c r="LOD207"/>
      <c r="LOE207"/>
      <c r="LOF207"/>
      <c r="LOG207"/>
      <c r="LOH207"/>
      <c r="LOI207"/>
      <c r="LOJ207"/>
      <c r="LOK207"/>
      <c r="LOL207"/>
      <c r="LOM207"/>
      <c r="LON207"/>
      <c r="LOO207"/>
      <c r="LOP207"/>
      <c r="LOQ207"/>
      <c r="LOR207"/>
      <c r="LOS207"/>
      <c r="LOT207"/>
      <c r="LOU207"/>
      <c r="LOV207"/>
      <c r="LOW207"/>
      <c r="LOX207"/>
      <c r="LOY207"/>
      <c r="LOZ207"/>
      <c r="LPA207"/>
      <c r="LPB207"/>
      <c r="LPC207"/>
      <c r="LPD207"/>
      <c r="LPE207"/>
      <c r="LPF207"/>
      <c r="LPG207"/>
      <c r="LPH207"/>
      <c r="LPI207"/>
      <c r="LPJ207"/>
      <c r="LPK207"/>
      <c r="LPL207"/>
      <c r="LPM207"/>
      <c r="LPN207"/>
      <c r="LPO207"/>
      <c r="LPP207"/>
      <c r="LPQ207"/>
      <c r="LPR207"/>
      <c r="LPS207"/>
      <c r="LPT207"/>
      <c r="LPU207"/>
      <c r="LPV207"/>
      <c r="LPW207"/>
      <c r="LPX207"/>
      <c r="LPY207"/>
      <c r="LPZ207"/>
      <c r="LQA207"/>
      <c r="LQB207"/>
      <c r="LQC207"/>
      <c r="LQD207"/>
      <c r="LQE207"/>
      <c r="LQF207"/>
      <c r="LQG207"/>
      <c r="LQH207"/>
      <c r="LQI207"/>
      <c r="LQJ207"/>
      <c r="LQK207"/>
      <c r="LQL207"/>
      <c r="LQM207"/>
      <c r="LQN207"/>
      <c r="LQO207"/>
      <c r="LQP207"/>
      <c r="LQQ207"/>
      <c r="LQR207"/>
      <c r="LQS207"/>
      <c r="LQT207"/>
      <c r="LQU207"/>
      <c r="LQV207"/>
      <c r="LQW207"/>
      <c r="LQX207"/>
      <c r="LQY207"/>
      <c r="LQZ207"/>
      <c r="LRA207"/>
      <c r="LRB207"/>
      <c r="LRC207"/>
      <c r="LRD207"/>
      <c r="LRE207"/>
      <c r="LRF207"/>
      <c r="LRG207"/>
      <c r="LRH207"/>
      <c r="LRI207"/>
      <c r="LRJ207"/>
      <c r="LRK207"/>
      <c r="LRL207"/>
      <c r="LRM207"/>
      <c r="LRN207"/>
      <c r="LRO207"/>
      <c r="LRP207"/>
      <c r="LRQ207"/>
      <c r="LRR207"/>
      <c r="LRS207"/>
      <c r="LRT207"/>
      <c r="LRU207"/>
      <c r="LRV207"/>
      <c r="LRW207"/>
      <c r="LRX207"/>
      <c r="LRY207"/>
      <c r="LRZ207"/>
      <c r="LSA207"/>
      <c r="LSB207"/>
      <c r="LSC207"/>
      <c r="LSD207"/>
      <c r="LSE207"/>
      <c r="LSF207"/>
      <c r="LSG207"/>
      <c r="LSH207"/>
      <c r="LSI207"/>
      <c r="LSJ207"/>
      <c r="LSK207"/>
      <c r="LSL207"/>
      <c r="LSM207"/>
      <c r="LSN207"/>
      <c r="LSO207"/>
      <c r="LSP207"/>
      <c r="LSQ207"/>
      <c r="LSR207"/>
      <c r="LSS207"/>
      <c r="LST207"/>
      <c r="LSU207"/>
      <c r="LSV207"/>
      <c r="LSW207"/>
      <c r="LSX207"/>
      <c r="LSY207"/>
      <c r="LSZ207"/>
      <c r="LTA207"/>
      <c r="LTB207"/>
      <c r="LTC207"/>
      <c r="LTD207"/>
      <c r="LTE207"/>
      <c r="LTF207"/>
      <c r="LTG207"/>
      <c r="LTH207"/>
      <c r="LTI207"/>
      <c r="LTJ207"/>
      <c r="LTK207"/>
      <c r="LTL207"/>
      <c r="LTM207"/>
      <c r="LTN207"/>
      <c r="LTO207"/>
      <c r="LTP207"/>
      <c r="LTQ207"/>
      <c r="LTR207"/>
      <c r="LTS207"/>
      <c r="LTT207"/>
      <c r="LTU207"/>
      <c r="LTV207"/>
      <c r="LTW207"/>
      <c r="LTX207"/>
      <c r="LTY207"/>
      <c r="LTZ207"/>
      <c r="LUA207"/>
      <c r="LUB207"/>
      <c r="LUC207"/>
      <c r="LUD207"/>
      <c r="LUE207"/>
      <c r="LUF207"/>
      <c r="LUG207"/>
      <c r="LUH207"/>
      <c r="LUI207"/>
      <c r="LUJ207"/>
      <c r="LUK207"/>
      <c r="LUL207"/>
      <c r="LUM207"/>
      <c r="LUN207"/>
      <c r="LUO207"/>
      <c r="LUP207"/>
      <c r="LUQ207"/>
      <c r="LUR207"/>
      <c r="LUS207"/>
      <c r="LUT207"/>
      <c r="LUU207"/>
      <c r="LUV207"/>
      <c r="LUW207"/>
      <c r="LUX207"/>
      <c r="LUY207"/>
      <c r="LUZ207"/>
      <c r="LVA207"/>
      <c r="LVB207"/>
      <c r="LVC207"/>
      <c r="LVD207"/>
      <c r="LVE207"/>
      <c r="LVF207"/>
      <c r="LVG207"/>
      <c r="LVH207"/>
      <c r="LVI207"/>
      <c r="LVJ207"/>
      <c r="LVK207"/>
      <c r="LVL207"/>
      <c r="LVM207"/>
      <c r="LVN207"/>
      <c r="LVO207"/>
      <c r="LVP207"/>
      <c r="LVQ207"/>
      <c r="LVR207"/>
      <c r="LVS207"/>
      <c r="LVT207"/>
      <c r="LVU207"/>
      <c r="LVV207"/>
      <c r="LVW207"/>
      <c r="LVX207"/>
      <c r="LVY207"/>
      <c r="LVZ207"/>
      <c r="LWA207"/>
      <c r="LWB207"/>
      <c r="LWC207"/>
      <c r="LWD207"/>
      <c r="LWE207"/>
      <c r="LWF207"/>
      <c r="LWG207"/>
      <c r="LWH207"/>
      <c r="LWI207"/>
      <c r="LWJ207"/>
      <c r="LWK207"/>
      <c r="LWL207"/>
      <c r="LWM207"/>
      <c r="LWN207"/>
      <c r="LWO207"/>
      <c r="LWP207"/>
      <c r="LWQ207"/>
      <c r="LWR207"/>
      <c r="LWS207"/>
      <c r="LWT207"/>
      <c r="LWU207"/>
      <c r="LWV207"/>
      <c r="LWW207"/>
      <c r="LWX207"/>
      <c r="LWY207"/>
      <c r="LWZ207"/>
      <c r="LXA207"/>
      <c r="LXB207"/>
      <c r="LXC207"/>
      <c r="LXD207"/>
      <c r="LXE207"/>
      <c r="LXF207"/>
      <c r="LXG207"/>
      <c r="LXH207"/>
      <c r="LXI207"/>
      <c r="LXJ207"/>
      <c r="LXK207"/>
      <c r="LXL207"/>
      <c r="LXM207"/>
      <c r="LXN207"/>
      <c r="LXO207"/>
      <c r="LXP207"/>
      <c r="LXQ207"/>
      <c r="LXR207"/>
      <c r="LXS207"/>
      <c r="LXT207"/>
      <c r="LXU207"/>
      <c r="LXV207"/>
      <c r="LXW207"/>
      <c r="LXX207"/>
      <c r="LXY207"/>
      <c r="LXZ207"/>
      <c r="LYA207"/>
      <c r="LYB207"/>
      <c r="LYC207"/>
      <c r="LYD207"/>
      <c r="LYE207"/>
      <c r="LYF207"/>
      <c r="LYG207"/>
      <c r="LYH207"/>
      <c r="LYI207"/>
      <c r="LYJ207"/>
      <c r="LYK207"/>
      <c r="LYL207"/>
      <c r="LYM207"/>
      <c r="LYN207"/>
      <c r="LYO207"/>
      <c r="LYP207"/>
      <c r="LYQ207"/>
      <c r="LYR207"/>
      <c r="LYS207"/>
      <c r="LYT207"/>
      <c r="LYU207"/>
      <c r="LYV207"/>
      <c r="LYW207"/>
      <c r="LYX207"/>
      <c r="LYY207"/>
      <c r="LYZ207"/>
      <c r="LZA207"/>
      <c r="LZB207"/>
      <c r="LZC207"/>
      <c r="LZD207"/>
      <c r="LZE207"/>
      <c r="LZF207"/>
      <c r="LZG207"/>
      <c r="LZH207"/>
      <c r="LZI207"/>
      <c r="LZJ207"/>
      <c r="LZK207"/>
      <c r="LZL207"/>
      <c r="LZM207"/>
      <c r="LZN207"/>
      <c r="LZO207"/>
      <c r="LZP207"/>
      <c r="LZQ207"/>
      <c r="LZR207"/>
      <c r="LZS207"/>
      <c r="LZT207"/>
      <c r="LZU207"/>
      <c r="LZV207"/>
      <c r="LZW207"/>
      <c r="LZX207"/>
      <c r="LZY207"/>
      <c r="LZZ207"/>
      <c r="MAA207"/>
      <c r="MAB207"/>
      <c r="MAC207"/>
      <c r="MAD207"/>
      <c r="MAE207"/>
      <c r="MAF207"/>
      <c r="MAG207"/>
      <c r="MAH207"/>
      <c r="MAI207"/>
      <c r="MAJ207"/>
      <c r="MAK207"/>
      <c r="MAL207"/>
      <c r="MAM207"/>
      <c r="MAN207"/>
      <c r="MAO207"/>
      <c r="MAP207"/>
      <c r="MAQ207"/>
      <c r="MAR207"/>
      <c r="MAS207"/>
      <c r="MAT207"/>
      <c r="MAU207"/>
      <c r="MAV207"/>
      <c r="MAW207"/>
      <c r="MAX207"/>
      <c r="MAY207"/>
      <c r="MAZ207"/>
      <c r="MBA207"/>
      <c r="MBB207"/>
      <c r="MBC207"/>
      <c r="MBD207"/>
      <c r="MBE207"/>
      <c r="MBF207"/>
      <c r="MBG207"/>
      <c r="MBH207"/>
      <c r="MBI207"/>
      <c r="MBJ207"/>
      <c r="MBK207"/>
      <c r="MBL207"/>
      <c r="MBM207"/>
      <c r="MBN207"/>
      <c r="MBO207"/>
      <c r="MBP207"/>
      <c r="MBQ207"/>
      <c r="MBR207"/>
      <c r="MBS207"/>
      <c r="MBT207"/>
      <c r="MBU207"/>
      <c r="MBV207"/>
      <c r="MBW207"/>
      <c r="MBX207"/>
      <c r="MBY207"/>
      <c r="MBZ207"/>
      <c r="MCA207"/>
      <c r="MCB207"/>
      <c r="MCC207"/>
      <c r="MCD207"/>
      <c r="MCE207"/>
      <c r="MCF207"/>
      <c r="MCG207"/>
      <c r="MCH207"/>
      <c r="MCI207"/>
      <c r="MCJ207"/>
      <c r="MCK207"/>
      <c r="MCL207"/>
      <c r="MCM207"/>
      <c r="MCN207"/>
      <c r="MCO207"/>
      <c r="MCP207"/>
      <c r="MCQ207"/>
      <c r="MCR207"/>
      <c r="MCS207"/>
      <c r="MCT207"/>
      <c r="MCU207"/>
      <c r="MCV207"/>
      <c r="MCW207"/>
      <c r="MCX207"/>
      <c r="MCY207"/>
      <c r="MCZ207"/>
      <c r="MDA207"/>
      <c r="MDB207"/>
      <c r="MDC207"/>
      <c r="MDD207"/>
      <c r="MDE207"/>
      <c r="MDF207"/>
      <c r="MDG207"/>
      <c r="MDH207"/>
      <c r="MDI207"/>
      <c r="MDJ207"/>
      <c r="MDK207"/>
      <c r="MDL207"/>
      <c r="MDM207"/>
      <c r="MDN207"/>
      <c r="MDO207"/>
      <c r="MDP207"/>
      <c r="MDQ207"/>
      <c r="MDR207"/>
      <c r="MDS207"/>
      <c r="MDT207"/>
      <c r="MDU207"/>
      <c r="MDV207"/>
      <c r="MDW207"/>
      <c r="MDX207"/>
      <c r="MDY207"/>
      <c r="MDZ207"/>
      <c r="MEA207"/>
      <c r="MEB207"/>
      <c r="MEC207"/>
      <c r="MED207"/>
      <c r="MEE207"/>
      <c r="MEF207"/>
      <c r="MEG207"/>
      <c r="MEH207"/>
      <c r="MEI207"/>
      <c r="MEJ207"/>
      <c r="MEK207"/>
      <c r="MEL207"/>
      <c r="MEM207"/>
      <c r="MEN207"/>
      <c r="MEO207"/>
      <c r="MEP207"/>
      <c r="MEQ207"/>
      <c r="MER207"/>
      <c r="MES207"/>
      <c r="MET207"/>
      <c r="MEU207"/>
      <c r="MEV207"/>
      <c r="MEW207"/>
      <c r="MEX207"/>
      <c r="MEY207"/>
      <c r="MEZ207"/>
      <c r="MFA207"/>
      <c r="MFB207"/>
      <c r="MFC207"/>
      <c r="MFD207"/>
      <c r="MFE207"/>
      <c r="MFF207"/>
      <c r="MFG207"/>
      <c r="MFH207"/>
      <c r="MFI207"/>
      <c r="MFJ207"/>
      <c r="MFK207"/>
      <c r="MFL207"/>
      <c r="MFM207"/>
      <c r="MFN207"/>
      <c r="MFO207"/>
      <c r="MFP207"/>
      <c r="MFQ207"/>
      <c r="MFR207"/>
      <c r="MFS207"/>
      <c r="MFT207"/>
      <c r="MFU207"/>
      <c r="MFV207"/>
      <c r="MFW207"/>
      <c r="MFX207"/>
      <c r="MFY207"/>
      <c r="MFZ207"/>
      <c r="MGA207"/>
      <c r="MGB207"/>
      <c r="MGC207"/>
      <c r="MGD207"/>
      <c r="MGE207"/>
      <c r="MGF207"/>
      <c r="MGG207"/>
      <c r="MGH207"/>
      <c r="MGI207"/>
      <c r="MGJ207"/>
      <c r="MGK207"/>
      <c r="MGL207"/>
      <c r="MGM207"/>
      <c r="MGN207"/>
      <c r="MGO207"/>
      <c r="MGP207"/>
      <c r="MGQ207"/>
      <c r="MGR207"/>
      <c r="MGS207"/>
      <c r="MGT207"/>
      <c r="MGU207"/>
      <c r="MGV207"/>
      <c r="MGW207"/>
      <c r="MGX207"/>
      <c r="MGY207"/>
      <c r="MGZ207"/>
      <c r="MHA207"/>
      <c r="MHB207"/>
      <c r="MHC207"/>
      <c r="MHD207"/>
      <c r="MHE207"/>
      <c r="MHF207"/>
      <c r="MHG207"/>
      <c r="MHH207"/>
      <c r="MHI207"/>
      <c r="MHJ207"/>
      <c r="MHK207"/>
      <c r="MHL207"/>
      <c r="MHM207"/>
      <c r="MHN207"/>
      <c r="MHO207"/>
      <c r="MHP207"/>
      <c r="MHQ207"/>
      <c r="MHR207"/>
      <c r="MHS207"/>
      <c r="MHT207"/>
      <c r="MHU207"/>
      <c r="MHV207"/>
      <c r="MHW207"/>
      <c r="MHX207"/>
      <c r="MHY207"/>
      <c r="MHZ207"/>
      <c r="MIA207"/>
      <c r="MIB207"/>
      <c r="MIC207"/>
      <c r="MID207"/>
      <c r="MIE207"/>
      <c r="MIF207"/>
      <c r="MIG207"/>
      <c r="MIH207"/>
      <c r="MII207"/>
      <c r="MIJ207"/>
      <c r="MIK207"/>
      <c r="MIL207"/>
      <c r="MIM207"/>
      <c r="MIN207"/>
      <c r="MIO207"/>
      <c r="MIP207"/>
      <c r="MIQ207"/>
      <c r="MIR207"/>
      <c r="MIS207"/>
      <c r="MIT207"/>
      <c r="MIU207"/>
      <c r="MIV207"/>
      <c r="MIW207"/>
      <c r="MIX207"/>
      <c r="MIY207"/>
      <c r="MIZ207"/>
      <c r="MJA207"/>
      <c r="MJB207"/>
      <c r="MJC207"/>
      <c r="MJD207"/>
      <c r="MJE207"/>
      <c r="MJF207"/>
      <c r="MJG207"/>
      <c r="MJH207"/>
      <c r="MJI207"/>
      <c r="MJJ207"/>
      <c r="MJK207"/>
      <c r="MJL207"/>
      <c r="MJM207"/>
      <c r="MJN207"/>
      <c r="MJO207"/>
      <c r="MJP207"/>
      <c r="MJQ207"/>
      <c r="MJR207"/>
      <c r="MJS207"/>
      <c r="MJT207"/>
      <c r="MJU207"/>
      <c r="MJV207"/>
      <c r="MJW207"/>
      <c r="MJX207"/>
      <c r="MJY207"/>
      <c r="MJZ207"/>
      <c r="MKA207"/>
      <c r="MKB207"/>
      <c r="MKC207"/>
      <c r="MKD207"/>
      <c r="MKE207"/>
      <c r="MKF207"/>
      <c r="MKG207"/>
      <c r="MKH207"/>
      <c r="MKI207"/>
      <c r="MKJ207"/>
      <c r="MKK207"/>
      <c r="MKL207"/>
      <c r="MKM207"/>
      <c r="MKN207"/>
      <c r="MKO207"/>
      <c r="MKP207"/>
      <c r="MKQ207"/>
      <c r="MKR207"/>
      <c r="MKS207"/>
      <c r="MKT207"/>
      <c r="MKU207"/>
      <c r="MKV207"/>
      <c r="MKW207"/>
      <c r="MKX207"/>
      <c r="MKY207"/>
      <c r="MKZ207"/>
      <c r="MLA207"/>
      <c r="MLB207"/>
      <c r="MLC207"/>
      <c r="MLD207"/>
      <c r="MLE207"/>
      <c r="MLF207"/>
      <c r="MLG207"/>
      <c r="MLH207"/>
      <c r="MLI207"/>
      <c r="MLJ207"/>
      <c r="MLK207"/>
      <c r="MLL207"/>
      <c r="MLM207"/>
      <c r="MLN207"/>
      <c r="MLO207"/>
      <c r="MLP207"/>
      <c r="MLQ207"/>
      <c r="MLR207"/>
      <c r="MLS207"/>
      <c r="MLT207"/>
      <c r="MLU207"/>
      <c r="MLV207"/>
      <c r="MLW207"/>
      <c r="MLX207"/>
      <c r="MLY207"/>
      <c r="MLZ207"/>
      <c r="MMA207"/>
      <c r="MMB207"/>
      <c r="MMC207"/>
      <c r="MMD207"/>
      <c r="MME207"/>
      <c r="MMF207"/>
      <c r="MMG207"/>
      <c r="MMH207"/>
      <c r="MMI207"/>
      <c r="MMJ207"/>
      <c r="MMK207"/>
      <c r="MML207"/>
      <c r="MMM207"/>
      <c r="MMN207"/>
      <c r="MMO207"/>
      <c r="MMP207"/>
      <c r="MMQ207"/>
      <c r="MMR207"/>
      <c r="MMS207"/>
      <c r="MMT207"/>
      <c r="MMU207"/>
      <c r="MMV207"/>
      <c r="MMW207"/>
      <c r="MMX207"/>
      <c r="MMY207"/>
      <c r="MMZ207"/>
      <c r="MNA207"/>
      <c r="MNB207"/>
      <c r="MNC207"/>
      <c r="MND207"/>
      <c r="MNE207"/>
      <c r="MNF207"/>
      <c r="MNG207"/>
      <c r="MNH207"/>
      <c r="MNI207"/>
      <c r="MNJ207"/>
      <c r="MNK207"/>
      <c r="MNL207"/>
      <c r="MNM207"/>
      <c r="MNN207"/>
      <c r="MNO207"/>
      <c r="MNP207"/>
      <c r="MNQ207"/>
      <c r="MNR207"/>
      <c r="MNS207"/>
      <c r="MNT207"/>
      <c r="MNU207"/>
      <c r="MNV207"/>
      <c r="MNW207"/>
      <c r="MNX207"/>
      <c r="MNY207"/>
      <c r="MNZ207"/>
      <c r="MOA207"/>
      <c r="MOB207"/>
      <c r="MOC207"/>
      <c r="MOD207"/>
      <c r="MOE207"/>
      <c r="MOF207"/>
      <c r="MOG207"/>
      <c r="MOH207"/>
      <c r="MOI207"/>
      <c r="MOJ207"/>
      <c r="MOK207"/>
      <c r="MOL207"/>
      <c r="MOM207"/>
      <c r="MON207"/>
      <c r="MOO207"/>
      <c r="MOP207"/>
      <c r="MOQ207"/>
      <c r="MOR207"/>
      <c r="MOS207"/>
      <c r="MOT207"/>
      <c r="MOU207"/>
      <c r="MOV207"/>
      <c r="MOW207"/>
      <c r="MOX207"/>
      <c r="MOY207"/>
      <c r="MOZ207"/>
      <c r="MPA207"/>
      <c r="MPB207"/>
      <c r="MPC207"/>
      <c r="MPD207"/>
      <c r="MPE207"/>
      <c r="MPF207"/>
      <c r="MPG207"/>
      <c r="MPH207"/>
      <c r="MPI207"/>
      <c r="MPJ207"/>
      <c r="MPK207"/>
      <c r="MPL207"/>
      <c r="MPM207"/>
      <c r="MPN207"/>
      <c r="MPO207"/>
      <c r="MPP207"/>
      <c r="MPQ207"/>
      <c r="MPR207"/>
      <c r="MPS207"/>
      <c r="MPT207"/>
      <c r="MPU207"/>
      <c r="MPV207"/>
      <c r="MPW207"/>
      <c r="MPX207"/>
      <c r="MPY207"/>
      <c r="MPZ207"/>
      <c r="MQA207"/>
      <c r="MQB207"/>
      <c r="MQC207"/>
      <c r="MQD207"/>
      <c r="MQE207"/>
      <c r="MQF207"/>
      <c r="MQG207"/>
      <c r="MQH207"/>
      <c r="MQI207"/>
      <c r="MQJ207"/>
      <c r="MQK207"/>
      <c r="MQL207"/>
      <c r="MQM207"/>
      <c r="MQN207"/>
      <c r="MQO207"/>
      <c r="MQP207"/>
      <c r="MQQ207"/>
      <c r="MQR207"/>
      <c r="MQS207"/>
      <c r="MQT207"/>
      <c r="MQU207"/>
      <c r="MQV207"/>
      <c r="MQW207"/>
      <c r="MQX207"/>
      <c r="MQY207"/>
      <c r="MQZ207"/>
      <c r="MRA207"/>
      <c r="MRB207"/>
      <c r="MRC207"/>
      <c r="MRD207"/>
      <c r="MRE207"/>
      <c r="MRF207"/>
      <c r="MRG207"/>
      <c r="MRH207"/>
      <c r="MRI207"/>
      <c r="MRJ207"/>
      <c r="MRK207"/>
      <c r="MRL207"/>
      <c r="MRM207"/>
      <c r="MRN207"/>
      <c r="MRO207"/>
      <c r="MRP207"/>
      <c r="MRQ207"/>
      <c r="MRR207"/>
      <c r="MRS207"/>
      <c r="MRT207"/>
      <c r="MRU207"/>
      <c r="MRV207"/>
      <c r="MRW207"/>
      <c r="MRX207"/>
      <c r="MRY207"/>
      <c r="MRZ207"/>
      <c r="MSA207"/>
      <c r="MSB207"/>
      <c r="MSC207"/>
      <c r="MSD207"/>
      <c r="MSE207"/>
      <c r="MSF207"/>
      <c r="MSG207"/>
      <c r="MSH207"/>
      <c r="MSI207"/>
      <c r="MSJ207"/>
      <c r="MSK207"/>
      <c r="MSL207"/>
      <c r="MSM207"/>
      <c r="MSN207"/>
      <c r="MSO207"/>
      <c r="MSP207"/>
      <c r="MSQ207"/>
      <c r="MSR207"/>
      <c r="MSS207"/>
      <c r="MST207"/>
      <c r="MSU207"/>
      <c r="MSV207"/>
      <c r="MSW207"/>
      <c r="MSX207"/>
      <c r="MSY207"/>
      <c r="MSZ207"/>
      <c r="MTA207"/>
      <c r="MTB207"/>
      <c r="MTC207"/>
      <c r="MTD207"/>
      <c r="MTE207"/>
      <c r="MTF207"/>
      <c r="MTG207"/>
      <c r="MTH207"/>
      <c r="MTI207"/>
      <c r="MTJ207"/>
      <c r="MTK207"/>
      <c r="MTL207"/>
      <c r="MTM207"/>
      <c r="MTN207"/>
      <c r="MTO207"/>
      <c r="MTP207"/>
      <c r="MTQ207"/>
      <c r="MTR207"/>
      <c r="MTS207"/>
      <c r="MTT207"/>
      <c r="MTU207"/>
      <c r="MTV207"/>
      <c r="MTW207"/>
      <c r="MTX207"/>
      <c r="MTY207"/>
      <c r="MTZ207"/>
      <c r="MUA207"/>
      <c r="MUB207"/>
      <c r="MUC207"/>
      <c r="MUD207"/>
      <c r="MUE207"/>
      <c r="MUF207"/>
      <c r="MUG207"/>
      <c r="MUH207"/>
      <c r="MUI207"/>
      <c r="MUJ207"/>
      <c r="MUK207"/>
      <c r="MUL207"/>
      <c r="MUM207"/>
      <c r="MUN207"/>
      <c r="MUO207"/>
      <c r="MUP207"/>
      <c r="MUQ207"/>
      <c r="MUR207"/>
      <c r="MUS207"/>
      <c r="MUT207"/>
      <c r="MUU207"/>
      <c r="MUV207"/>
      <c r="MUW207"/>
      <c r="MUX207"/>
      <c r="MUY207"/>
      <c r="MUZ207"/>
      <c r="MVA207"/>
      <c r="MVB207"/>
      <c r="MVC207"/>
      <c r="MVD207"/>
      <c r="MVE207"/>
      <c r="MVF207"/>
      <c r="MVG207"/>
      <c r="MVH207"/>
      <c r="MVI207"/>
      <c r="MVJ207"/>
      <c r="MVK207"/>
      <c r="MVL207"/>
      <c r="MVM207"/>
      <c r="MVN207"/>
      <c r="MVO207"/>
      <c r="MVP207"/>
      <c r="MVQ207"/>
      <c r="MVR207"/>
      <c r="MVS207"/>
      <c r="MVT207"/>
      <c r="MVU207"/>
      <c r="MVV207"/>
      <c r="MVW207"/>
      <c r="MVX207"/>
      <c r="MVY207"/>
      <c r="MVZ207"/>
      <c r="MWA207"/>
      <c r="MWB207"/>
      <c r="MWC207"/>
      <c r="MWD207"/>
      <c r="MWE207"/>
      <c r="MWF207"/>
      <c r="MWG207"/>
      <c r="MWH207"/>
      <c r="MWI207"/>
      <c r="MWJ207"/>
      <c r="MWK207"/>
      <c r="MWL207"/>
      <c r="MWM207"/>
      <c r="MWN207"/>
      <c r="MWO207"/>
      <c r="MWP207"/>
      <c r="MWQ207"/>
      <c r="MWR207"/>
      <c r="MWS207"/>
      <c r="MWT207"/>
      <c r="MWU207"/>
      <c r="MWV207"/>
      <c r="MWW207"/>
      <c r="MWX207"/>
      <c r="MWY207"/>
      <c r="MWZ207"/>
      <c r="MXA207"/>
      <c r="MXB207"/>
      <c r="MXC207"/>
      <c r="MXD207"/>
      <c r="MXE207"/>
      <c r="MXF207"/>
      <c r="MXG207"/>
      <c r="MXH207"/>
      <c r="MXI207"/>
      <c r="MXJ207"/>
      <c r="MXK207"/>
      <c r="MXL207"/>
      <c r="MXM207"/>
      <c r="MXN207"/>
      <c r="MXO207"/>
      <c r="MXP207"/>
      <c r="MXQ207"/>
      <c r="MXR207"/>
      <c r="MXS207"/>
      <c r="MXT207"/>
      <c r="MXU207"/>
      <c r="MXV207"/>
      <c r="MXW207"/>
      <c r="MXX207"/>
      <c r="MXY207"/>
      <c r="MXZ207"/>
      <c r="MYA207"/>
      <c r="MYB207"/>
      <c r="MYC207"/>
      <c r="MYD207"/>
      <c r="MYE207"/>
      <c r="MYF207"/>
      <c r="MYG207"/>
      <c r="MYH207"/>
      <c r="MYI207"/>
      <c r="MYJ207"/>
      <c r="MYK207"/>
      <c r="MYL207"/>
      <c r="MYM207"/>
      <c r="MYN207"/>
      <c r="MYO207"/>
      <c r="MYP207"/>
      <c r="MYQ207"/>
      <c r="MYR207"/>
      <c r="MYS207"/>
      <c r="MYT207"/>
      <c r="MYU207"/>
      <c r="MYV207"/>
      <c r="MYW207"/>
      <c r="MYX207"/>
      <c r="MYY207"/>
      <c r="MYZ207"/>
      <c r="MZA207"/>
      <c r="MZB207"/>
      <c r="MZC207"/>
      <c r="MZD207"/>
      <c r="MZE207"/>
      <c r="MZF207"/>
      <c r="MZG207"/>
      <c r="MZH207"/>
      <c r="MZI207"/>
      <c r="MZJ207"/>
      <c r="MZK207"/>
      <c r="MZL207"/>
      <c r="MZM207"/>
      <c r="MZN207"/>
      <c r="MZO207"/>
      <c r="MZP207"/>
      <c r="MZQ207"/>
      <c r="MZR207"/>
      <c r="MZS207"/>
      <c r="MZT207"/>
      <c r="MZU207"/>
      <c r="MZV207"/>
      <c r="MZW207"/>
      <c r="MZX207"/>
      <c r="MZY207"/>
      <c r="MZZ207"/>
      <c r="NAA207"/>
      <c r="NAB207"/>
      <c r="NAC207"/>
      <c r="NAD207"/>
      <c r="NAE207"/>
      <c r="NAF207"/>
      <c r="NAG207"/>
      <c r="NAH207"/>
      <c r="NAI207"/>
      <c r="NAJ207"/>
      <c r="NAK207"/>
      <c r="NAL207"/>
      <c r="NAM207"/>
      <c r="NAN207"/>
      <c r="NAO207"/>
      <c r="NAP207"/>
      <c r="NAQ207"/>
      <c r="NAR207"/>
      <c r="NAS207"/>
      <c r="NAT207"/>
      <c r="NAU207"/>
      <c r="NAV207"/>
      <c r="NAW207"/>
      <c r="NAX207"/>
      <c r="NAY207"/>
      <c r="NAZ207"/>
      <c r="NBA207"/>
      <c r="NBB207"/>
      <c r="NBC207"/>
      <c r="NBD207"/>
      <c r="NBE207"/>
      <c r="NBF207"/>
      <c r="NBG207"/>
      <c r="NBH207"/>
      <c r="NBI207"/>
      <c r="NBJ207"/>
      <c r="NBK207"/>
      <c r="NBL207"/>
      <c r="NBM207"/>
      <c r="NBN207"/>
      <c r="NBO207"/>
      <c r="NBP207"/>
      <c r="NBQ207"/>
      <c r="NBR207"/>
      <c r="NBS207"/>
      <c r="NBT207"/>
      <c r="NBU207"/>
      <c r="NBV207"/>
      <c r="NBW207"/>
      <c r="NBX207"/>
      <c r="NBY207"/>
      <c r="NBZ207"/>
      <c r="NCA207"/>
      <c r="NCB207"/>
      <c r="NCC207"/>
      <c r="NCD207"/>
      <c r="NCE207"/>
      <c r="NCF207"/>
      <c r="NCG207"/>
      <c r="NCH207"/>
      <c r="NCI207"/>
      <c r="NCJ207"/>
      <c r="NCK207"/>
      <c r="NCL207"/>
      <c r="NCM207"/>
      <c r="NCN207"/>
      <c r="NCO207"/>
      <c r="NCP207"/>
      <c r="NCQ207"/>
      <c r="NCR207"/>
      <c r="NCS207"/>
      <c r="NCT207"/>
      <c r="NCU207"/>
      <c r="NCV207"/>
      <c r="NCW207"/>
      <c r="NCX207"/>
      <c r="NCY207"/>
      <c r="NCZ207"/>
      <c r="NDA207"/>
      <c r="NDB207"/>
      <c r="NDC207"/>
      <c r="NDD207"/>
      <c r="NDE207"/>
      <c r="NDF207"/>
      <c r="NDG207"/>
      <c r="NDH207"/>
      <c r="NDI207"/>
      <c r="NDJ207"/>
      <c r="NDK207"/>
      <c r="NDL207"/>
      <c r="NDM207"/>
      <c r="NDN207"/>
      <c r="NDO207"/>
      <c r="NDP207"/>
      <c r="NDQ207"/>
      <c r="NDR207"/>
      <c r="NDS207"/>
      <c r="NDT207"/>
      <c r="NDU207"/>
      <c r="NDV207"/>
      <c r="NDW207"/>
      <c r="NDX207"/>
      <c r="NDY207"/>
      <c r="NDZ207"/>
      <c r="NEA207"/>
      <c r="NEB207"/>
      <c r="NEC207"/>
      <c r="NED207"/>
      <c r="NEE207"/>
      <c r="NEF207"/>
      <c r="NEG207"/>
      <c r="NEH207"/>
      <c r="NEI207"/>
      <c r="NEJ207"/>
      <c r="NEK207"/>
      <c r="NEL207"/>
      <c r="NEM207"/>
      <c r="NEN207"/>
      <c r="NEO207"/>
      <c r="NEP207"/>
      <c r="NEQ207"/>
      <c r="NER207"/>
      <c r="NES207"/>
      <c r="NET207"/>
      <c r="NEU207"/>
      <c r="NEV207"/>
      <c r="NEW207"/>
      <c r="NEX207"/>
      <c r="NEY207"/>
      <c r="NEZ207"/>
      <c r="NFA207"/>
      <c r="NFB207"/>
      <c r="NFC207"/>
      <c r="NFD207"/>
      <c r="NFE207"/>
      <c r="NFF207"/>
      <c r="NFG207"/>
      <c r="NFH207"/>
      <c r="NFI207"/>
      <c r="NFJ207"/>
      <c r="NFK207"/>
      <c r="NFL207"/>
      <c r="NFM207"/>
      <c r="NFN207"/>
      <c r="NFO207"/>
      <c r="NFP207"/>
      <c r="NFQ207"/>
      <c r="NFR207"/>
      <c r="NFS207"/>
      <c r="NFT207"/>
      <c r="NFU207"/>
      <c r="NFV207"/>
      <c r="NFW207"/>
      <c r="NFX207"/>
      <c r="NFY207"/>
      <c r="NFZ207"/>
      <c r="NGA207"/>
      <c r="NGB207"/>
      <c r="NGC207"/>
      <c r="NGD207"/>
      <c r="NGE207"/>
      <c r="NGF207"/>
      <c r="NGG207"/>
      <c r="NGH207"/>
      <c r="NGI207"/>
      <c r="NGJ207"/>
      <c r="NGK207"/>
      <c r="NGL207"/>
      <c r="NGM207"/>
      <c r="NGN207"/>
      <c r="NGO207"/>
      <c r="NGP207"/>
      <c r="NGQ207"/>
      <c r="NGR207"/>
      <c r="NGS207"/>
      <c r="NGT207"/>
      <c r="NGU207"/>
      <c r="NGV207"/>
      <c r="NGW207"/>
      <c r="NGX207"/>
      <c r="NGY207"/>
      <c r="NGZ207"/>
      <c r="NHA207"/>
      <c r="NHB207"/>
      <c r="NHC207"/>
      <c r="NHD207"/>
      <c r="NHE207"/>
      <c r="NHF207"/>
      <c r="NHG207"/>
      <c r="NHH207"/>
      <c r="NHI207"/>
      <c r="NHJ207"/>
      <c r="NHK207"/>
      <c r="NHL207"/>
      <c r="NHM207"/>
      <c r="NHN207"/>
      <c r="NHO207"/>
      <c r="NHP207"/>
      <c r="NHQ207"/>
      <c r="NHR207"/>
      <c r="NHS207"/>
      <c r="NHT207"/>
      <c r="NHU207"/>
      <c r="NHV207"/>
      <c r="NHW207"/>
      <c r="NHX207"/>
      <c r="NHY207"/>
      <c r="NHZ207"/>
      <c r="NIA207"/>
      <c r="NIB207"/>
      <c r="NIC207"/>
      <c r="NID207"/>
      <c r="NIE207"/>
      <c r="NIF207"/>
      <c r="NIG207"/>
      <c r="NIH207"/>
      <c r="NII207"/>
      <c r="NIJ207"/>
      <c r="NIK207"/>
      <c r="NIL207"/>
      <c r="NIM207"/>
      <c r="NIN207"/>
      <c r="NIO207"/>
      <c r="NIP207"/>
      <c r="NIQ207"/>
      <c r="NIR207"/>
      <c r="NIS207"/>
      <c r="NIT207"/>
      <c r="NIU207"/>
      <c r="NIV207"/>
      <c r="NIW207"/>
      <c r="NIX207"/>
      <c r="NIY207"/>
      <c r="NIZ207"/>
      <c r="NJA207"/>
      <c r="NJB207"/>
      <c r="NJC207"/>
      <c r="NJD207"/>
      <c r="NJE207"/>
      <c r="NJF207"/>
      <c r="NJG207"/>
      <c r="NJH207"/>
      <c r="NJI207"/>
      <c r="NJJ207"/>
      <c r="NJK207"/>
      <c r="NJL207"/>
      <c r="NJM207"/>
      <c r="NJN207"/>
      <c r="NJO207"/>
      <c r="NJP207"/>
      <c r="NJQ207"/>
      <c r="NJR207"/>
      <c r="NJS207"/>
      <c r="NJT207"/>
      <c r="NJU207"/>
      <c r="NJV207"/>
      <c r="NJW207"/>
      <c r="NJX207"/>
      <c r="NJY207"/>
      <c r="NJZ207"/>
      <c r="NKA207"/>
      <c r="NKB207"/>
      <c r="NKC207"/>
      <c r="NKD207"/>
      <c r="NKE207"/>
      <c r="NKF207"/>
      <c r="NKG207"/>
      <c r="NKH207"/>
      <c r="NKI207"/>
      <c r="NKJ207"/>
      <c r="NKK207"/>
      <c r="NKL207"/>
      <c r="NKM207"/>
      <c r="NKN207"/>
      <c r="NKO207"/>
      <c r="NKP207"/>
      <c r="NKQ207"/>
      <c r="NKR207"/>
      <c r="NKS207"/>
      <c r="NKT207"/>
      <c r="NKU207"/>
      <c r="NKV207"/>
      <c r="NKW207"/>
      <c r="NKX207"/>
      <c r="NKY207"/>
      <c r="NKZ207"/>
      <c r="NLA207"/>
      <c r="NLB207"/>
      <c r="NLC207"/>
      <c r="NLD207"/>
      <c r="NLE207"/>
      <c r="NLF207"/>
      <c r="NLG207"/>
      <c r="NLH207"/>
      <c r="NLI207"/>
      <c r="NLJ207"/>
      <c r="NLK207"/>
      <c r="NLL207"/>
      <c r="NLM207"/>
      <c r="NLN207"/>
      <c r="NLO207"/>
      <c r="NLP207"/>
      <c r="NLQ207"/>
      <c r="NLR207"/>
      <c r="NLS207"/>
      <c r="NLT207"/>
      <c r="NLU207"/>
      <c r="NLV207"/>
      <c r="NLW207"/>
      <c r="NLX207"/>
      <c r="NLY207"/>
      <c r="NLZ207"/>
      <c r="NMA207"/>
      <c r="NMB207"/>
      <c r="NMC207"/>
      <c r="NMD207"/>
      <c r="NME207"/>
      <c r="NMF207"/>
      <c r="NMG207"/>
      <c r="NMH207"/>
      <c r="NMI207"/>
      <c r="NMJ207"/>
      <c r="NMK207"/>
      <c r="NML207"/>
      <c r="NMM207"/>
      <c r="NMN207"/>
      <c r="NMO207"/>
      <c r="NMP207"/>
      <c r="NMQ207"/>
      <c r="NMR207"/>
      <c r="NMS207"/>
      <c r="NMT207"/>
      <c r="NMU207"/>
      <c r="NMV207"/>
      <c r="NMW207"/>
      <c r="NMX207"/>
      <c r="NMY207"/>
      <c r="NMZ207"/>
      <c r="NNA207"/>
      <c r="NNB207"/>
      <c r="NNC207"/>
      <c r="NND207"/>
      <c r="NNE207"/>
      <c r="NNF207"/>
      <c r="NNG207"/>
      <c r="NNH207"/>
      <c r="NNI207"/>
      <c r="NNJ207"/>
      <c r="NNK207"/>
      <c r="NNL207"/>
      <c r="NNM207"/>
      <c r="NNN207"/>
      <c r="NNO207"/>
      <c r="NNP207"/>
      <c r="NNQ207"/>
      <c r="NNR207"/>
      <c r="NNS207"/>
      <c r="NNT207"/>
      <c r="NNU207"/>
      <c r="NNV207"/>
      <c r="NNW207"/>
      <c r="NNX207"/>
      <c r="NNY207"/>
      <c r="NNZ207"/>
      <c r="NOA207"/>
      <c r="NOB207"/>
      <c r="NOC207"/>
      <c r="NOD207"/>
      <c r="NOE207"/>
      <c r="NOF207"/>
      <c r="NOG207"/>
      <c r="NOH207"/>
      <c r="NOI207"/>
      <c r="NOJ207"/>
      <c r="NOK207"/>
      <c r="NOL207"/>
      <c r="NOM207"/>
      <c r="NON207"/>
      <c r="NOO207"/>
      <c r="NOP207"/>
      <c r="NOQ207"/>
      <c r="NOR207"/>
      <c r="NOS207"/>
      <c r="NOT207"/>
      <c r="NOU207"/>
      <c r="NOV207"/>
      <c r="NOW207"/>
      <c r="NOX207"/>
      <c r="NOY207"/>
      <c r="NOZ207"/>
      <c r="NPA207"/>
      <c r="NPB207"/>
      <c r="NPC207"/>
      <c r="NPD207"/>
      <c r="NPE207"/>
      <c r="NPF207"/>
      <c r="NPG207"/>
      <c r="NPH207"/>
      <c r="NPI207"/>
      <c r="NPJ207"/>
      <c r="NPK207"/>
      <c r="NPL207"/>
      <c r="NPM207"/>
      <c r="NPN207"/>
      <c r="NPO207"/>
      <c r="NPP207"/>
      <c r="NPQ207"/>
      <c r="NPR207"/>
      <c r="NPS207"/>
      <c r="NPT207"/>
      <c r="NPU207"/>
      <c r="NPV207"/>
      <c r="NPW207"/>
      <c r="NPX207"/>
      <c r="NPY207"/>
      <c r="NPZ207"/>
      <c r="NQA207"/>
      <c r="NQB207"/>
      <c r="NQC207"/>
      <c r="NQD207"/>
      <c r="NQE207"/>
      <c r="NQF207"/>
      <c r="NQG207"/>
      <c r="NQH207"/>
      <c r="NQI207"/>
      <c r="NQJ207"/>
      <c r="NQK207"/>
      <c r="NQL207"/>
      <c r="NQM207"/>
      <c r="NQN207"/>
      <c r="NQO207"/>
      <c r="NQP207"/>
      <c r="NQQ207"/>
      <c r="NQR207"/>
      <c r="NQS207"/>
      <c r="NQT207"/>
      <c r="NQU207"/>
      <c r="NQV207"/>
      <c r="NQW207"/>
      <c r="NQX207"/>
      <c r="NQY207"/>
      <c r="NQZ207"/>
      <c r="NRA207"/>
      <c r="NRB207"/>
      <c r="NRC207"/>
      <c r="NRD207"/>
      <c r="NRE207"/>
      <c r="NRF207"/>
      <c r="NRG207"/>
      <c r="NRH207"/>
      <c r="NRI207"/>
      <c r="NRJ207"/>
      <c r="NRK207"/>
      <c r="NRL207"/>
      <c r="NRM207"/>
      <c r="NRN207"/>
      <c r="NRO207"/>
      <c r="NRP207"/>
      <c r="NRQ207"/>
      <c r="NRR207"/>
      <c r="NRS207"/>
      <c r="NRT207"/>
      <c r="NRU207"/>
      <c r="NRV207"/>
      <c r="NRW207"/>
      <c r="NRX207"/>
      <c r="NRY207"/>
      <c r="NRZ207"/>
      <c r="NSA207"/>
      <c r="NSB207"/>
      <c r="NSC207"/>
      <c r="NSD207"/>
      <c r="NSE207"/>
      <c r="NSF207"/>
      <c r="NSG207"/>
      <c r="NSH207"/>
      <c r="NSI207"/>
      <c r="NSJ207"/>
      <c r="NSK207"/>
      <c r="NSL207"/>
      <c r="NSM207"/>
      <c r="NSN207"/>
      <c r="NSO207"/>
      <c r="NSP207"/>
      <c r="NSQ207"/>
      <c r="NSR207"/>
      <c r="NSS207"/>
      <c r="NST207"/>
      <c r="NSU207"/>
      <c r="NSV207"/>
      <c r="NSW207"/>
      <c r="NSX207"/>
      <c r="NSY207"/>
      <c r="NSZ207"/>
      <c r="NTA207"/>
      <c r="NTB207"/>
      <c r="NTC207"/>
      <c r="NTD207"/>
      <c r="NTE207"/>
      <c r="NTF207"/>
      <c r="NTG207"/>
      <c r="NTH207"/>
      <c r="NTI207"/>
      <c r="NTJ207"/>
      <c r="NTK207"/>
      <c r="NTL207"/>
      <c r="NTM207"/>
      <c r="NTN207"/>
      <c r="NTO207"/>
      <c r="NTP207"/>
      <c r="NTQ207"/>
      <c r="NTR207"/>
      <c r="NTS207"/>
      <c r="NTT207"/>
      <c r="NTU207"/>
      <c r="NTV207"/>
      <c r="NTW207"/>
      <c r="NTX207"/>
      <c r="NTY207"/>
      <c r="NTZ207"/>
      <c r="NUA207"/>
      <c r="NUB207"/>
      <c r="NUC207"/>
      <c r="NUD207"/>
      <c r="NUE207"/>
      <c r="NUF207"/>
      <c r="NUG207"/>
      <c r="NUH207"/>
      <c r="NUI207"/>
      <c r="NUJ207"/>
      <c r="NUK207"/>
      <c r="NUL207"/>
      <c r="NUM207"/>
      <c r="NUN207"/>
      <c r="NUO207"/>
      <c r="NUP207"/>
      <c r="NUQ207"/>
      <c r="NUR207"/>
      <c r="NUS207"/>
      <c r="NUT207"/>
      <c r="NUU207"/>
      <c r="NUV207"/>
      <c r="NUW207"/>
      <c r="NUX207"/>
      <c r="NUY207"/>
      <c r="NUZ207"/>
      <c r="NVA207"/>
      <c r="NVB207"/>
      <c r="NVC207"/>
      <c r="NVD207"/>
      <c r="NVE207"/>
      <c r="NVF207"/>
      <c r="NVG207"/>
      <c r="NVH207"/>
      <c r="NVI207"/>
      <c r="NVJ207"/>
      <c r="NVK207"/>
      <c r="NVL207"/>
      <c r="NVM207"/>
      <c r="NVN207"/>
      <c r="NVO207"/>
      <c r="NVP207"/>
      <c r="NVQ207"/>
      <c r="NVR207"/>
      <c r="NVS207"/>
      <c r="NVT207"/>
      <c r="NVU207"/>
      <c r="NVV207"/>
      <c r="NVW207"/>
      <c r="NVX207"/>
      <c r="NVY207"/>
      <c r="NVZ207"/>
      <c r="NWA207"/>
      <c r="NWB207"/>
      <c r="NWC207"/>
      <c r="NWD207"/>
      <c r="NWE207"/>
      <c r="NWF207"/>
      <c r="NWG207"/>
      <c r="NWH207"/>
      <c r="NWI207"/>
      <c r="NWJ207"/>
      <c r="NWK207"/>
      <c r="NWL207"/>
      <c r="NWM207"/>
      <c r="NWN207"/>
      <c r="NWO207"/>
      <c r="NWP207"/>
      <c r="NWQ207"/>
      <c r="NWR207"/>
      <c r="NWS207"/>
      <c r="NWT207"/>
      <c r="NWU207"/>
      <c r="NWV207"/>
      <c r="NWW207"/>
      <c r="NWX207"/>
      <c r="NWY207"/>
      <c r="NWZ207"/>
      <c r="NXA207"/>
      <c r="NXB207"/>
      <c r="NXC207"/>
      <c r="NXD207"/>
      <c r="NXE207"/>
      <c r="NXF207"/>
      <c r="NXG207"/>
      <c r="NXH207"/>
      <c r="NXI207"/>
      <c r="NXJ207"/>
      <c r="NXK207"/>
      <c r="NXL207"/>
      <c r="NXM207"/>
      <c r="NXN207"/>
      <c r="NXO207"/>
      <c r="NXP207"/>
      <c r="NXQ207"/>
      <c r="NXR207"/>
      <c r="NXS207"/>
      <c r="NXT207"/>
      <c r="NXU207"/>
      <c r="NXV207"/>
      <c r="NXW207"/>
      <c r="NXX207"/>
      <c r="NXY207"/>
      <c r="NXZ207"/>
      <c r="NYA207"/>
      <c r="NYB207"/>
      <c r="NYC207"/>
      <c r="NYD207"/>
      <c r="NYE207"/>
      <c r="NYF207"/>
      <c r="NYG207"/>
      <c r="NYH207"/>
      <c r="NYI207"/>
      <c r="NYJ207"/>
      <c r="NYK207"/>
      <c r="NYL207"/>
      <c r="NYM207"/>
      <c r="NYN207"/>
      <c r="NYO207"/>
      <c r="NYP207"/>
      <c r="NYQ207"/>
      <c r="NYR207"/>
      <c r="NYS207"/>
      <c r="NYT207"/>
      <c r="NYU207"/>
      <c r="NYV207"/>
      <c r="NYW207"/>
      <c r="NYX207"/>
      <c r="NYY207"/>
      <c r="NYZ207"/>
      <c r="NZA207"/>
      <c r="NZB207"/>
      <c r="NZC207"/>
      <c r="NZD207"/>
      <c r="NZE207"/>
      <c r="NZF207"/>
      <c r="NZG207"/>
      <c r="NZH207"/>
      <c r="NZI207"/>
      <c r="NZJ207"/>
      <c r="NZK207"/>
      <c r="NZL207"/>
      <c r="NZM207"/>
      <c r="NZN207"/>
      <c r="NZO207"/>
      <c r="NZP207"/>
      <c r="NZQ207"/>
      <c r="NZR207"/>
      <c r="NZS207"/>
      <c r="NZT207"/>
      <c r="NZU207"/>
      <c r="NZV207"/>
      <c r="NZW207"/>
      <c r="NZX207"/>
      <c r="NZY207"/>
      <c r="NZZ207"/>
      <c r="OAA207"/>
      <c r="OAB207"/>
      <c r="OAC207"/>
      <c r="OAD207"/>
      <c r="OAE207"/>
      <c r="OAF207"/>
      <c r="OAG207"/>
      <c r="OAH207"/>
      <c r="OAI207"/>
      <c r="OAJ207"/>
      <c r="OAK207"/>
      <c r="OAL207"/>
      <c r="OAM207"/>
      <c r="OAN207"/>
      <c r="OAO207"/>
      <c r="OAP207"/>
      <c r="OAQ207"/>
      <c r="OAR207"/>
      <c r="OAS207"/>
      <c r="OAT207"/>
      <c r="OAU207"/>
      <c r="OAV207"/>
      <c r="OAW207"/>
      <c r="OAX207"/>
      <c r="OAY207"/>
      <c r="OAZ207"/>
      <c r="OBA207"/>
      <c r="OBB207"/>
      <c r="OBC207"/>
      <c r="OBD207"/>
      <c r="OBE207"/>
      <c r="OBF207"/>
      <c r="OBG207"/>
      <c r="OBH207"/>
      <c r="OBI207"/>
      <c r="OBJ207"/>
      <c r="OBK207"/>
      <c r="OBL207"/>
      <c r="OBM207"/>
      <c r="OBN207"/>
      <c r="OBO207"/>
      <c r="OBP207"/>
      <c r="OBQ207"/>
      <c r="OBR207"/>
      <c r="OBS207"/>
      <c r="OBT207"/>
      <c r="OBU207"/>
      <c r="OBV207"/>
      <c r="OBW207"/>
      <c r="OBX207"/>
      <c r="OBY207"/>
      <c r="OBZ207"/>
      <c r="OCA207"/>
      <c r="OCB207"/>
      <c r="OCC207"/>
      <c r="OCD207"/>
      <c r="OCE207"/>
      <c r="OCF207"/>
      <c r="OCG207"/>
      <c r="OCH207"/>
      <c r="OCI207"/>
      <c r="OCJ207"/>
      <c r="OCK207"/>
      <c r="OCL207"/>
      <c r="OCM207"/>
      <c r="OCN207"/>
      <c r="OCO207"/>
      <c r="OCP207"/>
      <c r="OCQ207"/>
      <c r="OCR207"/>
      <c r="OCS207"/>
      <c r="OCT207"/>
      <c r="OCU207"/>
      <c r="OCV207"/>
      <c r="OCW207"/>
      <c r="OCX207"/>
      <c r="OCY207"/>
      <c r="OCZ207"/>
      <c r="ODA207"/>
      <c r="ODB207"/>
      <c r="ODC207"/>
      <c r="ODD207"/>
      <c r="ODE207"/>
      <c r="ODF207"/>
      <c r="ODG207"/>
      <c r="ODH207"/>
      <c r="ODI207"/>
      <c r="ODJ207"/>
      <c r="ODK207"/>
      <c r="ODL207"/>
      <c r="ODM207"/>
      <c r="ODN207"/>
      <c r="ODO207"/>
      <c r="ODP207"/>
      <c r="ODQ207"/>
      <c r="ODR207"/>
      <c r="ODS207"/>
      <c r="ODT207"/>
      <c r="ODU207"/>
      <c r="ODV207"/>
      <c r="ODW207"/>
      <c r="ODX207"/>
      <c r="ODY207"/>
      <c r="ODZ207"/>
      <c r="OEA207"/>
      <c r="OEB207"/>
      <c r="OEC207"/>
      <c r="OED207"/>
      <c r="OEE207"/>
      <c r="OEF207"/>
      <c r="OEG207"/>
      <c r="OEH207"/>
      <c r="OEI207"/>
      <c r="OEJ207"/>
      <c r="OEK207"/>
      <c r="OEL207"/>
      <c r="OEM207"/>
      <c r="OEN207"/>
      <c r="OEO207"/>
      <c r="OEP207"/>
      <c r="OEQ207"/>
      <c r="OER207"/>
      <c r="OES207"/>
      <c r="OET207"/>
      <c r="OEU207"/>
      <c r="OEV207"/>
      <c r="OEW207"/>
      <c r="OEX207"/>
      <c r="OEY207"/>
      <c r="OEZ207"/>
      <c r="OFA207"/>
      <c r="OFB207"/>
      <c r="OFC207"/>
      <c r="OFD207"/>
      <c r="OFE207"/>
      <c r="OFF207"/>
      <c r="OFG207"/>
      <c r="OFH207"/>
      <c r="OFI207"/>
      <c r="OFJ207"/>
      <c r="OFK207"/>
      <c r="OFL207"/>
      <c r="OFM207"/>
      <c r="OFN207"/>
      <c r="OFO207"/>
      <c r="OFP207"/>
      <c r="OFQ207"/>
      <c r="OFR207"/>
      <c r="OFS207"/>
      <c r="OFT207"/>
      <c r="OFU207"/>
      <c r="OFV207"/>
      <c r="OFW207"/>
      <c r="OFX207"/>
      <c r="OFY207"/>
      <c r="OFZ207"/>
      <c r="OGA207"/>
      <c r="OGB207"/>
      <c r="OGC207"/>
      <c r="OGD207"/>
      <c r="OGE207"/>
      <c r="OGF207"/>
      <c r="OGG207"/>
      <c r="OGH207"/>
      <c r="OGI207"/>
      <c r="OGJ207"/>
      <c r="OGK207"/>
      <c r="OGL207"/>
      <c r="OGM207"/>
      <c r="OGN207"/>
      <c r="OGO207"/>
      <c r="OGP207"/>
      <c r="OGQ207"/>
      <c r="OGR207"/>
      <c r="OGS207"/>
      <c r="OGT207"/>
      <c r="OGU207"/>
      <c r="OGV207"/>
      <c r="OGW207"/>
      <c r="OGX207"/>
      <c r="OGY207"/>
      <c r="OGZ207"/>
      <c r="OHA207"/>
      <c r="OHB207"/>
      <c r="OHC207"/>
      <c r="OHD207"/>
      <c r="OHE207"/>
      <c r="OHF207"/>
      <c r="OHG207"/>
      <c r="OHH207"/>
      <c r="OHI207"/>
      <c r="OHJ207"/>
      <c r="OHK207"/>
      <c r="OHL207"/>
      <c r="OHM207"/>
      <c r="OHN207"/>
      <c r="OHO207"/>
      <c r="OHP207"/>
      <c r="OHQ207"/>
      <c r="OHR207"/>
      <c r="OHS207"/>
      <c r="OHT207"/>
      <c r="OHU207"/>
      <c r="OHV207"/>
      <c r="OHW207"/>
      <c r="OHX207"/>
      <c r="OHY207"/>
      <c r="OHZ207"/>
      <c r="OIA207"/>
      <c r="OIB207"/>
      <c r="OIC207"/>
      <c r="OID207"/>
      <c r="OIE207"/>
      <c r="OIF207"/>
      <c r="OIG207"/>
      <c r="OIH207"/>
      <c r="OII207"/>
      <c r="OIJ207"/>
      <c r="OIK207"/>
      <c r="OIL207"/>
      <c r="OIM207"/>
      <c r="OIN207"/>
      <c r="OIO207"/>
      <c r="OIP207"/>
      <c r="OIQ207"/>
      <c r="OIR207"/>
      <c r="OIS207"/>
      <c r="OIT207"/>
      <c r="OIU207"/>
      <c r="OIV207"/>
      <c r="OIW207"/>
      <c r="OIX207"/>
      <c r="OIY207"/>
      <c r="OIZ207"/>
      <c r="OJA207"/>
      <c r="OJB207"/>
      <c r="OJC207"/>
      <c r="OJD207"/>
      <c r="OJE207"/>
      <c r="OJF207"/>
      <c r="OJG207"/>
      <c r="OJH207"/>
      <c r="OJI207"/>
      <c r="OJJ207"/>
      <c r="OJK207"/>
      <c r="OJL207"/>
      <c r="OJM207"/>
      <c r="OJN207"/>
      <c r="OJO207"/>
      <c r="OJP207"/>
      <c r="OJQ207"/>
      <c r="OJR207"/>
      <c r="OJS207"/>
      <c r="OJT207"/>
      <c r="OJU207"/>
      <c r="OJV207"/>
      <c r="OJW207"/>
      <c r="OJX207"/>
      <c r="OJY207"/>
      <c r="OJZ207"/>
      <c r="OKA207"/>
      <c r="OKB207"/>
      <c r="OKC207"/>
      <c r="OKD207"/>
      <c r="OKE207"/>
      <c r="OKF207"/>
      <c r="OKG207"/>
      <c r="OKH207"/>
      <c r="OKI207"/>
      <c r="OKJ207"/>
      <c r="OKK207"/>
      <c r="OKL207"/>
      <c r="OKM207"/>
      <c r="OKN207"/>
      <c r="OKO207"/>
      <c r="OKP207"/>
      <c r="OKQ207"/>
      <c r="OKR207"/>
      <c r="OKS207"/>
      <c r="OKT207"/>
      <c r="OKU207"/>
      <c r="OKV207"/>
      <c r="OKW207"/>
      <c r="OKX207"/>
      <c r="OKY207"/>
      <c r="OKZ207"/>
      <c r="OLA207"/>
      <c r="OLB207"/>
      <c r="OLC207"/>
      <c r="OLD207"/>
      <c r="OLE207"/>
      <c r="OLF207"/>
      <c r="OLG207"/>
      <c r="OLH207"/>
      <c r="OLI207"/>
      <c r="OLJ207"/>
      <c r="OLK207"/>
      <c r="OLL207"/>
      <c r="OLM207"/>
      <c r="OLN207"/>
      <c r="OLO207"/>
      <c r="OLP207"/>
      <c r="OLQ207"/>
      <c r="OLR207"/>
      <c r="OLS207"/>
      <c r="OLT207"/>
      <c r="OLU207"/>
      <c r="OLV207"/>
      <c r="OLW207"/>
      <c r="OLX207"/>
      <c r="OLY207"/>
      <c r="OLZ207"/>
      <c r="OMA207"/>
      <c r="OMB207"/>
      <c r="OMC207"/>
      <c r="OMD207"/>
      <c r="OME207"/>
      <c r="OMF207"/>
      <c r="OMG207"/>
      <c r="OMH207"/>
      <c r="OMI207"/>
      <c r="OMJ207"/>
      <c r="OMK207"/>
      <c r="OML207"/>
      <c r="OMM207"/>
      <c r="OMN207"/>
      <c r="OMO207"/>
      <c r="OMP207"/>
      <c r="OMQ207"/>
      <c r="OMR207"/>
      <c r="OMS207"/>
      <c r="OMT207"/>
      <c r="OMU207"/>
      <c r="OMV207"/>
      <c r="OMW207"/>
      <c r="OMX207"/>
      <c r="OMY207"/>
      <c r="OMZ207"/>
      <c r="ONA207"/>
      <c r="ONB207"/>
      <c r="ONC207"/>
      <c r="OND207"/>
      <c r="ONE207"/>
      <c r="ONF207"/>
      <c r="ONG207"/>
      <c r="ONH207"/>
      <c r="ONI207"/>
      <c r="ONJ207"/>
      <c r="ONK207"/>
      <c r="ONL207"/>
      <c r="ONM207"/>
      <c r="ONN207"/>
      <c r="ONO207"/>
      <c r="ONP207"/>
      <c r="ONQ207"/>
      <c r="ONR207"/>
      <c r="ONS207"/>
      <c r="ONT207"/>
      <c r="ONU207"/>
      <c r="ONV207"/>
      <c r="ONW207"/>
      <c r="ONX207"/>
      <c r="ONY207"/>
      <c r="ONZ207"/>
      <c r="OOA207"/>
      <c r="OOB207"/>
      <c r="OOC207"/>
      <c r="OOD207"/>
      <c r="OOE207"/>
      <c r="OOF207"/>
      <c r="OOG207"/>
      <c r="OOH207"/>
      <c r="OOI207"/>
      <c r="OOJ207"/>
      <c r="OOK207"/>
      <c r="OOL207"/>
      <c r="OOM207"/>
      <c r="OON207"/>
      <c r="OOO207"/>
      <c r="OOP207"/>
      <c r="OOQ207"/>
      <c r="OOR207"/>
      <c r="OOS207"/>
      <c r="OOT207"/>
      <c r="OOU207"/>
      <c r="OOV207"/>
      <c r="OOW207"/>
      <c r="OOX207"/>
      <c r="OOY207"/>
      <c r="OOZ207"/>
      <c r="OPA207"/>
      <c r="OPB207"/>
      <c r="OPC207"/>
      <c r="OPD207"/>
      <c r="OPE207"/>
      <c r="OPF207"/>
      <c r="OPG207"/>
      <c r="OPH207"/>
      <c r="OPI207"/>
      <c r="OPJ207"/>
      <c r="OPK207"/>
      <c r="OPL207"/>
      <c r="OPM207"/>
      <c r="OPN207"/>
      <c r="OPO207"/>
      <c r="OPP207"/>
      <c r="OPQ207"/>
      <c r="OPR207"/>
      <c r="OPS207"/>
      <c r="OPT207"/>
      <c r="OPU207"/>
      <c r="OPV207"/>
      <c r="OPW207"/>
      <c r="OPX207"/>
      <c r="OPY207"/>
      <c r="OPZ207"/>
      <c r="OQA207"/>
      <c r="OQB207"/>
      <c r="OQC207"/>
      <c r="OQD207"/>
      <c r="OQE207"/>
      <c r="OQF207"/>
      <c r="OQG207"/>
      <c r="OQH207"/>
      <c r="OQI207"/>
      <c r="OQJ207"/>
      <c r="OQK207"/>
      <c r="OQL207"/>
      <c r="OQM207"/>
      <c r="OQN207"/>
      <c r="OQO207"/>
      <c r="OQP207"/>
      <c r="OQQ207"/>
      <c r="OQR207"/>
      <c r="OQS207"/>
      <c r="OQT207"/>
      <c r="OQU207"/>
      <c r="OQV207"/>
      <c r="OQW207"/>
      <c r="OQX207"/>
      <c r="OQY207"/>
      <c r="OQZ207"/>
      <c r="ORA207"/>
      <c r="ORB207"/>
      <c r="ORC207"/>
      <c r="ORD207"/>
      <c r="ORE207"/>
      <c r="ORF207"/>
      <c r="ORG207"/>
      <c r="ORH207"/>
      <c r="ORI207"/>
      <c r="ORJ207"/>
      <c r="ORK207"/>
      <c r="ORL207"/>
      <c r="ORM207"/>
      <c r="ORN207"/>
      <c r="ORO207"/>
      <c r="ORP207"/>
      <c r="ORQ207"/>
      <c r="ORR207"/>
      <c r="ORS207"/>
      <c r="ORT207"/>
      <c r="ORU207"/>
      <c r="ORV207"/>
      <c r="ORW207"/>
      <c r="ORX207"/>
      <c r="ORY207"/>
      <c r="ORZ207"/>
      <c r="OSA207"/>
      <c r="OSB207"/>
      <c r="OSC207"/>
      <c r="OSD207"/>
      <c r="OSE207"/>
      <c r="OSF207"/>
      <c r="OSG207"/>
      <c r="OSH207"/>
      <c r="OSI207"/>
      <c r="OSJ207"/>
      <c r="OSK207"/>
      <c r="OSL207"/>
      <c r="OSM207"/>
      <c r="OSN207"/>
      <c r="OSO207"/>
      <c r="OSP207"/>
      <c r="OSQ207"/>
      <c r="OSR207"/>
      <c r="OSS207"/>
      <c r="OST207"/>
      <c r="OSU207"/>
      <c r="OSV207"/>
      <c r="OSW207"/>
      <c r="OSX207"/>
      <c r="OSY207"/>
      <c r="OSZ207"/>
      <c r="OTA207"/>
      <c r="OTB207"/>
      <c r="OTC207"/>
      <c r="OTD207"/>
      <c r="OTE207"/>
      <c r="OTF207"/>
      <c r="OTG207"/>
      <c r="OTH207"/>
      <c r="OTI207"/>
      <c r="OTJ207"/>
      <c r="OTK207"/>
      <c r="OTL207"/>
      <c r="OTM207"/>
      <c r="OTN207"/>
      <c r="OTO207"/>
      <c r="OTP207"/>
      <c r="OTQ207"/>
      <c r="OTR207"/>
      <c r="OTS207"/>
      <c r="OTT207"/>
      <c r="OTU207"/>
      <c r="OTV207"/>
      <c r="OTW207"/>
      <c r="OTX207"/>
      <c r="OTY207"/>
      <c r="OTZ207"/>
      <c r="OUA207"/>
      <c r="OUB207"/>
      <c r="OUC207"/>
      <c r="OUD207"/>
      <c r="OUE207"/>
      <c r="OUF207"/>
      <c r="OUG207"/>
      <c r="OUH207"/>
      <c r="OUI207"/>
      <c r="OUJ207"/>
      <c r="OUK207"/>
      <c r="OUL207"/>
      <c r="OUM207"/>
      <c r="OUN207"/>
      <c r="OUO207"/>
      <c r="OUP207"/>
      <c r="OUQ207"/>
      <c r="OUR207"/>
      <c r="OUS207"/>
      <c r="OUT207"/>
      <c r="OUU207"/>
      <c r="OUV207"/>
      <c r="OUW207"/>
      <c r="OUX207"/>
      <c r="OUY207"/>
      <c r="OUZ207"/>
      <c r="OVA207"/>
      <c r="OVB207"/>
      <c r="OVC207"/>
      <c r="OVD207"/>
      <c r="OVE207"/>
      <c r="OVF207"/>
      <c r="OVG207"/>
      <c r="OVH207"/>
      <c r="OVI207"/>
      <c r="OVJ207"/>
      <c r="OVK207"/>
      <c r="OVL207"/>
      <c r="OVM207"/>
      <c r="OVN207"/>
      <c r="OVO207"/>
      <c r="OVP207"/>
      <c r="OVQ207"/>
      <c r="OVR207"/>
      <c r="OVS207"/>
      <c r="OVT207"/>
      <c r="OVU207"/>
      <c r="OVV207"/>
      <c r="OVW207"/>
      <c r="OVX207"/>
      <c r="OVY207"/>
      <c r="OVZ207"/>
      <c r="OWA207"/>
      <c r="OWB207"/>
      <c r="OWC207"/>
      <c r="OWD207"/>
      <c r="OWE207"/>
      <c r="OWF207"/>
      <c r="OWG207"/>
      <c r="OWH207"/>
      <c r="OWI207"/>
      <c r="OWJ207"/>
      <c r="OWK207"/>
      <c r="OWL207"/>
      <c r="OWM207"/>
      <c r="OWN207"/>
      <c r="OWO207"/>
      <c r="OWP207"/>
      <c r="OWQ207"/>
      <c r="OWR207"/>
      <c r="OWS207"/>
      <c r="OWT207"/>
      <c r="OWU207"/>
      <c r="OWV207"/>
      <c r="OWW207"/>
      <c r="OWX207"/>
      <c r="OWY207"/>
      <c r="OWZ207"/>
      <c r="OXA207"/>
      <c r="OXB207"/>
      <c r="OXC207"/>
      <c r="OXD207"/>
      <c r="OXE207"/>
      <c r="OXF207"/>
      <c r="OXG207"/>
      <c r="OXH207"/>
      <c r="OXI207"/>
      <c r="OXJ207"/>
      <c r="OXK207"/>
      <c r="OXL207"/>
      <c r="OXM207"/>
      <c r="OXN207"/>
      <c r="OXO207"/>
      <c r="OXP207"/>
      <c r="OXQ207"/>
      <c r="OXR207"/>
      <c r="OXS207"/>
      <c r="OXT207"/>
      <c r="OXU207"/>
      <c r="OXV207"/>
      <c r="OXW207"/>
      <c r="OXX207"/>
      <c r="OXY207"/>
      <c r="OXZ207"/>
      <c r="OYA207"/>
      <c r="OYB207"/>
      <c r="OYC207"/>
      <c r="OYD207"/>
      <c r="OYE207"/>
      <c r="OYF207"/>
      <c r="OYG207"/>
      <c r="OYH207"/>
      <c r="OYI207"/>
      <c r="OYJ207"/>
      <c r="OYK207"/>
      <c r="OYL207"/>
      <c r="OYM207"/>
      <c r="OYN207"/>
      <c r="OYO207"/>
      <c r="OYP207"/>
      <c r="OYQ207"/>
      <c r="OYR207"/>
      <c r="OYS207"/>
      <c r="OYT207"/>
      <c r="OYU207"/>
      <c r="OYV207"/>
      <c r="OYW207"/>
      <c r="OYX207"/>
      <c r="OYY207"/>
      <c r="OYZ207"/>
      <c r="OZA207"/>
      <c r="OZB207"/>
      <c r="OZC207"/>
      <c r="OZD207"/>
      <c r="OZE207"/>
      <c r="OZF207"/>
      <c r="OZG207"/>
      <c r="OZH207"/>
      <c r="OZI207"/>
      <c r="OZJ207"/>
      <c r="OZK207"/>
      <c r="OZL207"/>
      <c r="OZM207"/>
      <c r="OZN207"/>
      <c r="OZO207"/>
      <c r="OZP207"/>
      <c r="OZQ207"/>
      <c r="OZR207"/>
      <c r="OZS207"/>
      <c r="OZT207"/>
      <c r="OZU207"/>
      <c r="OZV207"/>
      <c r="OZW207"/>
      <c r="OZX207"/>
      <c r="OZY207"/>
      <c r="OZZ207"/>
      <c r="PAA207"/>
      <c r="PAB207"/>
      <c r="PAC207"/>
      <c r="PAD207"/>
      <c r="PAE207"/>
      <c r="PAF207"/>
      <c r="PAG207"/>
      <c r="PAH207"/>
      <c r="PAI207"/>
      <c r="PAJ207"/>
      <c r="PAK207"/>
      <c r="PAL207"/>
      <c r="PAM207"/>
      <c r="PAN207"/>
      <c r="PAO207"/>
      <c r="PAP207"/>
      <c r="PAQ207"/>
      <c r="PAR207"/>
      <c r="PAS207"/>
      <c r="PAT207"/>
      <c r="PAU207"/>
      <c r="PAV207"/>
      <c r="PAW207"/>
      <c r="PAX207"/>
      <c r="PAY207"/>
      <c r="PAZ207"/>
      <c r="PBA207"/>
      <c r="PBB207"/>
      <c r="PBC207"/>
      <c r="PBD207"/>
      <c r="PBE207"/>
      <c r="PBF207"/>
      <c r="PBG207"/>
      <c r="PBH207"/>
      <c r="PBI207"/>
      <c r="PBJ207"/>
      <c r="PBK207"/>
      <c r="PBL207"/>
      <c r="PBM207"/>
      <c r="PBN207"/>
      <c r="PBO207"/>
      <c r="PBP207"/>
      <c r="PBQ207"/>
      <c r="PBR207"/>
      <c r="PBS207"/>
      <c r="PBT207"/>
      <c r="PBU207"/>
      <c r="PBV207"/>
      <c r="PBW207"/>
      <c r="PBX207"/>
      <c r="PBY207"/>
      <c r="PBZ207"/>
      <c r="PCA207"/>
      <c r="PCB207"/>
      <c r="PCC207"/>
      <c r="PCD207"/>
      <c r="PCE207"/>
      <c r="PCF207"/>
      <c r="PCG207"/>
      <c r="PCH207"/>
      <c r="PCI207"/>
      <c r="PCJ207"/>
      <c r="PCK207"/>
      <c r="PCL207"/>
      <c r="PCM207"/>
      <c r="PCN207"/>
      <c r="PCO207"/>
      <c r="PCP207"/>
      <c r="PCQ207"/>
      <c r="PCR207"/>
      <c r="PCS207"/>
      <c r="PCT207"/>
      <c r="PCU207"/>
      <c r="PCV207"/>
      <c r="PCW207"/>
      <c r="PCX207"/>
      <c r="PCY207"/>
      <c r="PCZ207"/>
      <c r="PDA207"/>
      <c r="PDB207"/>
      <c r="PDC207"/>
      <c r="PDD207"/>
      <c r="PDE207"/>
      <c r="PDF207"/>
      <c r="PDG207"/>
      <c r="PDH207"/>
      <c r="PDI207"/>
      <c r="PDJ207"/>
      <c r="PDK207"/>
      <c r="PDL207"/>
      <c r="PDM207"/>
      <c r="PDN207"/>
      <c r="PDO207"/>
      <c r="PDP207"/>
      <c r="PDQ207"/>
      <c r="PDR207"/>
      <c r="PDS207"/>
      <c r="PDT207"/>
      <c r="PDU207"/>
      <c r="PDV207"/>
      <c r="PDW207"/>
      <c r="PDX207"/>
      <c r="PDY207"/>
      <c r="PDZ207"/>
      <c r="PEA207"/>
      <c r="PEB207"/>
      <c r="PEC207"/>
      <c r="PED207"/>
      <c r="PEE207"/>
      <c r="PEF207"/>
      <c r="PEG207"/>
      <c r="PEH207"/>
      <c r="PEI207"/>
      <c r="PEJ207"/>
      <c r="PEK207"/>
      <c r="PEL207"/>
      <c r="PEM207"/>
      <c r="PEN207"/>
      <c r="PEO207"/>
      <c r="PEP207"/>
      <c r="PEQ207"/>
      <c r="PER207"/>
      <c r="PES207"/>
      <c r="PET207"/>
      <c r="PEU207"/>
      <c r="PEV207"/>
      <c r="PEW207"/>
      <c r="PEX207"/>
      <c r="PEY207"/>
      <c r="PEZ207"/>
      <c r="PFA207"/>
      <c r="PFB207"/>
      <c r="PFC207"/>
      <c r="PFD207"/>
      <c r="PFE207"/>
      <c r="PFF207"/>
      <c r="PFG207"/>
      <c r="PFH207"/>
      <c r="PFI207"/>
      <c r="PFJ207"/>
      <c r="PFK207"/>
      <c r="PFL207"/>
      <c r="PFM207"/>
      <c r="PFN207"/>
      <c r="PFO207"/>
      <c r="PFP207"/>
      <c r="PFQ207"/>
      <c r="PFR207"/>
      <c r="PFS207"/>
      <c r="PFT207"/>
      <c r="PFU207"/>
      <c r="PFV207"/>
      <c r="PFW207"/>
      <c r="PFX207"/>
      <c r="PFY207"/>
      <c r="PFZ207"/>
      <c r="PGA207"/>
      <c r="PGB207"/>
      <c r="PGC207"/>
      <c r="PGD207"/>
      <c r="PGE207"/>
      <c r="PGF207"/>
      <c r="PGG207"/>
      <c r="PGH207"/>
      <c r="PGI207"/>
      <c r="PGJ207"/>
      <c r="PGK207"/>
      <c r="PGL207"/>
      <c r="PGM207"/>
      <c r="PGN207"/>
      <c r="PGO207"/>
      <c r="PGP207"/>
      <c r="PGQ207"/>
      <c r="PGR207"/>
      <c r="PGS207"/>
      <c r="PGT207"/>
      <c r="PGU207"/>
      <c r="PGV207"/>
      <c r="PGW207"/>
      <c r="PGX207"/>
      <c r="PGY207"/>
      <c r="PGZ207"/>
      <c r="PHA207"/>
      <c r="PHB207"/>
      <c r="PHC207"/>
      <c r="PHD207"/>
      <c r="PHE207"/>
      <c r="PHF207"/>
      <c r="PHG207"/>
      <c r="PHH207"/>
      <c r="PHI207"/>
      <c r="PHJ207"/>
      <c r="PHK207"/>
      <c r="PHL207"/>
      <c r="PHM207"/>
      <c r="PHN207"/>
      <c r="PHO207"/>
      <c r="PHP207"/>
      <c r="PHQ207"/>
      <c r="PHR207"/>
      <c r="PHS207"/>
      <c r="PHT207"/>
      <c r="PHU207"/>
      <c r="PHV207"/>
      <c r="PHW207"/>
      <c r="PHX207"/>
      <c r="PHY207"/>
      <c r="PHZ207"/>
      <c r="PIA207"/>
      <c r="PIB207"/>
      <c r="PIC207"/>
      <c r="PID207"/>
      <c r="PIE207"/>
      <c r="PIF207"/>
      <c r="PIG207"/>
      <c r="PIH207"/>
      <c r="PII207"/>
      <c r="PIJ207"/>
      <c r="PIK207"/>
      <c r="PIL207"/>
      <c r="PIM207"/>
      <c r="PIN207"/>
      <c r="PIO207"/>
      <c r="PIP207"/>
      <c r="PIQ207"/>
      <c r="PIR207"/>
      <c r="PIS207"/>
      <c r="PIT207"/>
      <c r="PIU207"/>
      <c r="PIV207"/>
      <c r="PIW207"/>
      <c r="PIX207"/>
      <c r="PIY207"/>
      <c r="PIZ207"/>
      <c r="PJA207"/>
      <c r="PJB207"/>
      <c r="PJC207"/>
      <c r="PJD207"/>
      <c r="PJE207"/>
      <c r="PJF207"/>
      <c r="PJG207"/>
      <c r="PJH207"/>
      <c r="PJI207"/>
      <c r="PJJ207"/>
      <c r="PJK207"/>
      <c r="PJL207"/>
      <c r="PJM207"/>
      <c r="PJN207"/>
      <c r="PJO207"/>
      <c r="PJP207"/>
      <c r="PJQ207"/>
      <c r="PJR207"/>
      <c r="PJS207"/>
      <c r="PJT207"/>
      <c r="PJU207"/>
      <c r="PJV207"/>
      <c r="PJW207"/>
      <c r="PJX207"/>
      <c r="PJY207"/>
      <c r="PJZ207"/>
      <c r="PKA207"/>
      <c r="PKB207"/>
      <c r="PKC207"/>
      <c r="PKD207"/>
      <c r="PKE207"/>
      <c r="PKF207"/>
      <c r="PKG207"/>
      <c r="PKH207"/>
      <c r="PKI207"/>
      <c r="PKJ207"/>
      <c r="PKK207"/>
      <c r="PKL207"/>
      <c r="PKM207"/>
      <c r="PKN207"/>
      <c r="PKO207"/>
      <c r="PKP207"/>
      <c r="PKQ207"/>
      <c r="PKR207"/>
      <c r="PKS207"/>
      <c r="PKT207"/>
      <c r="PKU207"/>
      <c r="PKV207"/>
      <c r="PKW207"/>
      <c r="PKX207"/>
      <c r="PKY207"/>
      <c r="PKZ207"/>
      <c r="PLA207"/>
      <c r="PLB207"/>
      <c r="PLC207"/>
      <c r="PLD207"/>
      <c r="PLE207"/>
      <c r="PLF207"/>
      <c r="PLG207"/>
      <c r="PLH207"/>
      <c r="PLI207"/>
      <c r="PLJ207"/>
      <c r="PLK207"/>
      <c r="PLL207"/>
      <c r="PLM207"/>
      <c r="PLN207"/>
      <c r="PLO207"/>
      <c r="PLP207"/>
      <c r="PLQ207"/>
      <c r="PLR207"/>
      <c r="PLS207"/>
      <c r="PLT207"/>
      <c r="PLU207"/>
      <c r="PLV207"/>
      <c r="PLW207"/>
      <c r="PLX207"/>
      <c r="PLY207"/>
      <c r="PLZ207"/>
      <c r="PMA207"/>
      <c r="PMB207"/>
      <c r="PMC207"/>
      <c r="PMD207"/>
      <c r="PME207"/>
      <c r="PMF207"/>
      <c r="PMG207"/>
      <c r="PMH207"/>
      <c r="PMI207"/>
      <c r="PMJ207"/>
      <c r="PMK207"/>
      <c r="PML207"/>
      <c r="PMM207"/>
      <c r="PMN207"/>
      <c r="PMO207"/>
      <c r="PMP207"/>
      <c r="PMQ207"/>
      <c r="PMR207"/>
      <c r="PMS207"/>
      <c r="PMT207"/>
      <c r="PMU207"/>
      <c r="PMV207"/>
      <c r="PMW207"/>
      <c r="PMX207"/>
      <c r="PMY207"/>
      <c r="PMZ207"/>
      <c r="PNA207"/>
      <c r="PNB207"/>
      <c r="PNC207"/>
      <c r="PND207"/>
      <c r="PNE207"/>
      <c r="PNF207"/>
      <c r="PNG207"/>
      <c r="PNH207"/>
      <c r="PNI207"/>
      <c r="PNJ207"/>
      <c r="PNK207"/>
      <c r="PNL207"/>
      <c r="PNM207"/>
      <c r="PNN207"/>
      <c r="PNO207"/>
      <c r="PNP207"/>
      <c r="PNQ207"/>
      <c r="PNR207"/>
      <c r="PNS207"/>
      <c r="PNT207"/>
      <c r="PNU207"/>
      <c r="PNV207"/>
      <c r="PNW207"/>
      <c r="PNX207"/>
      <c r="PNY207"/>
      <c r="PNZ207"/>
      <c r="POA207"/>
      <c r="POB207"/>
      <c r="POC207"/>
      <c r="POD207"/>
      <c r="POE207"/>
      <c r="POF207"/>
      <c r="POG207"/>
      <c r="POH207"/>
      <c r="POI207"/>
      <c r="POJ207"/>
      <c r="POK207"/>
      <c r="POL207"/>
      <c r="POM207"/>
      <c r="PON207"/>
      <c r="POO207"/>
      <c r="POP207"/>
      <c r="POQ207"/>
      <c r="POR207"/>
      <c r="POS207"/>
      <c r="POT207"/>
      <c r="POU207"/>
      <c r="POV207"/>
      <c r="POW207"/>
      <c r="POX207"/>
      <c r="POY207"/>
      <c r="POZ207"/>
      <c r="PPA207"/>
      <c r="PPB207"/>
      <c r="PPC207"/>
      <c r="PPD207"/>
      <c r="PPE207"/>
      <c r="PPF207"/>
      <c r="PPG207"/>
      <c r="PPH207"/>
      <c r="PPI207"/>
      <c r="PPJ207"/>
      <c r="PPK207"/>
      <c r="PPL207"/>
      <c r="PPM207"/>
      <c r="PPN207"/>
      <c r="PPO207"/>
      <c r="PPP207"/>
      <c r="PPQ207"/>
      <c r="PPR207"/>
      <c r="PPS207"/>
      <c r="PPT207"/>
      <c r="PPU207"/>
      <c r="PPV207"/>
      <c r="PPW207"/>
      <c r="PPX207"/>
      <c r="PPY207"/>
      <c r="PPZ207"/>
      <c r="PQA207"/>
      <c r="PQB207"/>
      <c r="PQC207"/>
      <c r="PQD207"/>
      <c r="PQE207"/>
      <c r="PQF207"/>
      <c r="PQG207"/>
      <c r="PQH207"/>
      <c r="PQI207"/>
      <c r="PQJ207"/>
      <c r="PQK207"/>
      <c r="PQL207"/>
      <c r="PQM207"/>
      <c r="PQN207"/>
      <c r="PQO207"/>
      <c r="PQP207"/>
      <c r="PQQ207"/>
      <c r="PQR207"/>
      <c r="PQS207"/>
      <c r="PQT207"/>
      <c r="PQU207"/>
      <c r="PQV207"/>
      <c r="PQW207"/>
      <c r="PQX207"/>
      <c r="PQY207"/>
      <c r="PQZ207"/>
      <c r="PRA207"/>
      <c r="PRB207"/>
      <c r="PRC207"/>
      <c r="PRD207"/>
      <c r="PRE207"/>
      <c r="PRF207"/>
      <c r="PRG207"/>
      <c r="PRH207"/>
      <c r="PRI207"/>
      <c r="PRJ207"/>
      <c r="PRK207"/>
      <c r="PRL207"/>
      <c r="PRM207"/>
      <c r="PRN207"/>
      <c r="PRO207"/>
      <c r="PRP207"/>
      <c r="PRQ207"/>
      <c r="PRR207"/>
      <c r="PRS207"/>
      <c r="PRT207"/>
      <c r="PRU207"/>
      <c r="PRV207"/>
      <c r="PRW207"/>
      <c r="PRX207"/>
      <c r="PRY207"/>
      <c r="PRZ207"/>
      <c r="PSA207"/>
      <c r="PSB207"/>
      <c r="PSC207"/>
      <c r="PSD207"/>
      <c r="PSE207"/>
      <c r="PSF207"/>
      <c r="PSG207"/>
      <c r="PSH207"/>
      <c r="PSI207"/>
      <c r="PSJ207"/>
      <c r="PSK207"/>
      <c r="PSL207"/>
      <c r="PSM207"/>
      <c r="PSN207"/>
      <c r="PSO207"/>
      <c r="PSP207"/>
      <c r="PSQ207"/>
      <c r="PSR207"/>
      <c r="PSS207"/>
      <c r="PST207"/>
      <c r="PSU207"/>
      <c r="PSV207"/>
      <c r="PSW207"/>
      <c r="PSX207"/>
      <c r="PSY207"/>
      <c r="PSZ207"/>
      <c r="PTA207"/>
      <c r="PTB207"/>
      <c r="PTC207"/>
      <c r="PTD207"/>
      <c r="PTE207"/>
      <c r="PTF207"/>
      <c r="PTG207"/>
      <c r="PTH207"/>
      <c r="PTI207"/>
      <c r="PTJ207"/>
      <c r="PTK207"/>
      <c r="PTL207"/>
      <c r="PTM207"/>
      <c r="PTN207"/>
      <c r="PTO207"/>
      <c r="PTP207"/>
      <c r="PTQ207"/>
      <c r="PTR207"/>
      <c r="PTS207"/>
      <c r="PTT207"/>
      <c r="PTU207"/>
      <c r="PTV207"/>
      <c r="PTW207"/>
      <c r="PTX207"/>
      <c r="PTY207"/>
      <c r="PTZ207"/>
      <c r="PUA207"/>
      <c r="PUB207"/>
      <c r="PUC207"/>
      <c r="PUD207"/>
      <c r="PUE207"/>
      <c r="PUF207"/>
      <c r="PUG207"/>
      <c r="PUH207"/>
      <c r="PUI207"/>
      <c r="PUJ207"/>
      <c r="PUK207"/>
      <c r="PUL207"/>
      <c r="PUM207"/>
      <c r="PUN207"/>
      <c r="PUO207"/>
      <c r="PUP207"/>
      <c r="PUQ207"/>
      <c r="PUR207"/>
      <c r="PUS207"/>
      <c r="PUT207"/>
      <c r="PUU207"/>
      <c r="PUV207"/>
      <c r="PUW207"/>
      <c r="PUX207"/>
      <c r="PUY207"/>
      <c r="PUZ207"/>
      <c r="PVA207"/>
      <c r="PVB207"/>
      <c r="PVC207"/>
      <c r="PVD207"/>
      <c r="PVE207"/>
      <c r="PVF207"/>
      <c r="PVG207"/>
      <c r="PVH207"/>
      <c r="PVI207"/>
      <c r="PVJ207"/>
      <c r="PVK207"/>
      <c r="PVL207"/>
      <c r="PVM207"/>
      <c r="PVN207"/>
      <c r="PVO207"/>
      <c r="PVP207"/>
      <c r="PVQ207"/>
      <c r="PVR207"/>
      <c r="PVS207"/>
      <c r="PVT207"/>
      <c r="PVU207"/>
      <c r="PVV207"/>
      <c r="PVW207"/>
      <c r="PVX207"/>
      <c r="PVY207"/>
      <c r="PVZ207"/>
      <c r="PWA207"/>
      <c r="PWB207"/>
      <c r="PWC207"/>
      <c r="PWD207"/>
      <c r="PWE207"/>
      <c r="PWF207"/>
      <c r="PWG207"/>
      <c r="PWH207"/>
      <c r="PWI207"/>
      <c r="PWJ207"/>
      <c r="PWK207"/>
      <c r="PWL207"/>
      <c r="PWM207"/>
      <c r="PWN207"/>
      <c r="PWO207"/>
      <c r="PWP207"/>
      <c r="PWQ207"/>
      <c r="PWR207"/>
      <c r="PWS207"/>
      <c r="PWT207"/>
      <c r="PWU207"/>
      <c r="PWV207"/>
      <c r="PWW207"/>
      <c r="PWX207"/>
      <c r="PWY207"/>
      <c r="PWZ207"/>
      <c r="PXA207"/>
      <c r="PXB207"/>
      <c r="PXC207"/>
      <c r="PXD207"/>
      <c r="PXE207"/>
      <c r="PXF207"/>
      <c r="PXG207"/>
      <c r="PXH207"/>
      <c r="PXI207"/>
      <c r="PXJ207"/>
      <c r="PXK207"/>
      <c r="PXL207"/>
      <c r="PXM207"/>
      <c r="PXN207"/>
      <c r="PXO207"/>
      <c r="PXP207"/>
      <c r="PXQ207"/>
      <c r="PXR207"/>
      <c r="PXS207"/>
      <c r="PXT207"/>
      <c r="PXU207"/>
      <c r="PXV207"/>
      <c r="PXW207"/>
      <c r="PXX207"/>
      <c r="PXY207"/>
      <c r="PXZ207"/>
      <c r="PYA207"/>
      <c r="PYB207"/>
      <c r="PYC207"/>
      <c r="PYD207"/>
      <c r="PYE207"/>
      <c r="PYF207"/>
      <c r="PYG207"/>
      <c r="PYH207"/>
      <c r="PYI207"/>
      <c r="PYJ207"/>
      <c r="PYK207"/>
      <c r="PYL207"/>
      <c r="PYM207"/>
      <c r="PYN207"/>
      <c r="PYO207"/>
      <c r="PYP207"/>
      <c r="PYQ207"/>
      <c r="PYR207"/>
      <c r="PYS207"/>
      <c r="PYT207"/>
      <c r="PYU207"/>
      <c r="PYV207"/>
      <c r="PYW207"/>
      <c r="PYX207"/>
      <c r="PYY207"/>
      <c r="PYZ207"/>
      <c r="PZA207"/>
      <c r="PZB207"/>
      <c r="PZC207"/>
      <c r="PZD207"/>
      <c r="PZE207"/>
      <c r="PZF207"/>
      <c r="PZG207"/>
      <c r="PZH207"/>
      <c r="PZI207"/>
      <c r="PZJ207"/>
      <c r="PZK207"/>
      <c r="PZL207"/>
      <c r="PZM207"/>
      <c r="PZN207"/>
      <c r="PZO207"/>
      <c r="PZP207"/>
      <c r="PZQ207"/>
      <c r="PZR207"/>
      <c r="PZS207"/>
      <c r="PZT207"/>
      <c r="PZU207"/>
      <c r="PZV207"/>
      <c r="PZW207"/>
      <c r="PZX207"/>
      <c r="PZY207"/>
      <c r="PZZ207"/>
      <c r="QAA207"/>
      <c r="QAB207"/>
      <c r="QAC207"/>
      <c r="QAD207"/>
      <c r="QAE207"/>
      <c r="QAF207"/>
      <c r="QAG207"/>
      <c r="QAH207"/>
      <c r="QAI207"/>
      <c r="QAJ207"/>
      <c r="QAK207"/>
      <c r="QAL207"/>
      <c r="QAM207"/>
      <c r="QAN207"/>
      <c r="QAO207"/>
      <c r="QAP207"/>
      <c r="QAQ207"/>
      <c r="QAR207"/>
      <c r="QAS207"/>
      <c r="QAT207"/>
      <c r="QAU207"/>
      <c r="QAV207"/>
      <c r="QAW207"/>
      <c r="QAX207"/>
      <c r="QAY207"/>
      <c r="QAZ207"/>
      <c r="QBA207"/>
      <c r="QBB207"/>
      <c r="QBC207"/>
      <c r="QBD207"/>
      <c r="QBE207"/>
      <c r="QBF207"/>
      <c r="QBG207"/>
      <c r="QBH207"/>
      <c r="QBI207"/>
      <c r="QBJ207"/>
      <c r="QBK207"/>
      <c r="QBL207"/>
      <c r="QBM207"/>
      <c r="QBN207"/>
      <c r="QBO207"/>
      <c r="QBP207"/>
      <c r="QBQ207"/>
      <c r="QBR207"/>
      <c r="QBS207"/>
      <c r="QBT207"/>
      <c r="QBU207"/>
      <c r="QBV207"/>
      <c r="QBW207"/>
      <c r="QBX207"/>
      <c r="QBY207"/>
      <c r="QBZ207"/>
      <c r="QCA207"/>
      <c r="QCB207"/>
      <c r="QCC207"/>
      <c r="QCD207"/>
      <c r="QCE207"/>
      <c r="QCF207"/>
      <c r="QCG207"/>
      <c r="QCH207"/>
      <c r="QCI207"/>
      <c r="QCJ207"/>
      <c r="QCK207"/>
      <c r="QCL207"/>
      <c r="QCM207"/>
      <c r="QCN207"/>
      <c r="QCO207"/>
      <c r="QCP207"/>
      <c r="QCQ207"/>
      <c r="QCR207"/>
      <c r="QCS207"/>
      <c r="QCT207"/>
      <c r="QCU207"/>
      <c r="QCV207"/>
      <c r="QCW207"/>
      <c r="QCX207"/>
      <c r="QCY207"/>
      <c r="QCZ207"/>
      <c r="QDA207"/>
      <c r="QDB207"/>
      <c r="QDC207"/>
      <c r="QDD207"/>
      <c r="QDE207"/>
      <c r="QDF207"/>
      <c r="QDG207"/>
      <c r="QDH207"/>
      <c r="QDI207"/>
      <c r="QDJ207"/>
      <c r="QDK207"/>
      <c r="QDL207"/>
      <c r="QDM207"/>
      <c r="QDN207"/>
      <c r="QDO207"/>
      <c r="QDP207"/>
      <c r="QDQ207"/>
      <c r="QDR207"/>
      <c r="QDS207"/>
      <c r="QDT207"/>
      <c r="QDU207"/>
      <c r="QDV207"/>
      <c r="QDW207"/>
      <c r="QDX207"/>
      <c r="QDY207"/>
      <c r="QDZ207"/>
      <c r="QEA207"/>
      <c r="QEB207"/>
      <c r="QEC207"/>
      <c r="QED207"/>
      <c r="QEE207"/>
      <c r="QEF207"/>
      <c r="QEG207"/>
      <c r="QEH207"/>
      <c r="QEI207"/>
      <c r="QEJ207"/>
      <c r="QEK207"/>
      <c r="QEL207"/>
      <c r="QEM207"/>
      <c r="QEN207"/>
      <c r="QEO207"/>
      <c r="QEP207"/>
      <c r="QEQ207"/>
      <c r="QER207"/>
      <c r="QES207"/>
      <c r="QET207"/>
      <c r="QEU207"/>
      <c r="QEV207"/>
      <c r="QEW207"/>
      <c r="QEX207"/>
      <c r="QEY207"/>
      <c r="QEZ207"/>
      <c r="QFA207"/>
      <c r="QFB207"/>
      <c r="QFC207"/>
      <c r="QFD207"/>
      <c r="QFE207"/>
      <c r="QFF207"/>
      <c r="QFG207"/>
      <c r="QFH207"/>
      <c r="QFI207"/>
      <c r="QFJ207"/>
      <c r="QFK207"/>
      <c r="QFL207"/>
      <c r="QFM207"/>
      <c r="QFN207"/>
      <c r="QFO207"/>
      <c r="QFP207"/>
      <c r="QFQ207"/>
      <c r="QFR207"/>
      <c r="QFS207"/>
      <c r="QFT207"/>
      <c r="QFU207"/>
      <c r="QFV207"/>
      <c r="QFW207"/>
      <c r="QFX207"/>
      <c r="QFY207"/>
      <c r="QFZ207"/>
      <c r="QGA207"/>
      <c r="QGB207"/>
      <c r="QGC207"/>
      <c r="QGD207"/>
      <c r="QGE207"/>
      <c r="QGF207"/>
      <c r="QGG207"/>
      <c r="QGH207"/>
      <c r="QGI207"/>
      <c r="QGJ207"/>
      <c r="QGK207"/>
      <c r="QGL207"/>
      <c r="QGM207"/>
      <c r="QGN207"/>
      <c r="QGO207"/>
      <c r="QGP207"/>
      <c r="QGQ207"/>
      <c r="QGR207"/>
      <c r="QGS207"/>
      <c r="QGT207"/>
      <c r="QGU207"/>
      <c r="QGV207"/>
      <c r="QGW207"/>
      <c r="QGX207"/>
      <c r="QGY207"/>
      <c r="QGZ207"/>
      <c r="QHA207"/>
      <c r="QHB207"/>
      <c r="QHC207"/>
      <c r="QHD207"/>
      <c r="QHE207"/>
      <c r="QHF207"/>
      <c r="QHG207"/>
      <c r="QHH207"/>
      <c r="QHI207"/>
      <c r="QHJ207"/>
      <c r="QHK207"/>
      <c r="QHL207"/>
      <c r="QHM207"/>
      <c r="QHN207"/>
      <c r="QHO207"/>
      <c r="QHP207"/>
      <c r="QHQ207"/>
      <c r="QHR207"/>
      <c r="QHS207"/>
      <c r="QHT207"/>
      <c r="QHU207"/>
      <c r="QHV207"/>
      <c r="QHW207"/>
      <c r="QHX207"/>
      <c r="QHY207"/>
      <c r="QHZ207"/>
      <c r="QIA207"/>
      <c r="QIB207"/>
      <c r="QIC207"/>
      <c r="QID207"/>
      <c r="QIE207"/>
      <c r="QIF207"/>
      <c r="QIG207"/>
      <c r="QIH207"/>
      <c r="QII207"/>
      <c r="QIJ207"/>
      <c r="QIK207"/>
      <c r="QIL207"/>
      <c r="QIM207"/>
      <c r="QIN207"/>
      <c r="QIO207"/>
      <c r="QIP207"/>
      <c r="QIQ207"/>
      <c r="QIR207"/>
      <c r="QIS207"/>
      <c r="QIT207"/>
      <c r="QIU207"/>
      <c r="QIV207"/>
      <c r="QIW207"/>
      <c r="QIX207"/>
      <c r="QIY207"/>
      <c r="QIZ207"/>
      <c r="QJA207"/>
      <c r="QJB207"/>
      <c r="QJC207"/>
      <c r="QJD207"/>
      <c r="QJE207"/>
      <c r="QJF207"/>
      <c r="QJG207"/>
      <c r="QJH207"/>
      <c r="QJI207"/>
      <c r="QJJ207"/>
      <c r="QJK207"/>
      <c r="QJL207"/>
      <c r="QJM207"/>
      <c r="QJN207"/>
      <c r="QJO207"/>
      <c r="QJP207"/>
      <c r="QJQ207"/>
      <c r="QJR207"/>
      <c r="QJS207"/>
      <c r="QJT207"/>
      <c r="QJU207"/>
      <c r="QJV207"/>
      <c r="QJW207"/>
      <c r="QJX207"/>
      <c r="QJY207"/>
      <c r="QJZ207"/>
      <c r="QKA207"/>
      <c r="QKB207"/>
      <c r="QKC207"/>
      <c r="QKD207"/>
      <c r="QKE207"/>
      <c r="QKF207"/>
      <c r="QKG207"/>
      <c r="QKH207"/>
      <c r="QKI207"/>
      <c r="QKJ207"/>
      <c r="QKK207"/>
      <c r="QKL207"/>
      <c r="QKM207"/>
      <c r="QKN207"/>
      <c r="QKO207"/>
      <c r="QKP207"/>
      <c r="QKQ207"/>
      <c r="QKR207"/>
      <c r="QKS207"/>
      <c r="QKT207"/>
      <c r="QKU207"/>
      <c r="QKV207"/>
      <c r="QKW207"/>
      <c r="QKX207"/>
      <c r="QKY207"/>
      <c r="QKZ207"/>
      <c r="QLA207"/>
      <c r="QLB207"/>
      <c r="QLC207"/>
      <c r="QLD207"/>
      <c r="QLE207"/>
      <c r="QLF207"/>
      <c r="QLG207"/>
      <c r="QLH207"/>
      <c r="QLI207"/>
      <c r="QLJ207"/>
      <c r="QLK207"/>
      <c r="QLL207"/>
      <c r="QLM207"/>
      <c r="QLN207"/>
      <c r="QLO207"/>
      <c r="QLP207"/>
      <c r="QLQ207"/>
      <c r="QLR207"/>
      <c r="QLS207"/>
      <c r="QLT207"/>
      <c r="QLU207"/>
      <c r="QLV207"/>
      <c r="QLW207"/>
      <c r="QLX207"/>
      <c r="QLY207"/>
      <c r="QLZ207"/>
      <c r="QMA207"/>
      <c r="QMB207"/>
      <c r="QMC207"/>
      <c r="QMD207"/>
      <c r="QME207"/>
      <c r="QMF207"/>
      <c r="QMG207"/>
      <c r="QMH207"/>
      <c r="QMI207"/>
      <c r="QMJ207"/>
      <c r="QMK207"/>
      <c r="QML207"/>
      <c r="QMM207"/>
      <c r="QMN207"/>
      <c r="QMO207"/>
      <c r="QMP207"/>
      <c r="QMQ207"/>
      <c r="QMR207"/>
      <c r="QMS207"/>
      <c r="QMT207"/>
      <c r="QMU207"/>
      <c r="QMV207"/>
      <c r="QMW207"/>
      <c r="QMX207"/>
      <c r="QMY207"/>
      <c r="QMZ207"/>
      <c r="QNA207"/>
      <c r="QNB207"/>
      <c r="QNC207"/>
      <c r="QND207"/>
      <c r="QNE207"/>
      <c r="QNF207"/>
      <c r="QNG207"/>
      <c r="QNH207"/>
      <c r="QNI207"/>
      <c r="QNJ207"/>
      <c r="QNK207"/>
      <c r="QNL207"/>
      <c r="QNM207"/>
      <c r="QNN207"/>
      <c r="QNO207"/>
      <c r="QNP207"/>
      <c r="QNQ207"/>
      <c r="QNR207"/>
      <c r="QNS207"/>
      <c r="QNT207"/>
      <c r="QNU207"/>
      <c r="QNV207"/>
      <c r="QNW207"/>
      <c r="QNX207"/>
      <c r="QNY207"/>
      <c r="QNZ207"/>
      <c r="QOA207"/>
      <c r="QOB207"/>
      <c r="QOC207"/>
      <c r="QOD207"/>
      <c r="QOE207"/>
      <c r="QOF207"/>
      <c r="QOG207"/>
      <c r="QOH207"/>
      <c r="QOI207"/>
      <c r="QOJ207"/>
      <c r="QOK207"/>
      <c r="QOL207"/>
      <c r="QOM207"/>
      <c r="QON207"/>
      <c r="QOO207"/>
      <c r="QOP207"/>
      <c r="QOQ207"/>
      <c r="QOR207"/>
      <c r="QOS207"/>
      <c r="QOT207"/>
      <c r="QOU207"/>
      <c r="QOV207"/>
      <c r="QOW207"/>
      <c r="QOX207"/>
      <c r="QOY207"/>
      <c r="QOZ207"/>
      <c r="QPA207"/>
      <c r="QPB207"/>
      <c r="QPC207"/>
      <c r="QPD207"/>
      <c r="QPE207"/>
      <c r="QPF207"/>
      <c r="QPG207"/>
      <c r="QPH207"/>
      <c r="QPI207"/>
      <c r="QPJ207"/>
      <c r="QPK207"/>
      <c r="QPL207"/>
      <c r="QPM207"/>
      <c r="QPN207"/>
      <c r="QPO207"/>
      <c r="QPP207"/>
      <c r="QPQ207"/>
      <c r="QPR207"/>
      <c r="QPS207"/>
      <c r="QPT207"/>
      <c r="QPU207"/>
      <c r="QPV207"/>
      <c r="QPW207"/>
      <c r="QPX207"/>
      <c r="QPY207"/>
      <c r="QPZ207"/>
      <c r="QQA207"/>
      <c r="QQB207"/>
      <c r="QQC207"/>
      <c r="QQD207"/>
      <c r="QQE207"/>
      <c r="QQF207"/>
      <c r="QQG207"/>
      <c r="QQH207"/>
      <c r="QQI207"/>
      <c r="QQJ207"/>
      <c r="QQK207"/>
      <c r="QQL207"/>
      <c r="QQM207"/>
      <c r="QQN207"/>
      <c r="QQO207"/>
      <c r="QQP207"/>
      <c r="QQQ207"/>
      <c r="QQR207"/>
      <c r="QQS207"/>
      <c r="QQT207"/>
      <c r="QQU207"/>
      <c r="QQV207"/>
      <c r="QQW207"/>
      <c r="QQX207"/>
      <c r="QQY207"/>
      <c r="QQZ207"/>
      <c r="QRA207"/>
      <c r="QRB207"/>
      <c r="QRC207"/>
      <c r="QRD207"/>
      <c r="QRE207"/>
      <c r="QRF207"/>
      <c r="QRG207"/>
      <c r="QRH207"/>
      <c r="QRI207"/>
      <c r="QRJ207"/>
      <c r="QRK207"/>
      <c r="QRL207"/>
      <c r="QRM207"/>
      <c r="QRN207"/>
      <c r="QRO207"/>
      <c r="QRP207"/>
      <c r="QRQ207"/>
      <c r="QRR207"/>
      <c r="QRS207"/>
      <c r="QRT207"/>
      <c r="QRU207"/>
      <c r="QRV207"/>
      <c r="QRW207"/>
      <c r="QRX207"/>
      <c r="QRY207"/>
      <c r="QRZ207"/>
      <c r="QSA207"/>
      <c r="QSB207"/>
      <c r="QSC207"/>
      <c r="QSD207"/>
      <c r="QSE207"/>
      <c r="QSF207"/>
      <c r="QSG207"/>
      <c r="QSH207"/>
      <c r="QSI207"/>
      <c r="QSJ207"/>
      <c r="QSK207"/>
      <c r="QSL207"/>
      <c r="QSM207"/>
      <c r="QSN207"/>
      <c r="QSO207"/>
      <c r="QSP207"/>
      <c r="QSQ207"/>
      <c r="QSR207"/>
      <c r="QSS207"/>
      <c r="QST207"/>
      <c r="QSU207"/>
      <c r="QSV207"/>
      <c r="QSW207"/>
      <c r="QSX207"/>
      <c r="QSY207"/>
      <c r="QSZ207"/>
      <c r="QTA207"/>
      <c r="QTB207"/>
      <c r="QTC207"/>
      <c r="QTD207"/>
      <c r="QTE207"/>
      <c r="QTF207"/>
      <c r="QTG207"/>
      <c r="QTH207"/>
      <c r="QTI207"/>
      <c r="QTJ207"/>
      <c r="QTK207"/>
      <c r="QTL207"/>
      <c r="QTM207"/>
      <c r="QTN207"/>
      <c r="QTO207"/>
      <c r="QTP207"/>
      <c r="QTQ207"/>
      <c r="QTR207"/>
      <c r="QTS207"/>
      <c r="QTT207"/>
      <c r="QTU207"/>
      <c r="QTV207"/>
      <c r="QTW207"/>
      <c r="QTX207"/>
      <c r="QTY207"/>
      <c r="QTZ207"/>
      <c r="QUA207"/>
      <c r="QUB207"/>
      <c r="QUC207"/>
      <c r="QUD207"/>
      <c r="QUE207"/>
      <c r="QUF207"/>
      <c r="QUG207"/>
      <c r="QUH207"/>
      <c r="QUI207"/>
      <c r="QUJ207"/>
      <c r="QUK207"/>
      <c r="QUL207"/>
      <c r="QUM207"/>
      <c r="QUN207"/>
      <c r="QUO207"/>
      <c r="QUP207"/>
      <c r="QUQ207"/>
      <c r="QUR207"/>
      <c r="QUS207"/>
      <c r="QUT207"/>
      <c r="QUU207"/>
      <c r="QUV207"/>
      <c r="QUW207"/>
      <c r="QUX207"/>
      <c r="QUY207"/>
      <c r="QUZ207"/>
      <c r="QVA207"/>
      <c r="QVB207"/>
      <c r="QVC207"/>
      <c r="QVD207"/>
      <c r="QVE207"/>
      <c r="QVF207"/>
      <c r="QVG207"/>
      <c r="QVH207"/>
      <c r="QVI207"/>
      <c r="QVJ207"/>
      <c r="QVK207"/>
      <c r="QVL207"/>
      <c r="QVM207"/>
      <c r="QVN207"/>
      <c r="QVO207"/>
      <c r="QVP207"/>
      <c r="QVQ207"/>
      <c r="QVR207"/>
      <c r="QVS207"/>
      <c r="QVT207"/>
      <c r="QVU207"/>
      <c r="QVV207"/>
      <c r="QVW207"/>
      <c r="QVX207"/>
      <c r="QVY207"/>
      <c r="QVZ207"/>
      <c r="QWA207"/>
      <c r="QWB207"/>
      <c r="QWC207"/>
      <c r="QWD207"/>
      <c r="QWE207"/>
      <c r="QWF207"/>
      <c r="QWG207"/>
      <c r="QWH207"/>
      <c r="QWI207"/>
      <c r="QWJ207"/>
      <c r="QWK207"/>
      <c r="QWL207"/>
      <c r="QWM207"/>
      <c r="QWN207"/>
      <c r="QWO207"/>
      <c r="QWP207"/>
      <c r="QWQ207"/>
      <c r="QWR207"/>
      <c r="QWS207"/>
      <c r="QWT207"/>
      <c r="QWU207"/>
      <c r="QWV207"/>
      <c r="QWW207"/>
      <c r="QWX207"/>
      <c r="QWY207"/>
      <c r="QWZ207"/>
      <c r="QXA207"/>
      <c r="QXB207"/>
      <c r="QXC207"/>
      <c r="QXD207"/>
      <c r="QXE207"/>
      <c r="QXF207"/>
      <c r="QXG207"/>
      <c r="QXH207"/>
      <c r="QXI207"/>
      <c r="QXJ207"/>
      <c r="QXK207"/>
      <c r="QXL207"/>
      <c r="QXM207"/>
      <c r="QXN207"/>
      <c r="QXO207"/>
      <c r="QXP207"/>
      <c r="QXQ207"/>
      <c r="QXR207"/>
      <c r="QXS207"/>
      <c r="QXT207"/>
      <c r="QXU207"/>
      <c r="QXV207"/>
      <c r="QXW207"/>
      <c r="QXX207"/>
      <c r="QXY207"/>
      <c r="QXZ207"/>
      <c r="QYA207"/>
      <c r="QYB207"/>
      <c r="QYC207"/>
      <c r="QYD207"/>
      <c r="QYE207"/>
      <c r="QYF207"/>
      <c r="QYG207"/>
      <c r="QYH207"/>
      <c r="QYI207"/>
      <c r="QYJ207"/>
      <c r="QYK207"/>
      <c r="QYL207"/>
      <c r="QYM207"/>
      <c r="QYN207"/>
      <c r="QYO207"/>
      <c r="QYP207"/>
      <c r="QYQ207"/>
      <c r="QYR207"/>
      <c r="QYS207"/>
      <c r="QYT207"/>
      <c r="QYU207"/>
      <c r="QYV207"/>
      <c r="QYW207"/>
      <c r="QYX207"/>
      <c r="QYY207"/>
      <c r="QYZ207"/>
      <c r="QZA207"/>
      <c r="QZB207"/>
      <c r="QZC207"/>
      <c r="QZD207"/>
      <c r="QZE207"/>
      <c r="QZF207"/>
      <c r="QZG207"/>
      <c r="QZH207"/>
      <c r="QZI207"/>
      <c r="QZJ207"/>
      <c r="QZK207"/>
      <c r="QZL207"/>
      <c r="QZM207"/>
      <c r="QZN207"/>
      <c r="QZO207"/>
      <c r="QZP207"/>
      <c r="QZQ207"/>
      <c r="QZR207"/>
      <c r="QZS207"/>
      <c r="QZT207"/>
      <c r="QZU207"/>
      <c r="QZV207"/>
      <c r="QZW207"/>
      <c r="QZX207"/>
      <c r="QZY207"/>
      <c r="QZZ207"/>
      <c r="RAA207"/>
      <c r="RAB207"/>
      <c r="RAC207"/>
      <c r="RAD207"/>
      <c r="RAE207"/>
      <c r="RAF207"/>
      <c r="RAG207"/>
      <c r="RAH207"/>
      <c r="RAI207"/>
      <c r="RAJ207"/>
      <c r="RAK207"/>
      <c r="RAL207"/>
      <c r="RAM207"/>
      <c r="RAN207"/>
      <c r="RAO207"/>
      <c r="RAP207"/>
      <c r="RAQ207"/>
      <c r="RAR207"/>
      <c r="RAS207"/>
      <c r="RAT207"/>
      <c r="RAU207"/>
      <c r="RAV207"/>
      <c r="RAW207"/>
      <c r="RAX207"/>
      <c r="RAY207"/>
      <c r="RAZ207"/>
      <c r="RBA207"/>
      <c r="RBB207"/>
      <c r="RBC207"/>
      <c r="RBD207"/>
      <c r="RBE207"/>
      <c r="RBF207"/>
      <c r="RBG207"/>
      <c r="RBH207"/>
      <c r="RBI207"/>
      <c r="RBJ207"/>
      <c r="RBK207"/>
      <c r="RBL207"/>
      <c r="RBM207"/>
      <c r="RBN207"/>
      <c r="RBO207"/>
      <c r="RBP207"/>
      <c r="RBQ207"/>
      <c r="RBR207"/>
      <c r="RBS207"/>
      <c r="RBT207"/>
      <c r="RBU207"/>
      <c r="RBV207"/>
      <c r="RBW207"/>
      <c r="RBX207"/>
      <c r="RBY207"/>
      <c r="RBZ207"/>
      <c r="RCA207"/>
      <c r="RCB207"/>
      <c r="RCC207"/>
      <c r="RCD207"/>
      <c r="RCE207"/>
      <c r="RCF207"/>
      <c r="RCG207"/>
      <c r="RCH207"/>
      <c r="RCI207"/>
      <c r="RCJ207"/>
      <c r="RCK207"/>
      <c r="RCL207"/>
      <c r="RCM207"/>
      <c r="RCN207"/>
      <c r="RCO207"/>
      <c r="RCP207"/>
      <c r="RCQ207"/>
      <c r="RCR207"/>
      <c r="RCS207"/>
      <c r="RCT207"/>
      <c r="RCU207"/>
      <c r="RCV207"/>
      <c r="RCW207"/>
      <c r="RCX207"/>
      <c r="RCY207"/>
      <c r="RCZ207"/>
      <c r="RDA207"/>
      <c r="RDB207"/>
      <c r="RDC207"/>
      <c r="RDD207"/>
      <c r="RDE207"/>
      <c r="RDF207"/>
      <c r="RDG207"/>
      <c r="RDH207"/>
      <c r="RDI207"/>
      <c r="RDJ207"/>
      <c r="RDK207"/>
      <c r="RDL207"/>
      <c r="RDM207"/>
      <c r="RDN207"/>
      <c r="RDO207"/>
      <c r="RDP207"/>
      <c r="RDQ207"/>
      <c r="RDR207"/>
      <c r="RDS207"/>
      <c r="RDT207"/>
      <c r="RDU207"/>
      <c r="RDV207"/>
      <c r="RDW207"/>
      <c r="RDX207"/>
      <c r="RDY207"/>
      <c r="RDZ207"/>
      <c r="REA207"/>
      <c r="REB207"/>
      <c r="REC207"/>
      <c r="RED207"/>
      <c r="REE207"/>
      <c r="REF207"/>
      <c r="REG207"/>
      <c r="REH207"/>
      <c r="REI207"/>
      <c r="REJ207"/>
      <c r="REK207"/>
      <c r="REL207"/>
      <c r="REM207"/>
      <c r="REN207"/>
      <c r="REO207"/>
      <c r="REP207"/>
      <c r="REQ207"/>
      <c r="RER207"/>
      <c r="RES207"/>
      <c r="RET207"/>
      <c r="REU207"/>
      <c r="REV207"/>
      <c r="REW207"/>
      <c r="REX207"/>
      <c r="REY207"/>
      <c r="REZ207"/>
      <c r="RFA207"/>
      <c r="RFB207"/>
      <c r="RFC207"/>
      <c r="RFD207"/>
      <c r="RFE207"/>
      <c r="RFF207"/>
      <c r="RFG207"/>
      <c r="RFH207"/>
      <c r="RFI207"/>
      <c r="RFJ207"/>
      <c r="RFK207"/>
      <c r="RFL207"/>
      <c r="RFM207"/>
      <c r="RFN207"/>
      <c r="RFO207"/>
      <c r="RFP207"/>
      <c r="RFQ207"/>
      <c r="RFR207"/>
      <c r="RFS207"/>
      <c r="RFT207"/>
      <c r="RFU207"/>
      <c r="RFV207"/>
      <c r="RFW207"/>
      <c r="RFX207"/>
      <c r="RFY207"/>
      <c r="RFZ207"/>
      <c r="RGA207"/>
      <c r="RGB207"/>
      <c r="RGC207"/>
      <c r="RGD207"/>
      <c r="RGE207"/>
      <c r="RGF207"/>
      <c r="RGG207"/>
      <c r="RGH207"/>
      <c r="RGI207"/>
      <c r="RGJ207"/>
      <c r="RGK207"/>
      <c r="RGL207"/>
      <c r="RGM207"/>
      <c r="RGN207"/>
      <c r="RGO207"/>
      <c r="RGP207"/>
      <c r="RGQ207"/>
      <c r="RGR207"/>
      <c r="RGS207"/>
      <c r="RGT207"/>
      <c r="RGU207"/>
      <c r="RGV207"/>
      <c r="RGW207"/>
      <c r="RGX207"/>
      <c r="RGY207"/>
      <c r="RGZ207"/>
      <c r="RHA207"/>
      <c r="RHB207"/>
      <c r="RHC207"/>
      <c r="RHD207"/>
      <c r="RHE207"/>
      <c r="RHF207"/>
      <c r="RHG207"/>
      <c r="RHH207"/>
      <c r="RHI207"/>
      <c r="RHJ207"/>
      <c r="RHK207"/>
      <c r="RHL207"/>
      <c r="RHM207"/>
      <c r="RHN207"/>
      <c r="RHO207"/>
      <c r="RHP207"/>
      <c r="RHQ207"/>
      <c r="RHR207"/>
      <c r="RHS207"/>
      <c r="RHT207"/>
      <c r="RHU207"/>
      <c r="RHV207"/>
      <c r="RHW207"/>
      <c r="RHX207"/>
      <c r="RHY207"/>
      <c r="RHZ207"/>
      <c r="RIA207"/>
      <c r="RIB207"/>
      <c r="RIC207"/>
      <c r="RID207"/>
      <c r="RIE207"/>
      <c r="RIF207"/>
      <c r="RIG207"/>
      <c r="RIH207"/>
      <c r="RII207"/>
      <c r="RIJ207"/>
      <c r="RIK207"/>
      <c r="RIL207"/>
      <c r="RIM207"/>
      <c r="RIN207"/>
      <c r="RIO207"/>
      <c r="RIP207"/>
      <c r="RIQ207"/>
      <c r="RIR207"/>
      <c r="RIS207"/>
      <c r="RIT207"/>
      <c r="RIU207"/>
      <c r="RIV207"/>
      <c r="RIW207"/>
      <c r="RIX207"/>
      <c r="RIY207"/>
      <c r="RIZ207"/>
      <c r="RJA207"/>
      <c r="RJB207"/>
      <c r="RJC207"/>
      <c r="RJD207"/>
      <c r="RJE207"/>
      <c r="RJF207"/>
      <c r="RJG207"/>
      <c r="RJH207"/>
      <c r="RJI207"/>
      <c r="RJJ207"/>
      <c r="RJK207"/>
      <c r="RJL207"/>
      <c r="RJM207"/>
      <c r="RJN207"/>
      <c r="RJO207"/>
      <c r="RJP207"/>
      <c r="RJQ207"/>
      <c r="RJR207"/>
      <c r="RJS207"/>
      <c r="RJT207"/>
      <c r="RJU207"/>
      <c r="RJV207"/>
      <c r="RJW207"/>
      <c r="RJX207"/>
      <c r="RJY207"/>
      <c r="RJZ207"/>
      <c r="RKA207"/>
      <c r="RKB207"/>
      <c r="RKC207"/>
      <c r="RKD207"/>
      <c r="RKE207"/>
      <c r="RKF207"/>
      <c r="RKG207"/>
      <c r="RKH207"/>
      <c r="RKI207"/>
      <c r="RKJ207"/>
      <c r="RKK207"/>
      <c r="RKL207"/>
      <c r="RKM207"/>
      <c r="RKN207"/>
      <c r="RKO207"/>
      <c r="RKP207"/>
      <c r="RKQ207"/>
      <c r="RKR207"/>
      <c r="RKS207"/>
      <c r="RKT207"/>
      <c r="RKU207"/>
      <c r="RKV207"/>
      <c r="RKW207"/>
      <c r="RKX207"/>
      <c r="RKY207"/>
      <c r="RKZ207"/>
      <c r="RLA207"/>
      <c r="RLB207"/>
      <c r="RLC207"/>
      <c r="RLD207"/>
      <c r="RLE207"/>
      <c r="RLF207"/>
      <c r="RLG207"/>
      <c r="RLH207"/>
      <c r="RLI207"/>
      <c r="RLJ207"/>
      <c r="RLK207"/>
      <c r="RLL207"/>
      <c r="RLM207"/>
      <c r="RLN207"/>
      <c r="RLO207"/>
      <c r="RLP207"/>
      <c r="RLQ207"/>
      <c r="RLR207"/>
      <c r="RLS207"/>
      <c r="RLT207"/>
      <c r="RLU207"/>
      <c r="RLV207"/>
      <c r="RLW207"/>
      <c r="RLX207"/>
      <c r="RLY207"/>
      <c r="RLZ207"/>
      <c r="RMA207"/>
      <c r="RMB207"/>
      <c r="RMC207"/>
      <c r="RMD207"/>
      <c r="RME207"/>
      <c r="RMF207"/>
      <c r="RMG207"/>
      <c r="RMH207"/>
      <c r="RMI207"/>
      <c r="RMJ207"/>
      <c r="RMK207"/>
      <c r="RML207"/>
      <c r="RMM207"/>
      <c r="RMN207"/>
      <c r="RMO207"/>
      <c r="RMP207"/>
      <c r="RMQ207"/>
      <c r="RMR207"/>
      <c r="RMS207"/>
      <c r="RMT207"/>
      <c r="RMU207"/>
      <c r="RMV207"/>
      <c r="RMW207"/>
      <c r="RMX207"/>
      <c r="RMY207"/>
      <c r="RMZ207"/>
      <c r="RNA207"/>
      <c r="RNB207"/>
      <c r="RNC207"/>
      <c r="RND207"/>
      <c r="RNE207"/>
      <c r="RNF207"/>
      <c r="RNG207"/>
      <c r="RNH207"/>
      <c r="RNI207"/>
      <c r="RNJ207"/>
      <c r="RNK207"/>
      <c r="RNL207"/>
      <c r="RNM207"/>
      <c r="RNN207"/>
      <c r="RNO207"/>
      <c r="RNP207"/>
      <c r="RNQ207"/>
      <c r="RNR207"/>
      <c r="RNS207"/>
      <c r="RNT207"/>
      <c r="RNU207"/>
      <c r="RNV207"/>
      <c r="RNW207"/>
      <c r="RNX207"/>
      <c r="RNY207"/>
      <c r="RNZ207"/>
      <c r="ROA207"/>
      <c r="ROB207"/>
      <c r="ROC207"/>
      <c r="ROD207"/>
      <c r="ROE207"/>
      <c r="ROF207"/>
      <c r="ROG207"/>
      <c r="ROH207"/>
      <c r="ROI207"/>
      <c r="ROJ207"/>
      <c r="ROK207"/>
      <c r="ROL207"/>
      <c r="ROM207"/>
      <c r="RON207"/>
      <c r="ROO207"/>
      <c r="ROP207"/>
      <c r="ROQ207"/>
      <c r="ROR207"/>
      <c r="ROS207"/>
      <c r="ROT207"/>
      <c r="ROU207"/>
      <c r="ROV207"/>
      <c r="ROW207"/>
      <c r="ROX207"/>
      <c r="ROY207"/>
      <c r="ROZ207"/>
      <c r="RPA207"/>
      <c r="RPB207"/>
      <c r="RPC207"/>
      <c r="RPD207"/>
      <c r="RPE207"/>
      <c r="RPF207"/>
      <c r="RPG207"/>
      <c r="RPH207"/>
      <c r="RPI207"/>
      <c r="RPJ207"/>
      <c r="RPK207"/>
      <c r="RPL207"/>
      <c r="RPM207"/>
      <c r="RPN207"/>
      <c r="RPO207"/>
      <c r="RPP207"/>
      <c r="RPQ207"/>
      <c r="RPR207"/>
      <c r="RPS207"/>
      <c r="RPT207"/>
      <c r="RPU207"/>
      <c r="RPV207"/>
      <c r="RPW207"/>
      <c r="RPX207"/>
      <c r="RPY207"/>
      <c r="RPZ207"/>
      <c r="RQA207"/>
      <c r="RQB207"/>
      <c r="RQC207"/>
      <c r="RQD207"/>
      <c r="RQE207"/>
      <c r="RQF207"/>
      <c r="RQG207"/>
      <c r="RQH207"/>
      <c r="RQI207"/>
      <c r="RQJ207"/>
      <c r="RQK207"/>
      <c r="RQL207"/>
      <c r="RQM207"/>
      <c r="RQN207"/>
      <c r="RQO207"/>
      <c r="RQP207"/>
      <c r="RQQ207"/>
      <c r="RQR207"/>
      <c r="RQS207"/>
      <c r="RQT207"/>
      <c r="RQU207"/>
      <c r="RQV207"/>
      <c r="RQW207"/>
      <c r="RQX207"/>
      <c r="RQY207"/>
      <c r="RQZ207"/>
      <c r="RRA207"/>
      <c r="RRB207"/>
      <c r="RRC207"/>
      <c r="RRD207"/>
      <c r="RRE207"/>
      <c r="RRF207"/>
      <c r="RRG207"/>
      <c r="RRH207"/>
      <c r="RRI207"/>
      <c r="RRJ207"/>
      <c r="RRK207"/>
      <c r="RRL207"/>
      <c r="RRM207"/>
      <c r="RRN207"/>
      <c r="RRO207"/>
      <c r="RRP207"/>
      <c r="RRQ207"/>
      <c r="RRR207"/>
      <c r="RRS207"/>
      <c r="RRT207"/>
      <c r="RRU207"/>
      <c r="RRV207"/>
      <c r="RRW207"/>
      <c r="RRX207"/>
      <c r="RRY207"/>
      <c r="RRZ207"/>
      <c r="RSA207"/>
      <c r="RSB207"/>
      <c r="RSC207"/>
      <c r="RSD207"/>
      <c r="RSE207"/>
      <c r="RSF207"/>
      <c r="RSG207"/>
      <c r="RSH207"/>
      <c r="RSI207"/>
      <c r="RSJ207"/>
      <c r="RSK207"/>
      <c r="RSL207"/>
      <c r="RSM207"/>
      <c r="RSN207"/>
      <c r="RSO207"/>
      <c r="RSP207"/>
      <c r="RSQ207"/>
      <c r="RSR207"/>
      <c r="RSS207"/>
      <c r="RST207"/>
      <c r="RSU207"/>
      <c r="RSV207"/>
      <c r="RSW207"/>
      <c r="RSX207"/>
      <c r="RSY207"/>
      <c r="RSZ207"/>
      <c r="RTA207"/>
      <c r="RTB207"/>
      <c r="RTC207"/>
      <c r="RTD207"/>
      <c r="RTE207"/>
      <c r="RTF207"/>
      <c r="RTG207"/>
      <c r="RTH207"/>
      <c r="RTI207"/>
      <c r="RTJ207"/>
      <c r="RTK207"/>
      <c r="RTL207"/>
      <c r="RTM207"/>
      <c r="RTN207"/>
      <c r="RTO207"/>
      <c r="RTP207"/>
      <c r="RTQ207"/>
      <c r="RTR207"/>
      <c r="RTS207"/>
      <c r="RTT207"/>
      <c r="RTU207"/>
      <c r="RTV207"/>
      <c r="RTW207"/>
      <c r="RTX207"/>
      <c r="RTY207"/>
      <c r="RTZ207"/>
      <c r="RUA207"/>
      <c r="RUB207"/>
      <c r="RUC207"/>
      <c r="RUD207"/>
      <c r="RUE207"/>
      <c r="RUF207"/>
      <c r="RUG207"/>
      <c r="RUH207"/>
      <c r="RUI207"/>
      <c r="RUJ207"/>
      <c r="RUK207"/>
      <c r="RUL207"/>
      <c r="RUM207"/>
      <c r="RUN207"/>
      <c r="RUO207"/>
      <c r="RUP207"/>
      <c r="RUQ207"/>
      <c r="RUR207"/>
      <c r="RUS207"/>
      <c r="RUT207"/>
      <c r="RUU207"/>
      <c r="RUV207"/>
      <c r="RUW207"/>
      <c r="RUX207"/>
      <c r="RUY207"/>
      <c r="RUZ207"/>
      <c r="RVA207"/>
      <c r="RVB207"/>
      <c r="RVC207"/>
      <c r="RVD207"/>
      <c r="RVE207"/>
      <c r="RVF207"/>
      <c r="RVG207"/>
      <c r="RVH207"/>
      <c r="RVI207"/>
      <c r="RVJ207"/>
      <c r="RVK207"/>
      <c r="RVL207"/>
      <c r="RVM207"/>
      <c r="RVN207"/>
      <c r="RVO207"/>
      <c r="RVP207"/>
      <c r="RVQ207"/>
      <c r="RVR207"/>
      <c r="RVS207"/>
      <c r="RVT207"/>
      <c r="RVU207"/>
      <c r="RVV207"/>
      <c r="RVW207"/>
      <c r="RVX207"/>
      <c r="RVY207"/>
      <c r="RVZ207"/>
      <c r="RWA207"/>
      <c r="RWB207"/>
      <c r="RWC207"/>
      <c r="RWD207"/>
      <c r="RWE207"/>
      <c r="RWF207"/>
      <c r="RWG207"/>
      <c r="RWH207"/>
      <c r="RWI207"/>
      <c r="RWJ207"/>
      <c r="RWK207"/>
      <c r="RWL207"/>
      <c r="RWM207"/>
      <c r="RWN207"/>
      <c r="RWO207"/>
      <c r="RWP207"/>
      <c r="RWQ207"/>
      <c r="RWR207"/>
      <c r="RWS207"/>
      <c r="RWT207"/>
      <c r="RWU207"/>
      <c r="RWV207"/>
      <c r="RWW207"/>
      <c r="RWX207"/>
      <c r="RWY207"/>
      <c r="RWZ207"/>
      <c r="RXA207"/>
      <c r="RXB207"/>
      <c r="RXC207"/>
      <c r="RXD207"/>
      <c r="RXE207"/>
      <c r="RXF207"/>
      <c r="RXG207"/>
      <c r="RXH207"/>
      <c r="RXI207"/>
      <c r="RXJ207"/>
      <c r="RXK207"/>
      <c r="RXL207"/>
      <c r="RXM207"/>
      <c r="RXN207"/>
      <c r="RXO207"/>
      <c r="RXP207"/>
      <c r="RXQ207"/>
      <c r="RXR207"/>
      <c r="RXS207"/>
      <c r="RXT207"/>
      <c r="RXU207"/>
      <c r="RXV207"/>
      <c r="RXW207"/>
      <c r="RXX207"/>
      <c r="RXY207"/>
      <c r="RXZ207"/>
      <c r="RYA207"/>
      <c r="RYB207"/>
      <c r="RYC207"/>
      <c r="RYD207"/>
      <c r="RYE207"/>
      <c r="RYF207"/>
      <c r="RYG207"/>
      <c r="RYH207"/>
      <c r="RYI207"/>
      <c r="RYJ207"/>
      <c r="RYK207"/>
      <c r="RYL207"/>
      <c r="RYM207"/>
      <c r="RYN207"/>
      <c r="RYO207"/>
      <c r="RYP207"/>
      <c r="RYQ207"/>
      <c r="RYR207"/>
      <c r="RYS207"/>
      <c r="RYT207"/>
      <c r="RYU207"/>
      <c r="RYV207"/>
      <c r="RYW207"/>
      <c r="RYX207"/>
      <c r="RYY207"/>
      <c r="RYZ207"/>
      <c r="RZA207"/>
      <c r="RZB207"/>
      <c r="RZC207"/>
      <c r="RZD207"/>
      <c r="RZE207"/>
      <c r="RZF207"/>
      <c r="RZG207"/>
      <c r="RZH207"/>
      <c r="RZI207"/>
      <c r="RZJ207"/>
      <c r="RZK207"/>
      <c r="RZL207"/>
      <c r="RZM207"/>
      <c r="RZN207"/>
      <c r="RZO207"/>
      <c r="RZP207"/>
      <c r="RZQ207"/>
      <c r="RZR207"/>
      <c r="RZS207"/>
      <c r="RZT207"/>
      <c r="RZU207"/>
      <c r="RZV207"/>
      <c r="RZW207"/>
      <c r="RZX207"/>
      <c r="RZY207"/>
      <c r="RZZ207"/>
      <c r="SAA207"/>
      <c r="SAB207"/>
      <c r="SAC207"/>
      <c r="SAD207"/>
      <c r="SAE207"/>
      <c r="SAF207"/>
      <c r="SAG207"/>
      <c r="SAH207"/>
      <c r="SAI207"/>
      <c r="SAJ207"/>
      <c r="SAK207"/>
      <c r="SAL207"/>
      <c r="SAM207"/>
      <c r="SAN207"/>
      <c r="SAO207"/>
      <c r="SAP207"/>
      <c r="SAQ207"/>
      <c r="SAR207"/>
      <c r="SAS207"/>
      <c r="SAT207"/>
      <c r="SAU207"/>
      <c r="SAV207"/>
      <c r="SAW207"/>
      <c r="SAX207"/>
      <c r="SAY207"/>
      <c r="SAZ207"/>
      <c r="SBA207"/>
      <c r="SBB207"/>
      <c r="SBC207"/>
      <c r="SBD207"/>
      <c r="SBE207"/>
      <c r="SBF207"/>
      <c r="SBG207"/>
      <c r="SBH207"/>
      <c r="SBI207"/>
      <c r="SBJ207"/>
      <c r="SBK207"/>
      <c r="SBL207"/>
      <c r="SBM207"/>
      <c r="SBN207"/>
      <c r="SBO207"/>
      <c r="SBP207"/>
      <c r="SBQ207"/>
      <c r="SBR207"/>
      <c r="SBS207"/>
      <c r="SBT207"/>
      <c r="SBU207"/>
      <c r="SBV207"/>
      <c r="SBW207"/>
      <c r="SBX207"/>
      <c r="SBY207"/>
      <c r="SBZ207"/>
      <c r="SCA207"/>
      <c r="SCB207"/>
      <c r="SCC207"/>
      <c r="SCD207"/>
      <c r="SCE207"/>
      <c r="SCF207"/>
      <c r="SCG207"/>
      <c r="SCH207"/>
      <c r="SCI207"/>
      <c r="SCJ207"/>
      <c r="SCK207"/>
      <c r="SCL207"/>
      <c r="SCM207"/>
      <c r="SCN207"/>
      <c r="SCO207"/>
      <c r="SCP207"/>
      <c r="SCQ207"/>
      <c r="SCR207"/>
      <c r="SCS207"/>
      <c r="SCT207"/>
      <c r="SCU207"/>
      <c r="SCV207"/>
      <c r="SCW207"/>
      <c r="SCX207"/>
      <c r="SCY207"/>
      <c r="SCZ207"/>
      <c r="SDA207"/>
      <c r="SDB207"/>
      <c r="SDC207"/>
      <c r="SDD207"/>
      <c r="SDE207"/>
      <c r="SDF207"/>
      <c r="SDG207"/>
      <c r="SDH207"/>
      <c r="SDI207"/>
      <c r="SDJ207"/>
      <c r="SDK207"/>
      <c r="SDL207"/>
      <c r="SDM207"/>
      <c r="SDN207"/>
      <c r="SDO207"/>
      <c r="SDP207"/>
      <c r="SDQ207"/>
      <c r="SDR207"/>
      <c r="SDS207"/>
      <c r="SDT207"/>
      <c r="SDU207"/>
      <c r="SDV207"/>
      <c r="SDW207"/>
      <c r="SDX207"/>
      <c r="SDY207"/>
      <c r="SDZ207"/>
      <c r="SEA207"/>
      <c r="SEB207"/>
      <c r="SEC207"/>
      <c r="SED207"/>
      <c r="SEE207"/>
      <c r="SEF207"/>
      <c r="SEG207"/>
      <c r="SEH207"/>
      <c r="SEI207"/>
      <c r="SEJ207"/>
      <c r="SEK207"/>
      <c r="SEL207"/>
      <c r="SEM207"/>
      <c r="SEN207"/>
      <c r="SEO207"/>
      <c r="SEP207"/>
      <c r="SEQ207"/>
      <c r="SER207"/>
      <c r="SES207"/>
      <c r="SET207"/>
      <c r="SEU207"/>
      <c r="SEV207"/>
      <c r="SEW207"/>
      <c r="SEX207"/>
      <c r="SEY207"/>
      <c r="SEZ207"/>
      <c r="SFA207"/>
      <c r="SFB207"/>
      <c r="SFC207"/>
      <c r="SFD207"/>
      <c r="SFE207"/>
      <c r="SFF207"/>
      <c r="SFG207"/>
      <c r="SFH207"/>
      <c r="SFI207"/>
      <c r="SFJ207"/>
      <c r="SFK207"/>
      <c r="SFL207"/>
      <c r="SFM207"/>
      <c r="SFN207"/>
      <c r="SFO207"/>
      <c r="SFP207"/>
      <c r="SFQ207"/>
      <c r="SFR207"/>
      <c r="SFS207"/>
      <c r="SFT207"/>
      <c r="SFU207"/>
      <c r="SFV207"/>
      <c r="SFW207"/>
      <c r="SFX207"/>
      <c r="SFY207"/>
      <c r="SFZ207"/>
      <c r="SGA207"/>
      <c r="SGB207"/>
      <c r="SGC207"/>
      <c r="SGD207"/>
      <c r="SGE207"/>
      <c r="SGF207"/>
      <c r="SGG207"/>
      <c r="SGH207"/>
      <c r="SGI207"/>
      <c r="SGJ207"/>
      <c r="SGK207"/>
      <c r="SGL207"/>
      <c r="SGM207"/>
      <c r="SGN207"/>
      <c r="SGO207"/>
      <c r="SGP207"/>
      <c r="SGQ207"/>
      <c r="SGR207"/>
      <c r="SGS207"/>
      <c r="SGT207"/>
      <c r="SGU207"/>
      <c r="SGV207"/>
      <c r="SGW207"/>
      <c r="SGX207"/>
      <c r="SGY207"/>
      <c r="SGZ207"/>
      <c r="SHA207"/>
      <c r="SHB207"/>
      <c r="SHC207"/>
      <c r="SHD207"/>
      <c r="SHE207"/>
      <c r="SHF207"/>
      <c r="SHG207"/>
      <c r="SHH207"/>
      <c r="SHI207"/>
      <c r="SHJ207"/>
      <c r="SHK207"/>
      <c r="SHL207"/>
      <c r="SHM207"/>
      <c r="SHN207"/>
      <c r="SHO207"/>
      <c r="SHP207"/>
      <c r="SHQ207"/>
      <c r="SHR207"/>
      <c r="SHS207"/>
      <c r="SHT207"/>
      <c r="SHU207"/>
      <c r="SHV207"/>
      <c r="SHW207"/>
      <c r="SHX207"/>
      <c r="SHY207"/>
      <c r="SHZ207"/>
      <c r="SIA207"/>
      <c r="SIB207"/>
      <c r="SIC207"/>
      <c r="SID207"/>
      <c r="SIE207"/>
      <c r="SIF207"/>
      <c r="SIG207"/>
      <c r="SIH207"/>
      <c r="SII207"/>
      <c r="SIJ207"/>
      <c r="SIK207"/>
      <c r="SIL207"/>
      <c r="SIM207"/>
      <c r="SIN207"/>
      <c r="SIO207"/>
      <c r="SIP207"/>
      <c r="SIQ207"/>
      <c r="SIR207"/>
      <c r="SIS207"/>
      <c r="SIT207"/>
      <c r="SIU207"/>
      <c r="SIV207"/>
      <c r="SIW207"/>
      <c r="SIX207"/>
      <c r="SIY207"/>
      <c r="SIZ207"/>
      <c r="SJA207"/>
      <c r="SJB207"/>
      <c r="SJC207"/>
      <c r="SJD207"/>
      <c r="SJE207"/>
      <c r="SJF207"/>
      <c r="SJG207"/>
      <c r="SJH207"/>
      <c r="SJI207"/>
      <c r="SJJ207"/>
      <c r="SJK207"/>
      <c r="SJL207"/>
      <c r="SJM207"/>
      <c r="SJN207"/>
      <c r="SJO207"/>
      <c r="SJP207"/>
      <c r="SJQ207"/>
      <c r="SJR207"/>
      <c r="SJS207"/>
      <c r="SJT207"/>
      <c r="SJU207"/>
      <c r="SJV207"/>
      <c r="SJW207"/>
      <c r="SJX207"/>
      <c r="SJY207"/>
      <c r="SJZ207"/>
      <c r="SKA207"/>
      <c r="SKB207"/>
      <c r="SKC207"/>
      <c r="SKD207"/>
      <c r="SKE207"/>
      <c r="SKF207"/>
      <c r="SKG207"/>
      <c r="SKH207"/>
      <c r="SKI207"/>
      <c r="SKJ207"/>
      <c r="SKK207"/>
      <c r="SKL207"/>
      <c r="SKM207"/>
      <c r="SKN207"/>
      <c r="SKO207"/>
      <c r="SKP207"/>
      <c r="SKQ207"/>
      <c r="SKR207"/>
      <c r="SKS207"/>
      <c r="SKT207"/>
      <c r="SKU207"/>
      <c r="SKV207"/>
      <c r="SKW207"/>
      <c r="SKX207"/>
      <c r="SKY207"/>
      <c r="SKZ207"/>
      <c r="SLA207"/>
      <c r="SLB207"/>
      <c r="SLC207"/>
      <c r="SLD207"/>
      <c r="SLE207"/>
      <c r="SLF207"/>
      <c r="SLG207"/>
      <c r="SLH207"/>
      <c r="SLI207"/>
      <c r="SLJ207"/>
      <c r="SLK207"/>
      <c r="SLL207"/>
      <c r="SLM207"/>
      <c r="SLN207"/>
      <c r="SLO207"/>
      <c r="SLP207"/>
      <c r="SLQ207"/>
      <c r="SLR207"/>
      <c r="SLS207"/>
      <c r="SLT207"/>
      <c r="SLU207"/>
      <c r="SLV207"/>
      <c r="SLW207"/>
      <c r="SLX207"/>
      <c r="SLY207"/>
      <c r="SLZ207"/>
      <c r="SMA207"/>
      <c r="SMB207"/>
      <c r="SMC207"/>
      <c r="SMD207"/>
      <c r="SME207"/>
      <c r="SMF207"/>
      <c r="SMG207"/>
      <c r="SMH207"/>
      <c r="SMI207"/>
      <c r="SMJ207"/>
      <c r="SMK207"/>
      <c r="SML207"/>
      <c r="SMM207"/>
      <c r="SMN207"/>
      <c r="SMO207"/>
      <c r="SMP207"/>
      <c r="SMQ207"/>
      <c r="SMR207"/>
      <c r="SMS207"/>
      <c r="SMT207"/>
      <c r="SMU207"/>
      <c r="SMV207"/>
      <c r="SMW207"/>
      <c r="SMX207"/>
      <c r="SMY207"/>
      <c r="SMZ207"/>
      <c r="SNA207"/>
      <c r="SNB207"/>
      <c r="SNC207"/>
      <c r="SND207"/>
      <c r="SNE207"/>
      <c r="SNF207"/>
      <c r="SNG207"/>
      <c r="SNH207"/>
      <c r="SNI207"/>
      <c r="SNJ207"/>
      <c r="SNK207"/>
      <c r="SNL207"/>
      <c r="SNM207"/>
      <c r="SNN207"/>
      <c r="SNO207"/>
      <c r="SNP207"/>
      <c r="SNQ207"/>
      <c r="SNR207"/>
      <c r="SNS207"/>
      <c r="SNT207"/>
      <c r="SNU207"/>
      <c r="SNV207"/>
      <c r="SNW207"/>
      <c r="SNX207"/>
      <c r="SNY207"/>
      <c r="SNZ207"/>
      <c r="SOA207"/>
      <c r="SOB207"/>
      <c r="SOC207"/>
      <c r="SOD207"/>
      <c r="SOE207"/>
      <c r="SOF207"/>
      <c r="SOG207"/>
      <c r="SOH207"/>
      <c r="SOI207"/>
      <c r="SOJ207"/>
      <c r="SOK207"/>
      <c r="SOL207"/>
      <c r="SOM207"/>
      <c r="SON207"/>
      <c r="SOO207"/>
      <c r="SOP207"/>
      <c r="SOQ207"/>
      <c r="SOR207"/>
      <c r="SOS207"/>
      <c r="SOT207"/>
      <c r="SOU207"/>
      <c r="SOV207"/>
      <c r="SOW207"/>
      <c r="SOX207"/>
      <c r="SOY207"/>
      <c r="SOZ207"/>
      <c r="SPA207"/>
      <c r="SPB207"/>
      <c r="SPC207"/>
      <c r="SPD207"/>
      <c r="SPE207"/>
      <c r="SPF207"/>
      <c r="SPG207"/>
      <c r="SPH207"/>
      <c r="SPI207"/>
      <c r="SPJ207"/>
      <c r="SPK207"/>
      <c r="SPL207"/>
      <c r="SPM207"/>
      <c r="SPN207"/>
      <c r="SPO207"/>
      <c r="SPP207"/>
      <c r="SPQ207"/>
      <c r="SPR207"/>
      <c r="SPS207"/>
      <c r="SPT207"/>
      <c r="SPU207"/>
      <c r="SPV207"/>
      <c r="SPW207"/>
      <c r="SPX207"/>
      <c r="SPY207"/>
      <c r="SPZ207"/>
      <c r="SQA207"/>
      <c r="SQB207"/>
      <c r="SQC207"/>
      <c r="SQD207"/>
      <c r="SQE207"/>
      <c r="SQF207"/>
      <c r="SQG207"/>
      <c r="SQH207"/>
      <c r="SQI207"/>
      <c r="SQJ207"/>
      <c r="SQK207"/>
      <c r="SQL207"/>
      <c r="SQM207"/>
      <c r="SQN207"/>
      <c r="SQO207"/>
      <c r="SQP207"/>
      <c r="SQQ207"/>
      <c r="SQR207"/>
      <c r="SQS207"/>
      <c r="SQT207"/>
      <c r="SQU207"/>
      <c r="SQV207"/>
      <c r="SQW207"/>
      <c r="SQX207"/>
      <c r="SQY207"/>
      <c r="SQZ207"/>
      <c r="SRA207"/>
      <c r="SRB207"/>
      <c r="SRC207"/>
      <c r="SRD207"/>
      <c r="SRE207"/>
      <c r="SRF207"/>
      <c r="SRG207"/>
      <c r="SRH207"/>
      <c r="SRI207"/>
      <c r="SRJ207"/>
      <c r="SRK207"/>
      <c r="SRL207"/>
      <c r="SRM207"/>
      <c r="SRN207"/>
      <c r="SRO207"/>
      <c r="SRP207"/>
      <c r="SRQ207"/>
      <c r="SRR207"/>
      <c r="SRS207"/>
      <c r="SRT207"/>
      <c r="SRU207"/>
      <c r="SRV207"/>
      <c r="SRW207"/>
      <c r="SRX207"/>
      <c r="SRY207"/>
      <c r="SRZ207"/>
      <c r="SSA207"/>
      <c r="SSB207"/>
      <c r="SSC207"/>
      <c r="SSD207"/>
      <c r="SSE207"/>
      <c r="SSF207"/>
      <c r="SSG207"/>
      <c r="SSH207"/>
      <c r="SSI207"/>
      <c r="SSJ207"/>
      <c r="SSK207"/>
      <c r="SSL207"/>
      <c r="SSM207"/>
      <c r="SSN207"/>
      <c r="SSO207"/>
      <c r="SSP207"/>
      <c r="SSQ207"/>
      <c r="SSR207"/>
      <c r="SSS207"/>
      <c r="SST207"/>
      <c r="SSU207"/>
      <c r="SSV207"/>
      <c r="SSW207"/>
      <c r="SSX207"/>
      <c r="SSY207"/>
      <c r="SSZ207"/>
      <c r="STA207"/>
      <c r="STB207"/>
      <c r="STC207"/>
      <c r="STD207"/>
      <c r="STE207"/>
      <c r="STF207"/>
      <c r="STG207"/>
      <c r="STH207"/>
      <c r="STI207"/>
      <c r="STJ207"/>
      <c r="STK207"/>
      <c r="STL207"/>
      <c r="STM207"/>
      <c r="STN207"/>
      <c r="STO207"/>
      <c r="STP207"/>
      <c r="STQ207"/>
      <c r="STR207"/>
      <c r="STS207"/>
      <c r="STT207"/>
      <c r="STU207"/>
      <c r="STV207"/>
      <c r="STW207"/>
      <c r="STX207"/>
      <c r="STY207"/>
      <c r="STZ207"/>
      <c r="SUA207"/>
      <c r="SUB207"/>
      <c r="SUC207"/>
      <c r="SUD207"/>
      <c r="SUE207"/>
      <c r="SUF207"/>
      <c r="SUG207"/>
      <c r="SUH207"/>
      <c r="SUI207"/>
      <c r="SUJ207"/>
      <c r="SUK207"/>
      <c r="SUL207"/>
      <c r="SUM207"/>
      <c r="SUN207"/>
      <c r="SUO207"/>
      <c r="SUP207"/>
      <c r="SUQ207"/>
      <c r="SUR207"/>
      <c r="SUS207"/>
      <c r="SUT207"/>
      <c r="SUU207"/>
      <c r="SUV207"/>
      <c r="SUW207"/>
      <c r="SUX207"/>
      <c r="SUY207"/>
      <c r="SUZ207"/>
      <c r="SVA207"/>
      <c r="SVB207"/>
      <c r="SVC207"/>
      <c r="SVD207"/>
      <c r="SVE207"/>
      <c r="SVF207"/>
      <c r="SVG207"/>
      <c r="SVH207"/>
      <c r="SVI207"/>
      <c r="SVJ207"/>
      <c r="SVK207"/>
      <c r="SVL207"/>
      <c r="SVM207"/>
      <c r="SVN207"/>
      <c r="SVO207"/>
      <c r="SVP207"/>
      <c r="SVQ207"/>
      <c r="SVR207"/>
      <c r="SVS207"/>
      <c r="SVT207"/>
      <c r="SVU207"/>
      <c r="SVV207"/>
      <c r="SVW207"/>
      <c r="SVX207"/>
      <c r="SVY207"/>
      <c r="SVZ207"/>
      <c r="SWA207"/>
      <c r="SWB207"/>
      <c r="SWC207"/>
      <c r="SWD207"/>
      <c r="SWE207"/>
      <c r="SWF207"/>
      <c r="SWG207"/>
      <c r="SWH207"/>
      <c r="SWI207"/>
      <c r="SWJ207"/>
      <c r="SWK207"/>
      <c r="SWL207"/>
      <c r="SWM207"/>
      <c r="SWN207"/>
      <c r="SWO207"/>
      <c r="SWP207"/>
      <c r="SWQ207"/>
      <c r="SWR207"/>
      <c r="SWS207"/>
      <c r="SWT207"/>
      <c r="SWU207"/>
      <c r="SWV207"/>
      <c r="SWW207"/>
      <c r="SWX207"/>
      <c r="SWY207"/>
      <c r="SWZ207"/>
      <c r="SXA207"/>
      <c r="SXB207"/>
      <c r="SXC207"/>
      <c r="SXD207"/>
      <c r="SXE207"/>
      <c r="SXF207"/>
      <c r="SXG207"/>
      <c r="SXH207"/>
      <c r="SXI207"/>
      <c r="SXJ207"/>
      <c r="SXK207"/>
      <c r="SXL207"/>
      <c r="SXM207"/>
      <c r="SXN207"/>
      <c r="SXO207"/>
      <c r="SXP207"/>
      <c r="SXQ207"/>
      <c r="SXR207"/>
      <c r="SXS207"/>
      <c r="SXT207"/>
      <c r="SXU207"/>
      <c r="SXV207"/>
      <c r="SXW207"/>
      <c r="SXX207"/>
      <c r="SXY207"/>
      <c r="SXZ207"/>
      <c r="SYA207"/>
      <c r="SYB207"/>
      <c r="SYC207"/>
      <c r="SYD207"/>
      <c r="SYE207"/>
      <c r="SYF207"/>
      <c r="SYG207"/>
      <c r="SYH207"/>
      <c r="SYI207"/>
      <c r="SYJ207"/>
      <c r="SYK207"/>
      <c r="SYL207"/>
      <c r="SYM207"/>
      <c r="SYN207"/>
      <c r="SYO207"/>
      <c r="SYP207"/>
      <c r="SYQ207"/>
      <c r="SYR207"/>
      <c r="SYS207"/>
      <c r="SYT207"/>
      <c r="SYU207"/>
      <c r="SYV207"/>
      <c r="SYW207"/>
      <c r="SYX207"/>
      <c r="SYY207"/>
      <c r="SYZ207"/>
      <c r="SZA207"/>
      <c r="SZB207"/>
      <c r="SZC207"/>
      <c r="SZD207"/>
      <c r="SZE207"/>
      <c r="SZF207"/>
      <c r="SZG207"/>
      <c r="SZH207"/>
      <c r="SZI207"/>
      <c r="SZJ207"/>
      <c r="SZK207"/>
      <c r="SZL207"/>
      <c r="SZM207"/>
      <c r="SZN207"/>
      <c r="SZO207"/>
      <c r="SZP207"/>
      <c r="SZQ207"/>
      <c r="SZR207"/>
      <c r="SZS207"/>
      <c r="SZT207"/>
      <c r="SZU207"/>
      <c r="SZV207"/>
      <c r="SZW207"/>
      <c r="SZX207"/>
      <c r="SZY207"/>
      <c r="SZZ207"/>
      <c r="TAA207"/>
      <c r="TAB207"/>
      <c r="TAC207"/>
      <c r="TAD207"/>
      <c r="TAE207"/>
      <c r="TAF207"/>
      <c r="TAG207"/>
      <c r="TAH207"/>
      <c r="TAI207"/>
      <c r="TAJ207"/>
      <c r="TAK207"/>
      <c r="TAL207"/>
      <c r="TAM207"/>
      <c r="TAN207"/>
      <c r="TAO207"/>
      <c r="TAP207"/>
      <c r="TAQ207"/>
      <c r="TAR207"/>
      <c r="TAS207"/>
      <c r="TAT207"/>
      <c r="TAU207"/>
      <c r="TAV207"/>
      <c r="TAW207"/>
      <c r="TAX207"/>
      <c r="TAY207"/>
      <c r="TAZ207"/>
      <c r="TBA207"/>
      <c r="TBB207"/>
      <c r="TBC207"/>
      <c r="TBD207"/>
      <c r="TBE207"/>
      <c r="TBF207"/>
      <c r="TBG207"/>
      <c r="TBH207"/>
      <c r="TBI207"/>
      <c r="TBJ207"/>
      <c r="TBK207"/>
      <c r="TBL207"/>
      <c r="TBM207"/>
      <c r="TBN207"/>
      <c r="TBO207"/>
      <c r="TBP207"/>
      <c r="TBQ207"/>
      <c r="TBR207"/>
      <c r="TBS207"/>
      <c r="TBT207"/>
      <c r="TBU207"/>
      <c r="TBV207"/>
      <c r="TBW207"/>
      <c r="TBX207"/>
      <c r="TBY207"/>
      <c r="TBZ207"/>
      <c r="TCA207"/>
      <c r="TCB207"/>
      <c r="TCC207"/>
      <c r="TCD207"/>
      <c r="TCE207"/>
      <c r="TCF207"/>
      <c r="TCG207"/>
      <c r="TCH207"/>
      <c r="TCI207"/>
      <c r="TCJ207"/>
      <c r="TCK207"/>
      <c r="TCL207"/>
      <c r="TCM207"/>
      <c r="TCN207"/>
      <c r="TCO207"/>
      <c r="TCP207"/>
      <c r="TCQ207"/>
      <c r="TCR207"/>
      <c r="TCS207"/>
      <c r="TCT207"/>
      <c r="TCU207"/>
      <c r="TCV207"/>
      <c r="TCW207"/>
      <c r="TCX207"/>
      <c r="TCY207"/>
      <c r="TCZ207"/>
      <c r="TDA207"/>
      <c r="TDB207"/>
      <c r="TDC207"/>
      <c r="TDD207"/>
      <c r="TDE207"/>
      <c r="TDF207"/>
      <c r="TDG207"/>
      <c r="TDH207"/>
      <c r="TDI207"/>
      <c r="TDJ207"/>
      <c r="TDK207"/>
      <c r="TDL207"/>
      <c r="TDM207"/>
      <c r="TDN207"/>
      <c r="TDO207"/>
      <c r="TDP207"/>
      <c r="TDQ207"/>
      <c r="TDR207"/>
      <c r="TDS207"/>
      <c r="TDT207"/>
      <c r="TDU207"/>
      <c r="TDV207"/>
      <c r="TDW207"/>
      <c r="TDX207"/>
      <c r="TDY207"/>
      <c r="TDZ207"/>
      <c r="TEA207"/>
      <c r="TEB207"/>
      <c r="TEC207"/>
      <c r="TED207"/>
      <c r="TEE207"/>
      <c r="TEF207"/>
      <c r="TEG207"/>
      <c r="TEH207"/>
      <c r="TEI207"/>
      <c r="TEJ207"/>
      <c r="TEK207"/>
      <c r="TEL207"/>
      <c r="TEM207"/>
      <c r="TEN207"/>
      <c r="TEO207"/>
      <c r="TEP207"/>
      <c r="TEQ207"/>
      <c r="TER207"/>
      <c r="TES207"/>
      <c r="TET207"/>
      <c r="TEU207"/>
      <c r="TEV207"/>
      <c r="TEW207"/>
      <c r="TEX207"/>
      <c r="TEY207"/>
      <c r="TEZ207"/>
      <c r="TFA207"/>
      <c r="TFB207"/>
      <c r="TFC207"/>
      <c r="TFD207"/>
      <c r="TFE207"/>
      <c r="TFF207"/>
      <c r="TFG207"/>
      <c r="TFH207"/>
      <c r="TFI207"/>
      <c r="TFJ207"/>
      <c r="TFK207"/>
      <c r="TFL207"/>
      <c r="TFM207"/>
      <c r="TFN207"/>
      <c r="TFO207"/>
      <c r="TFP207"/>
      <c r="TFQ207"/>
      <c r="TFR207"/>
      <c r="TFS207"/>
      <c r="TFT207"/>
      <c r="TFU207"/>
      <c r="TFV207"/>
      <c r="TFW207"/>
      <c r="TFX207"/>
      <c r="TFY207"/>
      <c r="TFZ207"/>
      <c r="TGA207"/>
      <c r="TGB207"/>
      <c r="TGC207"/>
      <c r="TGD207"/>
      <c r="TGE207"/>
      <c r="TGF207"/>
      <c r="TGG207"/>
      <c r="TGH207"/>
      <c r="TGI207"/>
      <c r="TGJ207"/>
      <c r="TGK207"/>
      <c r="TGL207"/>
      <c r="TGM207"/>
      <c r="TGN207"/>
      <c r="TGO207"/>
      <c r="TGP207"/>
      <c r="TGQ207"/>
      <c r="TGR207"/>
      <c r="TGS207"/>
      <c r="TGT207"/>
      <c r="TGU207"/>
      <c r="TGV207"/>
      <c r="TGW207"/>
      <c r="TGX207"/>
      <c r="TGY207"/>
      <c r="TGZ207"/>
      <c r="THA207"/>
      <c r="THB207"/>
      <c r="THC207"/>
      <c r="THD207"/>
      <c r="THE207"/>
      <c r="THF207"/>
      <c r="THG207"/>
      <c r="THH207"/>
      <c r="THI207"/>
      <c r="THJ207"/>
      <c r="THK207"/>
      <c r="THL207"/>
      <c r="THM207"/>
      <c r="THN207"/>
      <c r="THO207"/>
      <c r="THP207"/>
      <c r="THQ207"/>
      <c r="THR207"/>
      <c r="THS207"/>
      <c r="THT207"/>
      <c r="THU207"/>
      <c r="THV207"/>
      <c r="THW207"/>
      <c r="THX207"/>
      <c r="THY207"/>
      <c r="THZ207"/>
      <c r="TIA207"/>
      <c r="TIB207"/>
      <c r="TIC207"/>
      <c r="TID207"/>
      <c r="TIE207"/>
      <c r="TIF207"/>
      <c r="TIG207"/>
      <c r="TIH207"/>
      <c r="TII207"/>
      <c r="TIJ207"/>
      <c r="TIK207"/>
      <c r="TIL207"/>
      <c r="TIM207"/>
      <c r="TIN207"/>
      <c r="TIO207"/>
      <c r="TIP207"/>
      <c r="TIQ207"/>
      <c r="TIR207"/>
      <c r="TIS207"/>
      <c r="TIT207"/>
      <c r="TIU207"/>
      <c r="TIV207"/>
      <c r="TIW207"/>
      <c r="TIX207"/>
      <c r="TIY207"/>
      <c r="TIZ207"/>
      <c r="TJA207"/>
      <c r="TJB207"/>
      <c r="TJC207"/>
      <c r="TJD207"/>
      <c r="TJE207"/>
      <c r="TJF207"/>
      <c r="TJG207"/>
      <c r="TJH207"/>
      <c r="TJI207"/>
      <c r="TJJ207"/>
      <c r="TJK207"/>
      <c r="TJL207"/>
      <c r="TJM207"/>
      <c r="TJN207"/>
      <c r="TJO207"/>
      <c r="TJP207"/>
      <c r="TJQ207"/>
      <c r="TJR207"/>
      <c r="TJS207"/>
      <c r="TJT207"/>
      <c r="TJU207"/>
      <c r="TJV207"/>
      <c r="TJW207"/>
      <c r="TJX207"/>
      <c r="TJY207"/>
      <c r="TJZ207"/>
      <c r="TKA207"/>
      <c r="TKB207"/>
      <c r="TKC207"/>
      <c r="TKD207"/>
      <c r="TKE207"/>
      <c r="TKF207"/>
      <c r="TKG207"/>
      <c r="TKH207"/>
      <c r="TKI207"/>
      <c r="TKJ207"/>
      <c r="TKK207"/>
      <c r="TKL207"/>
      <c r="TKM207"/>
      <c r="TKN207"/>
      <c r="TKO207"/>
      <c r="TKP207"/>
      <c r="TKQ207"/>
      <c r="TKR207"/>
      <c r="TKS207"/>
      <c r="TKT207"/>
      <c r="TKU207"/>
      <c r="TKV207"/>
      <c r="TKW207"/>
      <c r="TKX207"/>
      <c r="TKY207"/>
      <c r="TKZ207"/>
      <c r="TLA207"/>
      <c r="TLB207"/>
      <c r="TLC207"/>
      <c r="TLD207"/>
      <c r="TLE207"/>
      <c r="TLF207"/>
      <c r="TLG207"/>
      <c r="TLH207"/>
      <c r="TLI207"/>
      <c r="TLJ207"/>
      <c r="TLK207"/>
      <c r="TLL207"/>
      <c r="TLM207"/>
      <c r="TLN207"/>
      <c r="TLO207"/>
      <c r="TLP207"/>
      <c r="TLQ207"/>
      <c r="TLR207"/>
      <c r="TLS207"/>
      <c r="TLT207"/>
      <c r="TLU207"/>
      <c r="TLV207"/>
      <c r="TLW207"/>
      <c r="TLX207"/>
      <c r="TLY207"/>
      <c r="TLZ207"/>
      <c r="TMA207"/>
      <c r="TMB207"/>
      <c r="TMC207"/>
      <c r="TMD207"/>
      <c r="TME207"/>
      <c r="TMF207"/>
      <c r="TMG207"/>
      <c r="TMH207"/>
      <c r="TMI207"/>
      <c r="TMJ207"/>
      <c r="TMK207"/>
      <c r="TML207"/>
      <c r="TMM207"/>
      <c r="TMN207"/>
      <c r="TMO207"/>
      <c r="TMP207"/>
      <c r="TMQ207"/>
      <c r="TMR207"/>
      <c r="TMS207"/>
      <c r="TMT207"/>
      <c r="TMU207"/>
      <c r="TMV207"/>
      <c r="TMW207"/>
      <c r="TMX207"/>
      <c r="TMY207"/>
      <c r="TMZ207"/>
      <c r="TNA207"/>
      <c r="TNB207"/>
      <c r="TNC207"/>
      <c r="TND207"/>
      <c r="TNE207"/>
      <c r="TNF207"/>
      <c r="TNG207"/>
      <c r="TNH207"/>
      <c r="TNI207"/>
      <c r="TNJ207"/>
      <c r="TNK207"/>
      <c r="TNL207"/>
      <c r="TNM207"/>
      <c r="TNN207"/>
      <c r="TNO207"/>
      <c r="TNP207"/>
      <c r="TNQ207"/>
      <c r="TNR207"/>
      <c r="TNS207"/>
      <c r="TNT207"/>
      <c r="TNU207"/>
      <c r="TNV207"/>
      <c r="TNW207"/>
      <c r="TNX207"/>
      <c r="TNY207"/>
      <c r="TNZ207"/>
      <c r="TOA207"/>
      <c r="TOB207"/>
      <c r="TOC207"/>
      <c r="TOD207"/>
      <c r="TOE207"/>
      <c r="TOF207"/>
      <c r="TOG207"/>
      <c r="TOH207"/>
      <c r="TOI207"/>
      <c r="TOJ207"/>
      <c r="TOK207"/>
      <c r="TOL207"/>
      <c r="TOM207"/>
      <c r="TON207"/>
      <c r="TOO207"/>
      <c r="TOP207"/>
      <c r="TOQ207"/>
      <c r="TOR207"/>
      <c r="TOS207"/>
      <c r="TOT207"/>
      <c r="TOU207"/>
      <c r="TOV207"/>
      <c r="TOW207"/>
      <c r="TOX207"/>
      <c r="TOY207"/>
      <c r="TOZ207"/>
      <c r="TPA207"/>
      <c r="TPB207"/>
      <c r="TPC207"/>
      <c r="TPD207"/>
      <c r="TPE207"/>
      <c r="TPF207"/>
      <c r="TPG207"/>
      <c r="TPH207"/>
      <c r="TPI207"/>
      <c r="TPJ207"/>
      <c r="TPK207"/>
      <c r="TPL207"/>
      <c r="TPM207"/>
      <c r="TPN207"/>
      <c r="TPO207"/>
      <c r="TPP207"/>
      <c r="TPQ207"/>
      <c r="TPR207"/>
      <c r="TPS207"/>
      <c r="TPT207"/>
      <c r="TPU207"/>
      <c r="TPV207"/>
      <c r="TPW207"/>
      <c r="TPX207"/>
      <c r="TPY207"/>
      <c r="TPZ207"/>
      <c r="TQA207"/>
      <c r="TQB207"/>
      <c r="TQC207"/>
      <c r="TQD207"/>
      <c r="TQE207"/>
      <c r="TQF207"/>
      <c r="TQG207"/>
      <c r="TQH207"/>
      <c r="TQI207"/>
      <c r="TQJ207"/>
      <c r="TQK207"/>
      <c r="TQL207"/>
      <c r="TQM207"/>
      <c r="TQN207"/>
      <c r="TQO207"/>
      <c r="TQP207"/>
      <c r="TQQ207"/>
      <c r="TQR207"/>
      <c r="TQS207"/>
      <c r="TQT207"/>
      <c r="TQU207"/>
      <c r="TQV207"/>
      <c r="TQW207"/>
      <c r="TQX207"/>
      <c r="TQY207"/>
      <c r="TQZ207"/>
      <c r="TRA207"/>
      <c r="TRB207"/>
      <c r="TRC207"/>
      <c r="TRD207"/>
      <c r="TRE207"/>
      <c r="TRF207"/>
      <c r="TRG207"/>
      <c r="TRH207"/>
      <c r="TRI207"/>
      <c r="TRJ207"/>
      <c r="TRK207"/>
      <c r="TRL207"/>
      <c r="TRM207"/>
      <c r="TRN207"/>
      <c r="TRO207"/>
      <c r="TRP207"/>
      <c r="TRQ207"/>
      <c r="TRR207"/>
      <c r="TRS207"/>
      <c r="TRT207"/>
      <c r="TRU207"/>
      <c r="TRV207"/>
      <c r="TRW207"/>
      <c r="TRX207"/>
      <c r="TRY207"/>
      <c r="TRZ207"/>
      <c r="TSA207"/>
      <c r="TSB207"/>
      <c r="TSC207"/>
      <c r="TSD207"/>
      <c r="TSE207"/>
      <c r="TSF207"/>
      <c r="TSG207"/>
      <c r="TSH207"/>
      <c r="TSI207"/>
      <c r="TSJ207"/>
      <c r="TSK207"/>
      <c r="TSL207"/>
      <c r="TSM207"/>
      <c r="TSN207"/>
      <c r="TSO207"/>
      <c r="TSP207"/>
      <c r="TSQ207"/>
      <c r="TSR207"/>
      <c r="TSS207"/>
      <c r="TST207"/>
      <c r="TSU207"/>
      <c r="TSV207"/>
      <c r="TSW207"/>
      <c r="TSX207"/>
      <c r="TSY207"/>
      <c r="TSZ207"/>
      <c r="TTA207"/>
      <c r="TTB207"/>
      <c r="TTC207"/>
      <c r="TTD207"/>
      <c r="TTE207"/>
      <c r="TTF207"/>
      <c r="TTG207"/>
      <c r="TTH207"/>
      <c r="TTI207"/>
      <c r="TTJ207"/>
      <c r="TTK207"/>
      <c r="TTL207"/>
      <c r="TTM207"/>
      <c r="TTN207"/>
      <c r="TTO207"/>
      <c r="TTP207"/>
      <c r="TTQ207"/>
      <c r="TTR207"/>
      <c r="TTS207"/>
      <c r="TTT207"/>
      <c r="TTU207"/>
      <c r="TTV207"/>
      <c r="TTW207"/>
      <c r="TTX207"/>
      <c r="TTY207"/>
      <c r="TTZ207"/>
      <c r="TUA207"/>
      <c r="TUB207"/>
      <c r="TUC207"/>
      <c r="TUD207"/>
      <c r="TUE207"/>
      <c r="TUF207"/>
      <c r="TUG207"/>
      <c r="TUH207"/>
      <c r="TUI207"/>
      <c r="TUJ207"/>
      <c r="TUK207"/>
      <c r="TUL207"/>
      <c r="TUM207"/>
      <c r="TUN207"/>
      <c r="TUO207"/>
      <c r="TUP207"/>
      <c r="TUQ207"/>
      <c r="TUR207"/>
      <c r="TUS207"/>
      <c r="TUT207"/>
      <c r="TUU207"/>
      <c r="TUV207"/>
      <c r="TUW207"/>
      <c r="TUX207"/>
      <c r="TUY207"/>
      <c r="TUZ207"/>
      <c r="TVA207"/>
      <c r="TVB207"/>
      <c r="TVC207"/>
      <c r="TVD207"/>
      <c r="TVE207"/>
      <c r="TVF207"/>
      <c r="TVG207"/>
      <c r="TVH207"/>
      <c r="TVI207"/>
      <c r="TVJ207"/>
      <c r="TVK207"/>
      <c r="TVL207"/>
      <c r="TVM207"/>
      <c r="TVN207"/>
      <c r="TVO207"/>
      <c r="TVP207"/>
      <c r="TVQ207"/>
      <c r="TVR207"/>
      <c r="TVS207"/>
      <c r="TVT207"/>
      <c r="TVU207"/>
      <c r="TVV207"/>
      <c r="TVW207"/>
      <c r="TVX207"/>
      <c r="TVY207"/>
      <c r="TVZ207"/>
      <c r="TWA207"/>
      <c r="TWB207"/>
      <c r="TWC207"/>
      <c r="TWD207"/>
      <c r="TWE207"/>
      <c r="TWF207"/>
      <c r="TWG207"/>
      <c r="TWH207"/>
      <c r="TWI207"/>
      <c r="TWJ207"/>
      <c r="TWK207"/>
      <c r="TWL207"/>
      <c r="TWM207"/>
      <c r="TWN207"/>
      <c r="TWO207"/>
      <c r="TWP207"/>
      <c r="TWQ207"/>
      <c r="TWR207"/>
      <c r="TWS207"/>
      <c r="TWT207"/>
      <c r="TWU207"/>
      <c r="TWV207"/>
      <c r="TWW207"/>
      <c r="TWX207"/>
      <c r="TWY207"/>
      <c r="TWZ207"/>
      <c r="TXA207"/>
      <c r="TXB207"/>
      <c r="TXC207"/>
      <c r="TXD207"/>
      <c r="TXE207"/>
      <c r="TXF207"/>
      <c r="TXG207"/>
      <c r="TXH207"/>
      <c r="TXI207"/>
      <c r="TXJ207"/>
      <c r="TXK207"/>
      <c r="TXL207"/>
      <c r="TXM207"/>
      <c r="TXN207"/>
      <c r="TXO207"/>
      <c r="TXP207"/>
      <c r="TXQ207"/>
      <c r="TXR207"/>
      <c r="TXS207"/>
      <c r="TXT207"/>
      <c r="TXU207"/>
      <c r="TXV207"/>
      <c r="TXW207"/>
      <c r="TXX207"/>
      <c r="TXY207"/>
      <c r="TXZ207"/>
      <c r="TYA207"/>
      <c r="TYB207"/>
      <c r="TYC207"/>
      <c r="TYD207"/>
      <c r="TYE207"/>
      <c r="TYF207"/>
      <c r="TYG207"/>
      <c r="TYH207"/>
      <c r="TYI207"/>
      <c r="TYJ207"/>
      <c r="TYK207"/>
      <c r="TYL207"/>
      <c r="TYM207"/>
      <c r="TYN207"/>
      <c r="TYO207"/>
      <c r="TYP207"/>
      <c r="TYQ207"/>
      <c r="TYR207"/>
      <c r="TYS207"/>
      <c r="TYT207"/>
      <c r="TYU207"/>
      <c r="TYV207"/>
      <c r="TYW207"/>
      <c r="TYX207"/>
      <c r="TYY207"/>
      <c r="TYZ207"/>
      <c r="TZA207"/>
      <c r="TZB207"/>
      <c r="TZC207"/>
      <c r="TZD207"/>
      <c r="TZE207"/>
      <c r="TZF207"/>
      <c r="TZG207"/>
      <c r="TZH207"/>
      <c r="TZI207"/>
      <c r="TZJ207"/>
      <c r="TZK207"/>
      <c r="TZL207"/>
      <c r="TZM207"/>
      <c r="TZN207"/>
      <c r="TZO207"/>
      <c r="TZP207"/>
      <c r="TZQ207"/>
      <c r="TZR207"/>
      <c r="TZS207"/>
      <c r="TZT207"/>
      <c r="TZU207"/>
      <c r="TZV207"/>
      <c r="TZW207"/>
      <c r="TZX207"/>
      <c r="TZY207"/>
      <c r="TZZ207"/>
      <c r="UAA207"/>
      <c r="UAB207"/>
      <c r="UAC207"/>
      <c r="UAD207"/>
      <c r="UAE207"/>
      <c r="UAF207"/>
      <c r="UAG207"/>
      <c r="UAH207"/>
      <c r="UAI207"/>
      <c r="UAJ207"/>
      <c r="UAK207"/>
      <c r="UAL207"/>
      <c r="UAM207"/>
      <c r="UAN207"/>
      <c r="UAO207"/>
      <c r="UAP207"/>
      <c r="UAQ207"/>
      <c r="UAR207"/>
      <c r="UAS207"/>
      <c r="UAT207"/>
      <c r="UAU207"/>
      <c r="UAV207"/>
      <c r="UAW207"/>
      <c r="UAX207"/>
      <c r="UAY207"/>
      <c r="UAZ207"/>
      <c r="UBA207"/>
      <c r="UBB207"/>
      <c r="UBC207"/>
      <c r="UBD207"/>
      <c r="UBE207"/>
      <c r="UBF207"/>
      <c r="UBG207"/>
      <c r="UBH207"/>
      <c r="UBI207"/>
      <c r="UBJ207"/>
      <c r="UBK207"/>
      <c r="UBL207"/>
      <c r="UBM207"/>
      <c r="UBN207"/>
      <c r="UBO207"/>
      <c r="UBP207"/>
      <c r="UBQ207"/>
      <c r="UBR207"/>
      <c r="UBS207"/>
      <c r="UBT207"/>
      <c r="UBU207"/>
      <c r="UBV207"/>
      <c r="UBW207"/>
      <c r="UBX207"/>
      <c r="UBY207"/>
      <c r="UBZ207"/>
      <c r="UCA207"/>
      <c r="UCB207"/>
      <c r="UCC207"/>
      <c r="UCD207"/>
      <c r="UCE207"/>
      <c r="UCF207"/>
      <c r="UCG207"/>
      <c r="UCH207"/>
      <c r="UCI207"/>
      <c r="UCJ207"/>
      <c r="UCK207"/>
      <c r="UCL207"/>
      <c r="UCM207"/>
      <c r="UCN207"/>
      <c r="UCO207"/>
      <c r="UCP207"/>
      <c r="UCQ207"/>
      <c r="UCR207"/>
      <c r="UCS207"/>
      <c r="UCT207"/>
      <c r="UCU207"/>
      <c r="UCV207"/>
      <c r="UCW207"/>
      <c r="UCX207"/>
      <c r="UCY207"/>
      <c r="UCZ207"/>
      <c r="UDA207"/>
      <c r="UDB207"/>
      <c r="UDC207"/>
      <c r="UDD207"/>
      <c r="UDE207"/>
      <c r="UDF207"/>
      <c r="UDG207"/>
      <c r="UDH207"/>
      <c r="UDI207"/>
      <c r="UDJ207"/>
      <c r="UDK207"/>
      <c r="UDL207"/>
      <c r="UDM207"/>
      <c r="UDN207"/>
      <c r="UDO207"/>
      <c r="UDP207"/>
      <c r="UDQ207"/>
      <c r="UDR207"/>
      <c r="UDS207"/>
      <c r="UDT207"/>
      <c r="UDU207"/>
      <c r="UDV207"/>
      <c r="UDW207"/>
      <c r="UDX207"/>
      <c r="UDY207"/>
      <c r="UDZ207"/>
      <c r="UEA207"/>
      <c r="UEB207"/>
      <c r="UEC207"/>
      <c r="UED207"/>
      <c r="UEE207"/>
      <c r="UEF207"/>
      <c r="UEG207"/>
      <c r="UEH207"/>
      <c r="UEI207"/>
      <c r="UEJ207"/>
      <c r="UEK207"/>
      <c r="UEL207"/>
      <c r="UEM207"/>
      <c r="UEN207"/>
      <c r="UEO207"/>
      <c r="UEP207"/>
      <c r="UEQ207"/>
      <c r="UER207"/>
      <c r="UES207"/>
      <c r="UET207"/>
      <c r="UEU207"/>
      <c r="UEV207"/>
      <c r="UEW207"/>
      <c r="UEX207"/>
      <c r="UEY207"/>
      <c r="UEZ207"/>
      <c r="UFA207"/>
      <c r="UFB207"/>
      <c r="UFC207"/>
      <c r="UFD207"/>
      <c r="UFE207"/>
      <c r="UFF207"/>
      <c r="UFG207"/>
      <c r="UFH207"/>
      <c r="UFI207"/>
      <c r="UFJ207"/>
      <c r="UFK207"/>
      <c r="UFL207"/>
      <c r="UFM207"/>
      <c r="UFN207"/>
      <c r="UFO207"/>
      <c r="UFP207"/>
      <c r="UFQ207"/>
      <c r="UFR207"/>
      <c r="UFS207"/>
      <c r="UFT207"/>
      <c r="UFU207"/>
      <c r="UFV207"/>
      <c r="UFW207"/>
      <c r="UFX207"/>
      <c r="UFY207"/>
      <c r="UFZ207"/>
      <c r="UGA207"/>
      <c r="UGB207"/>
      <c r="UGC207"/>
      <c r="UGD207"/>
      <c r="UGE207"/>
      <c r="UGF207"/>
      <c r="UGG207"/>
      <c r="UGH207"/>
      <c r="UGI207"/>
      <c r="UGJ207"/>
      <c r="UGK207"/>
      <c r="UGL207"/>
      <c r="UGM207"/>
      <c r="UGN207"/>
      <c r="UGO207"/>
      <c r="UGP207"/>
      <c r="UGQ207"/>
      <c r="UGR207"/>
      <c r="UGS207"/>
      <c r="UGT207"/>
      <c r="UGU207"/>
      <c r="UGV207"/>
      <c r="UGW207"/>
      <c r="UGX207"/>
      <c r="UGY207"/>
      <c r="UGZ207"/>
      <c r="UHA207"/>
      <c r="UHB207"/>
      <c r="UHC207"/>
      <c r="UHD207"/>
      <c r="UHE207"/>
      <c r="UHF207"/>
      <c r="UHG207"/>
      <c r="UHH207"/>
      <c r="UHI207"/>
      <c r="UHJ207"/>
      <c r="UHK207"/>
      <c r="UHL207"/>
      <c r="UHM207"/>
      <c r="UHN207"/>
      <c r="UHO207"/>
      <c r="UHP207"/>
      <c r="UHQ207"/>
      <c r="UHR207"/>
      <c r="UHS207"/>
      <c r="UHT207"/>
      <c r="UHU207"/>
      <c r="UHV207"/>
      <c r="UHW207"/>
      <c r="UHX207"/>
      <c r="UHY207"/>
      <c r="UHZ207"/>
      <c r="UIA207"/>
      <c r="UIB207"/>
      <c r="UIC207"/>
      <c r="UID207"/>
      <c r="UIE207"/>
      <c r="UIF207"/>
      <c r="UIG207"/>
      <c r="UIH207"/>
      <c r="UII207"/>
      <c r="UIJ207"/>
      <c r="UIK207"/>
      <c r="UIL207"/>
      <c r="UIM207"/>
      <c r="UIN207"/>
      <c r="UIO207"/>
      <c r="UIP207"/>
      <c r="UIQ207"/>
      <c r="UIR207"/>
      <c r="UIS207"/>
      <c r="UIT207"/>
      <c r="UIU207"/>
      <c r="UIV207"/>
      <c r="UIW207"/>
      <c r="UIX207"/>
      <c r="UIY207"/>
      <c r="UIZ207"/>
      <c r="UJA207"/>
      <c r="UJB207"/>
      <c r="UJC207"/>
      <c r="UJD207"/>
      <c r="UJE207"/>
      <c r="UJF207"/>
      <c r="UJG207"/>
      <c r="UJH207"/>
      <c r="UJI207"/>
      <c r="UJJ207"/>
      <c r="UJK207"/>
      <c r="UJL207"/>
      <c r="UJM207"/>
      <c r="UJN207"/>
      <c r="UJO207"/>
      <c r="UJP207"/>
      <c r="UJQ207"/>
      <c r="UJR207"/>
      <c r="UJS207"/>
      <c r="UJT207"/>
      <c r="UJU207"/>
      <c r="UJV207"/>
      <c r="UJW207"/>
      <c r="UJX207"/>
      <c r="UJY207"/>
      <c r="UJZ207"/>
      <c r="UKA207"/>
      <c r="UKB207"/>
      <c r="UKC207"/>
      <c r="UKD207"/>
      <c r="UKE207"/>
      <c r="UKF207"/>
      <c r="UKG207"/>
      <c r="UKH207"/>
      <c r="UKI207"/>
      <c r="UKJ207"/>
      <c r="UKK207"/>
      <c r="UKL207"/>
      <c r="UKM207"/>
      <c r="UKN207"/>
      <c r="UKO207"/>
      <c r="UKP207"/>
      <c r="UKQ207"/>
      <c r="UKR207"/>
      <c r="UKS207"/>
      <c r="UKT207"/>
      <c r="UKU207"/>
      <c r="UKV207"/>
      <c r="UKW207"/>
      <c r="UKX207"/>
      <c r="UKY207"/>
      <c r="UKZ207"/>
      <c r="ULA207"/>
      <c r="ULB207"/>
      <c r="ULC207"/>
      <c r="ULD207"/>
      <c r="ULE207"/>
      <c r="ULF207"/>
      <c r="ULG207"/>
      <c r="ULH207"/>
      <c r="ULI207"/>
      <c r="ULJ207"/>
      <c r="ULK207"/>
      <c r="ULL207"/>
      <c r="ULM207"/>
      <c r="ULN207"/>
      <c r="ULO207"/>
      <c r="ULP207"/>
      <c r="ULQ207"/>
      <c r="ULR207"/>
      <c r="ULS207"/>
      <c r="ULT207"/>
      <c r="ULU207"/>
      <c r="ULV207"/>
      <c r="ULW207"/>
      <c r="ULX207"/>
      <c r="ULY207"/>
      <c r="ULZ207"/>
      <c r="UMA207"/>
      <c r="UMB207"/>
      <c r="UMC207"/>
      <c r="UMD207"/>
      <c r="UME207"/>
      <c r="UMF207"/>
      <c r="UMG207"/>
      <c r="UMH207"/>
      <c r="UMI207"/>
      <c r="UMJ207"/>
      <c r="UMK207"/>
      <c r="UML207"/>
      <c r="UMM207"/>
      <c r="UMN207"/>
      <c r="UMO207"/>
      <c r="UMP207"/>
      <c r="UMQ207"/>
      <c r="UMR207"/>
      <c r="UMS207"/>
      <c r="UMT207"/>
      <c r="UMU207"/>
      <c r="UMV207"/>
      <c r="UMW207"/>
      <c r="UMX207"/>
      <c r="UMY207"/>
      <c r="UMZ207"/>
      <c r="UNA207"/>
      <c r="UNB207"/>
      <c r="UNC207"/>
      <c r="UND207"/>
      <c r="UNE207"/>
      <c r="UNF207"/>
      <c r="UNG207"/>
      <c r="UNH207"/>
      <c r="UNI207"/>
      <c r="UNJ207"/>
      <c r="UNK207"/>
      <c r="UNL207"/>
      <c r="UNM207"/>
      <c r="UNN207"/>
      <c r="UNO207"/>
      <c r="UNP207"/>
      <c r="UNQ207"/>
      <c r="UNR207"/>
      <c r="UNS207"/>
      <c r="UNT207"/>
      <c r="UNU207"/>
      <c r="UNV207"/>
      <c r="UNW207"/>
      <c r="UNX207"/>
      <c r="UNY207"/>
      <c r="UNZ207"/>
      <c r="UOA207"/>
      <c r="UOB207"/>
      <c r="UOC207"/>
      <c r="UOD207"/>
      <c r="UOE207"/>
      <c r="UOF207"/>
      <c r="UOG207"/>
      <c r="UOH207"/>
      <c r="UOI207"/>
      <c r="UOJ207"/>
      <c r="UOK207"/>
      <c r="UOL207"/>
      <c r="UOM207"/>
      <c r="UON207"/>
      <c r="UOO207"/>
      <c r="UOP207"/>
      <c r="UOQ207"/>
      <c r="UOR207"/>
      <c r="UOS207"/>
      <c r="UOT207"/>
      <c r="UOU207"/>
      <c r="UOV207"/>
      <c r="UOW207"/>
      <c r="UOX207"/>
      <c r="UOY207"/>
      <c r="UOZ207"/>
      <c r="UPA207"/>
      <c r="UPB207"/>
      <c r="UPC207"/>
      <c r="UPD207"/>
      <c r="UPE207"/>
      <c r="UPF207"/>
      <c r="UPG207"/>
      <c r="UPH207"/>
      <c r="UPI207"/>
      <c r="UPJ207"/>
      <c r="UPK207"/>
      <c r="UPL207"/>
      <c r="UPM207"/>
      <c r="UPN207"/>
      <c r="UPO207"/>
      <c r="UPP207"/>
      <c r="UPQ207"/>
      <c r="UPR207"/>
      <c r="UPS207"/>
      <c r="UPT207"/>
      <c r="UPU207"/>
      <c r="UPV207"/>
      <c r="UPW207"/>
      <c r="UPX207"/>
      <c r="UPY207"/>
      <c r="UPZ207"/>
      <c r="UQA207"/>
      <c r="UQB207"/>
      <c r="UQC207"/>
      <c r="UQD207"/>
      <c r="UQE207"/>
      <c r="UQF207"/>
      <c r="UQG207"/>
      <c r="UQH207"/>
      <c r="UQI207"/>
      <c r="UQJ207"/>
      <c r="UQK207"/>
      <c r="UQL207"/>
      <c r="UQM207"/>
      <c r="UQN207"/>
      <c r="UQO207"/>
      <c r="UQP207"/>
      <c r="UQQ207"/>
      <c r="UQR207"/>
      <c r="UQS207"/>
      <c r="UQT207"/>
      <c r="UQU207"/>
      <c r="UQV207"/>
      <c r="UQW207"/>
      <c r="UQX207"/>
      <c r="UQY207"/>
      <c r="UQZ207"/>
      <c r="URA207"/>
      <c r="URB207"/>
      <c r="URC207"/>
      <c r="URD207"/>
      <c r="URE207"/>
      <c r="URF207"/>
      <c r="URG207"/>
      <c r="URH207"/>
      <c r="URI207"/>
      <c r="URJ207"/>
      <c r="URK207"/>
      <c r="URL207"/>
      <c r="URM207"/>
      <c r="URN207"/>
      <c r="URO207"/>
      <c r="URP207"/>
      <c r="URQ207"/>
      <c r="URR207"/>
      <c r="URS207"/>
      <c r="URT207"/>
      <c r="URU207"/>
      <c r="URV207"/>
      <c r="URW207"/>
      <c r="URX207"/>
      <c r="URY207"/>
      <c r="URZ207"/>
      <c r="USA207"/>
      <c r="USB207"/>
      <c r="USC207"/>
      <c r="USD207"/>
      <c r="USE207"/>
      <c r="USF207"/>
      <c r="USG207"/>
      <c r="USH207"/>
      <c r="USI207"/>
      <c r="USJ207"/>
      <c r="USK207"/>
      <c r="USL207"/>
      <c r="USM207"/>
      <c r="USN207"/>
      <c r="USO207"/>
      <c r="USP207"/>
      <c r="USQ207"/>
      <c r="USR207"/>
      <c r="USS207"/>
      <c r="UST207"/>
      <c r="USU207"/>
      <c r="USV207"/>
      <c r="USW207"/>
      <c r="USX207"/>
      <c r="USY207"/>
      <c r="USZ207"/>
      <c r="UTA207"/>
      <c r="UTB207"/>
      <c r="UTC207"/>
      <c r="UTD207"/>
      <c r="UTE207"/>
      <c r="UTF207"/>
      <c r="UTG207"/>
      <c r="UTH207"/>
      <c r="UTI207"/>
      <c r="UTJ207"/>
      <c r="UTK207"/>
      <c r="UTL207"/>
      <c r="UTM207"/>
      <c r="UTN207"/>
      <c r="UTO207"/>
      <c r="UTP207"/>
      <c r="UTQ207"/>
      <c r="UTR207"/>
      <c r="UTS207"/>
      <c r="UTT207"/>
      <c r="UTU207"/>
      <c r="UTV207"/>
      <c r="UTW207"/>
      <c r="UTX207"/>
      <c r="UTY207"/>
      <c r="UTZ207"/>
      <c r="UUA207"/>
      <c r="UUB207"/>
      <c r="UUC207"/>
      <c r="UUD207"/>
      <c r="UUE207"/>
      <c r="UUF207"/>
      <c r="UUG207"/>
      <c r="UUH207"/>
      <c r="UUI207"/>
      <c r="UUJ207"/>
      <c r="UUK207"/>
      <c r="UUL207"/>
      <c r="UUM207"/>
      <c r="UUN207"/>
      <c r="UUO207"/>
      <c r="UUP207"/>
      <c r="UUQ207"/>
      <c r="UUR207"/>
      <c r="UUS207"/>
      <c r="UUT207"/>
      <c r="UUU207"/>
      <c r="UUV207"/>
      <c r="UUW207"/>
      <c r="UUX207"/>
      <c r="UUY207"/>
      <c r="UUZ207"/>
      <c r="UVA207"/>
      <c r="UVB207"/>
      <c r="UVC207"/>
      <c r="UVD207"/>
      <c r="UVE207"/>
      <c r="UVF207"/>
      <c r="UVG207"/>
      <c r="UVH207"/>
      <c r="UVI207"/>
      <c r="UVJ207"/>
      <c r="UVK207"/>
      <c r="UVL207"/>
      <c r="UVM207"/>
      <c r="UVN207"/>
      <c r="UVO207"/>
      <c r="UVP207"/>
      <c r="UVQ207"/>
      <c r="UVR207"/>
      <c r="UVS207"/>
      <c r="UVT207"/>
      <c r="UVU207"/>
      <c r="UVV207"/>
      <c r="UVW207"/>
      <c r="UVX207"/>
      <c r="UVY207"/>
      <c r="UVZ207"/>
      <c r="UWA207"/>
      <c r="UWB207"/>
      <c r="UWC207"/>
      <c r="UWD207"/>
      <c r="UWE207"/>
      <c r="UWF207"/>
      <c r="UWG207"/>
      <c r="UWH207"/>
      <c r="UWI207"/>
      <c r="UWJ207"/>
      <c r="UWK207"/>
      <c r="UWL207"/>
      <c r="UWM207"/>
      <c r="UWN207"/>
      <c r="UWO207"/>
      <c r="UWP207"/>
      <c r="UWQ207"/>
      <c r="UWR207"/>
      <c r="UWS207"/>
      <c r="UWT207"/>
      <c r="UWU207"/>
      <c r="UWV207"/>
      <c r="UWW207"/>
      <c r="UWX207"/>
      <c r="UWY207"/>
      <c r="UWZ207"/>
      <c r="UXA207"/>
      <c r="UXB207"/>
      <c r="UXC207"/>
      <c r="UXD207"/>
      <c r="UXE207"/>
      <c r="UXF207"/>
      <c r="UXG207"/>
      <c r="UXH207"/>
      <c r="UXI207"/>
      <c r="UXJ207"/>
      <c r="UXK207"/>
      <c r="UXL207"/>
      <c r="UXM207"/>
      <c r="UXN207"/>
      <c r="UXO207"/>
      <c r="UXP207"/>
      <c r="UXQ207"/>
      <c r="UXR207"/>
      <c r="UXS207"/>
      <c r="UXT207"/>
      <c r="UXU207"/>
      <c r="UXV207"/>
      <c r="UXW207"/>
      <c r="UXX207"/>
      <c r="UXY207"/>
      <c r="UXZ207"/>
      <c r="UYA207"/>
      <c r="UYB207"/>
      <c r="UYC207"/>
      <c r="UYD207"/>
      <c r="UYE207"/>
      <c r="UYF207"/>
      <c r="UYG207"/>
      <c r="UYH207"/>
      <c r="UYI207"/>
      <c r="UYJ207"/>
      <c r="UYK207"/>
      <c r="UYL207"/>
      <c r="UYM207"/>
      <c r="UYN207"/>
      <c r="UYO207"/>
      <c r="UYP207"/>
      <c r="UYQ207"/>
      <c r="UYR207"/>
      <c r="UYS207"/>
      <c r="UYT207"/>
      <c r="UYU207"/>
      <c r="UYV207"/>
      <c r="UYW207"/>
      <c r="UYX207"/>
      <c r="UYY207"/>
      <c r="UYZ207"/>
      <c r="UZA207"/>
      <c r="UZB207"/>
      <c r="UZC207"/>
      <c r="UZD207"/>
      <c r="UZE207"/>
      <c r="UZF207"/>
      <c r="UZG207"/>
      <c r="UZH207"/>
      <c r="UZI207"/>
      <c r="UZJ207"/>
      <c r="UZK207"/>
      <c r="UZL207"/>
      <c r="UZM207"/>
      <c r="UZN207"/>
      <c r="UZO207"/>
      <c r="UZP207"/>
      <c r="UZQ207"/>
      <c r="UZR207"/>
      <c r="UZS207"/>
      <c r="UZT207"/>
      <c r="UZU207"/>
      <c r="UZV207"/>
      <c r="UZW207"/>
      <c r="UZX207"/>
      <c r="UZY207"/>
      <c r="UZZ207"/>
      <c r="VAA207"/>
      <c r="VAB207"/>
      <c r="VAC207"/>
      <c r="VAD207"/>
      <c r="VAE207"/>
      <c r="VAF207"/>
      <c r="VAG207"/>
      <c r="VAH207"/>
      <c r="VAI207"/>
      <c r="VAJ207"/>
      <c r="VAK207"/>
      <c r="VAL207"/>
      <c r="VAM207"/>
      <c r="VAN207"/>
      <c r="VAO207"/>
      <c r="VAP207"/>
      <c r="VAQ207"/>
      <c r="VAR207"/>
      <c r="VAS207"/>
      <c r="VAT207"/>
      <c r="VAU207"/>
      <c r="VAV207"/>
      <c r="VAW207"/>
      <c r="VAX207"/>
      <c r="VAY207"/>
      <c r="VAZ207"/>
      <c r="VBA207"/>
      <c r="VBB207"/>
      <c r="VBC207"/>
      <c r="VBD207"/>
      <c r="VBE207"/>
      <c r="VBF207"/>
      <c r="VBG207"/>
      <c r="VBH207"/>
      <c r="VBI207"/>
      <c r="VBJ207"/>
      <c r="VBK207"/>
      <c r="VBL207"/>
      <c r="VBM207"/>
      <c r="VBN207"/>
      <c r="VBO207"/>
      <c r="VBP207"/>
      <c r="VBQ207"/>
      <c r="VBR207"/>
      <c r="VBS207"/>
      <c r="VBT207"/>
      <c r="VBU207"/>
      <c r="VBV207"/>
      <c r="VBW207"/>
      <c r="VBX207"/>
      <c r="VBY207"/>
      <c r="VBZ207"/>
      <c r="VCA207"/>
      <c r="VCB207"/>
      <c r="VCC207"/>
      <c r="VCD207"/>
      <c r="VCE207"/>
      <c r="VCF207"/>
      <c r="VCG207"/>
      <c r="VCH207"/>
      <c r="VCI207"/>
      <c r="VCJ207"/>
      <c r="VCK207"/>
      <c r="VCL207"/>
      <c r="VCM207"/>
      <c r="VCN207"/>
      <c r="VCO207"/>
      <c r="VCP207"/>
      <c r="VCQ207"/>
      <c r="VCR207"/>
      <c r="VCS207"/>
      <c r="VCT207"/>
      <c r="VCU207"/>
      <c r="VCV207"/>
      <c r="VCW207"/>
      <c r="VCX207"/>
      <c r="VCY207"/>
      <c r="VCZ207"/>
      <c r="VDA207"/>
      <c r="VDB207"/>
      <c r="VDC207"/>
      <c r="VDD207"/>
      <c r="VDE207"/>
      <c r="VDF207"/>
      <c r="VDG207"/>
      <c r="VDH207"/>
      <c r="VDI207"/>
      <c r="VDJ207"/>
      <c r="VDK207"/>
      <c r="VDL207"/>
      <c r="VDM207"/>
      <c r="VDN207"/>
      <c r="VDO207"/>
      <c r="VDP207"/>
      <c r="VDQ207"/>
      <c r="VDR207"/>
      <c r="VDS207"/>
      <c r="VDT207"/>
      <c r="VDU207"/>
      <c r="VDV207"/>
      <c r="VDW207"/>
      <c r="VDX207"/>
      <c r="VDY207"/>
      <c r="VDZ207"/>
      <c r="VEA207"/>
      <c r="VEB207"/>
      <c r="VEC207"/>
      <c r="VED207"/>
      <c r="VEE207"/>
      <c r="VEF207"/>
      <c r="VEG207"/>
      <c r="VEH207"/>
      <c r="VEI207"/>
      <c r="VEJ207"/>
      <c r="VEK207"/>
      <c r="VEL207"/>
      <c r="VEM207"/>
      <c r="VEN207"/>
      <c r="VEO207"/>
      <c r="VEP207"/>
      <c r="VEQ207"/>
      <c r="VER207"/>
      <c r="VES207"/>
      <c r="VET207"/>
      <c r="VEU207"/>
      <c r="VEV207"/>
      <c r="VEW207"/>
      <c r="VEX207"/>
      <c r="VEY207"/>
      <c r="VEZ207"/>
      <c r="VFA207"/>
      <c r="VFB207"/>
      <c r="VFC207"/>
      <c r="VFD207"/>
      <c r="VFE207"/>
      <c r="VFF207"/>
      <c r="VFG207"/>
      <c r="VFH207"/>
      <c r="VFI207"/>
      <c r="VFJ207"/>
      <c r="VFK207"/>
      <c r="VFL207"/>
      <c r="VFM207"/>
      <c r="VFN207"/>
      <c r="VFO207"/>
      <c r="VFP207"/>
      <c r="VFQ207"/>
      <c r="VFR207"/>
      <c r="VFS207"/>
      <c r="VFT207"/>
      <c r="VFU207"/>
      <c r="VFV207"/>
      <c r="VFW207"/>
      <c r="VFX207"/>
      <c r="VFY207"/>
      <c r="VFZ207"/>
      <c r="VGA207"/>
      <c r="VGB207"/>
      <c r="VGC207"/>
      <c r="VGD207"/>
      <c r="VGE207"/>
      <c r="VGF207"/>
      <c r="VGG207"/>
      <c r="VGH207"/>
      <c r="VGI207"/>
      <c r="VGJ207"/>
      <c r="VGK207"/>
      <c r="VGL207"/>
      <c r="VGM207"/>
      <c r="VGN207"/>
      <c r="VGO207"/>
      <c r="VGP207"/>
      <c r="VGQ207"/>
      <c r="VGR207"/>
      <c r="VGS207"/>
      <c r="VGT207"/>
      <c r="VGU207"/>
      <c r="VGV207"/>
      <c r="VGW207"/>
      <c r="VGX207"/>
      <c r="VGY207"/>
      <c r="VGZ207"/>
      <c r="VHA207"/>
      <c r="VHB207"/>
      <c r="VHC207"/>
      <c r="VHD207"/>
      <c r="VHE207"/>
      <c r="VHF207"/>
      <c r="VHG207"/>
      <c r="VHH207"/>
      <c r="VHI207"/>
      <c r="VHJ207"/>
      <c r="VHK207"/>
      <c r="VHL207"/>
      <c r="VHM207"/>
      <c r="VHN207"/>
      <c r="VHO207"/>
      <c r="VHP207"/>
      <c r="VHQ207"/>
      <c r="VHR207"/>
      <c r="VHS207"/>
      <c r="VHT207"/>
      <c r="VHU207"/>
      <c r="VHV207"/>
      <c r="VHW207"/>
      <c r="VHX207"/>
      <c r="VHY207"/>
      <c r="VHZ207"/>
      <c r="VIA207"/>
      <c r="VIB207"/>
      <c r="VIC207"/>
      <c r="VID207"/>
      <c r="VIE207"/>
      <c r="VIF207"/>
      <c r="VIG207"/>
      <c r="VIH207"/>
      <c r="VII207"/>
      <c r="VIJ207"/>
      <c r="VIK207"/>
      <c r="VIL207"/>
      <c r="VIM207"/>
      <c r="VIN207"/>
      <c r="VIO207"/>
      <c r="VIP207"/>
      <c r="VIQ207"/>
      <c r="VIR207"/>
      <c r="VIS207"/>
      <c r="VIT207"/>
      <c r="VIU207"/>
      <c r="VIV207"/>
      <c r="VIW207"/>
      <c r="VIX207"/>
      <c r="VIY207"/>
      <c r="VIZ207"/>
      <c r="VJA207"/>
      <c r="VJB207"/>
      <c r="VJC207"/>
      <c r="VJD207"/>
      <c r="VJE207"/>
      <c r="VJF207"/>
      <c r="VJG207"/>
      <c r="VJH207"/>
      <c r="VJI207"/>
      <c r="VJJ207"/>
      <c r="VJK207"/>
      <c r="VJL207"/>
      <c r="VJM207"/>
      <c r="VJN207"/>
      <c r="VJO207"/>
      <c r="VJP207"/>
      <c r="VJQ207"/>
      <c r="VJR207"/>
      <c r="VJS207"/>
      <c r="VJT207"/>
      <c r="VJU207"/>
      <c r="VJV207"/>
      <c r="VJW207"/>
      <c r="VJX207"/>
      <c r="VJY207"/>
      <c r="VJZ207"/>
      <c r="VKA207"/>
      <c r="VKB207"/>
      <c r="VKC207"/>
      <c r="VKD207"/>
      <c r="VKE207"/>
      <c r="VKF207"/>
      <c r="VKG207"/>
      <c r="VKH207"/>
      <c r="VKI207"/>
      <c r="VKJ207"/>
      <c r="VKK207"/>
      <c r="VKL207"/>
      <c r="VKM207"/>
      <c r="VKN207"/>
      <c r="VKO207"/>
      <c r="VKP207"/>
      <c r="VKQ207"/>
      <c r="VKR207"/>
      <c r="VKS207"/>
      <c r="VKT207"/>
      <c r="VKU207"/>
      <c r="VKV207"/>
      <c r="VKW207"/>
      <c r="VKX207"/>
      <c r="VKY207"/>
      <c r="VKZ207"/>
      <c r="VLA207"/>
      <c r="VLB207"/>
      <c r="VLC207"/>
      <c r="VLD207"/>
      <c r="VLE207"/>
      <c r="VLF207"/>
      <c r="VLG207"/>
      <c r="VLH207"/>
      <c r="VLI207"/>
      <c r="VLJ207"/>
      <c r="VLK207"/>
      <c r="VLL207"/>
      <c r="VLM207"/>
      <c r="VLN207"/>
      <c r="VLO207"/>
      <c r="VLP207"/>
      <c r="VLQ207"/>
      <c r="VLR207"/>
      <c r="VLS207"/>
      <c r="VLT207"/>
      <c r="VLU207"/>
      <c r="VLV207"/>
      <c r="VLW207"/>
      <c r="VLX207"/>
      <c r="VLY207"/>
      <c r="VLZ207"/>
      <c r="VMA207"/>
      <c r="VMB207"/>
      <c r="VMC207"/>
      <c r="VMD207"/>
      <c r="VME207"/>
      <c r="VMF207"/>
      <c r="VMG207"/>
      <c r="VMH207"/>
      <c r="VMI207"/>
      <c r="VMJ207"/>
      <c r="VMK207"/>
      <c r="VML207"/>
      <c r="VMM207"/>
      <c r="VMN207"/>
      <c r="VMO207"/>
      <c r="VMP207"/>
      <c r="VMQ207"/>
      <c r="VMR207"/>
      <c r="VMS207"/>
      <c r="VMT207"/>
      <c r="VMU207"/>
      <c r="VMV207"/>
      <c r="VMW207"/>
      <c r="VMX207"/>
      <c r="VMY207"/>
      <c r="VMZ207"/>
      <c r="VNA207"/>
      <c r="VNB207"/>
      <c r="VNC207"/>
      <c r="VND207"/>
      <c r="VNE207"/>
      <c r="VNF207"/>
      <c r="VNG207"/>
      <c r="VNH207"/>
      <c r="VNI207"/>
      <c r="VNJ207"/>
      <c r="VNK207"/>
      <c r="VNL207"/>
      <c r="VNM207"/>
      <c r="VNN207"/>
      <c r="VNO207"/>
      <c r="VNP207"/>
      <c r="VNQ207"/>
      <c r="VNR207"/>
      <c r="VNS207"/>
      <c r="VNT207"/>
      <c r="VNU207"/>
      <c r="VNV207"/>
      <c r="VNW207"/>
      <c r="VNX207"/>
      <c r="VNY207"/>
      <c r="VNZ207"/>
      <c r="VOA207"/>
      <c r="VOB207"/>
      <c r="VOC207"/>
      <c r="VOD207"/>
      <c r="VOE207"/>
      <c r="VOF207"/>
      <c r="VOG207"/>
      <c r="VOH207"/>
      <c r="VOI207"/>
      <c r="VOJ207"/>
      <c r="VOK207"/>
      <c r="VOL207"/>
      <c r="VOM207"/>
      <c r="VON207"/>
      <c r="VOO207"/>
      <c r="VOP207"/>
      <c r="VOQ207"/>
      <c r="VOR207"/>
      <c r="VOS207"/>
      <c r="VOT207"/>
      <c r="VOU207"/>
      <c r="VOV207"/>
      <c r="VOW207"/>
      <c r="VOX207"/>
      <c r="VOY207"/>
      <c r="VOZ207"/>
      <c r="VPA207"/>
      <c r="VPB207"/>
      <c r="VPC207"/>
      <c r="VPD207"/>
      <c r="VPE207"/>
      <c r="VPF207"/>
      <c r="VPG207"/>
      <c r="VPH207"/>
      <c r="VPI207"/>
      <c r="VPJ207"/>
      <c r="VPK207"/>
      <c r="VPL207"/>
      <c r="VPM207"/>
      <c r="VPN207"/>
      <c r="VPO207"/>
      <c r="VPP207"/>
      <c r="VPQ207"/>
      <c r="VPR207"/>
      <c r="VPS207"/>
      <c r="VPT207"/>
      <c r="VPU207"/>
      <c r="VPV207"/>
      <c r="VPW207"/>
      <c r="VPX207"/>
      <c r="VPY207"/>
      <c r="VPZ207"/>
      <c r="VQA207"/>
      <c r="VQB207"/>
      <c r="VQC207"/>
      <c r="VQD207"/>
      <c r="VQE207"/>
      <c r="VQF207"/>
      <c r="VQG207"/>
      <c r="VQH207"/>
      <c r="VQI207"/>
      <c r="VQJ207"/>
      <c r="VQK207"/>
      <c r="VQL207"/>
      <c r="VQM207"/>
      <c r="VQN207"/>
      <c r="VQO207"/>
      <c r="VQP207"/>
      <c r="VQQ207"/>
      <c r="VQR207"/>
      <c r="VQS207"/>
      <c r="VQT207"/>
      <c r="VQU207"/>
      <c r="VQV207"/>
      <c r="VQW207"/>
      <c r="VQX207"/>
      <c r="VQY207"/>
      <c r="VQZ207"/>
      <c r="VRA207"/>
      <c r="VRB207"/>
      <c r="VRC207"/>
      <c r="VRD207"/>
      <c r="VRE207"/>
      <c r="VRF207"/>
      <c r="VRG207"/>
      <c r="VRH207"/>
      <c r="VRI207"/>
      <c r="VRJ207"/>
      <c r="VRK207"/>
      <c r="VRL207"/>
      <c r="VRM207"/>
      <c r="VRN207"/>
      <c r="VRO207"/>
      <c r="VRP207"/>
      <c r="VRQ207"/>
      <c r="VRR207"/>
      <c r="VRS207"/>
      <c r="VRT207"/>
      <c r="VRU207"/>
      <c r="VRV207"/>
      <c r="VRW207"/>
      <c r="VRX207"/>
      <c r="VRY207"/>
      <c r="VRZ207"/>
      <c r="VSA207"/>
      <c r="VSB207"/>
      <c r="VSC207"/>
      <c r="VSD207"/>
      <c r="VSE207"/>
      <c r="VSF207"/>
      <c r="VSG207"/>
      <c r="VSH207"/>
      <c r="VSI207"/>
      <c r="VSJ207"/>
      <c r="VSK207"/>
      <c r="VSL207"/>
      <c r="VSM207"/>
      <c r="VSN207"/>
      <c r="VSO207"/>
      <c r="VSP207"/>
      <c r="VSQ207"/>
      <c r="VSR207"/>
      <c r="VSS207"/>
      <c r="VST207"/>
      <c r="VSU207"/>
      <c r="VSV207"/>
      <c r="VSW207"/>
      <c r="VSX207"/>
      <c r="VSY207"/>
      <c r="VSZ207"/>
      <c r="VTA207"/>
      <c r="VTB207"/>
      <c r="VTC207"/>
      <c r="VTD207"/>
      <c r="VTE207"/>
      <c r="VTF207"/>
      <c r="VTG207"/>
      <c r="VTH207"/>
      <c r="VTI207"/>
      <c r="VTJ207"/>
      <c r="VTK207"/>
      <c r="VTL207"/>
      <c r="VTM207"/>
      <c r="VTN207"/>
      <c r="VTO207"/>
      <c r="VTP207"/>
      <c r="VTQ207"/>
      <c r="VTR207"/>
      <c r="VTS207"/>
      <c r="VTT207"/>
      <c r="VTU207"/>
      <c r="VTV207"/>
      <c r="VTW207"/>
      <c r="VTX207"/>
      <c r="VTY207"/>
      <c r="VTZ207"/>
      <c r="VUA207"/>
      <c r="VUB207"/>
      <c r="VUC207"/>
      <c r="VUD207"/>
      <c r="VUE207"/>
      <c r="VUF207"/>
      <c r="VUG207"/>
      <c r="VUH207"/>
      <c r="VUI207"/>
      <c r="VUJ207"/>
      <c r="VUK207"/>
      <c r="VUL207"/>
      <c r="VUM207"/>
      <c r="VUN207"/>
      <c r="VUO207"/>
      <c r="VUP207"/>
      <c r="VUQ207"/>
      <c r="VUR207"/>
      <c r="VUS207"/>
      <c r="VUT207"/>
      <c r="VUU207"/>
      <c r="VUV207"/>
      <c r="VUW207"/>
      <c r="VUX207"/>
      <c r="VUY207"/>
      <c r="VUZ207"/>
      <c r="VVA207"/>
      <c r="VVB207"/>
      <c r="VVC207"/>
      <c r="VVD207"/>
      <c r="VVE207"/>
      <c r="VVF207"/>
      <c r="VVG207"/>
      <c r="VVH207"/>
      <c r="VVI207"/>
      <c r="VVJ207"/>
      <c r="VVK207"/>
      <c r="VVL207"/>
      <c r="VVM207"/>
      <c r="VVN207"/>
      <c r="VVO207"/>
      <c r="VVP207"/>
      <c r="VVQ207"/>
      <c r="VVR207"/>
      <c r="VVS207"/>
      <c r="VVT207"/>
      <c r="VVU207"/>
      <c r="VVV207"/>
      <c r="VVW207"/>
      <c r="VVX207"/>
      <c r="VVY207"/>
      <c r="VVZ207"/>
      <c r="VWA207"/>
      <c r="VWB207"/>
      <c r="VWC207"/>
      <c r="VWD207"/>
      <c r="VWE207"/>
      <c r="VWF207"/>
      <c r="VWG207"/>
      <c r="VWH207"/>
      <c r="VWI207"/>
      <c r="VWJ207"/>
      <c r="VWK207"/>
      <c r="VWL207"/>
      <c r="VWM207"/>
      <c r="VWN207"/>
      <c r="VWO207"/>
      <c r="VWP207"/>
      <c r="VWQ207"/>
      <c r="VWR207"/>
      <c r="VWS207"/>
      <c r="VWT207"/>
      <c r="VWU207"/>
      <c r="VWV207"/>
      <c r="VWW207"/>
      <c r="VWX207"/>
      <c r="VWY207"/>
      <c r="VWZ207"/>
      <c r="VXA207"/>
      <c r="VXB207"/>
      <c r="VXC207"/>
      <c r="VXD207"/>
      <c r="VXE207"/>
      <c r="VXF207"/>
      <c r="VXG207"/>
      <c r="VXH207"/>
      <c r="VXI207"/>
      <c r="VXJ207"/>
      <c r="VXK207"/>
      <c r="VXL207"/>
      <c r="VXM207"/>
      <c r="VXN207"/>
      <c r="VXO207"/>
      <c r="VXP207"/>
      <c r="VXQ207"/>
      <c r="VXR207"/>
      <c r="VXS207"/>
      <c r="VXT207"/>
      <c r="VXU207"/>
      <c r="VXV207"/>
      <c r="VXW207"/>
      <c r="VXX207"/>
      <c r="VXY207"/>
      <c r="VXZ207"/>
      <c r="VYA207"/>
      <c r="VYB207"/>
      <c r="VYC207"/>
      <c r="VYD207"/>
      <c r="VYE207"/>
      <c r="VYF207"/>
      <c r="VYG207"/>
      <c r="VYH207"/>
      <c r="VYI207"/>
      <c r="VYJ207"/>
      <c r="VYK207"/>
      <c r="VYL207"/>
      <c r="VYM207"/>
      <c r="VYN207"/>
      <c r="VYO207"/>
      <c r="VYP207"/>
      <c r="VYQ207"/>
      <c r="VYR207"/>
      <c r="VYS207"/>
      <c r="VYT207"/>
      <c r="VYU207"/>
      <c r="VYV207"/>
      <c r="VYW207"/>
      <c r="VYX207"/>
      <c r="VYY207"/>
      <c r="VYZ207"/>
      <c r="VZA207"/>
      <c r="VZB207"/>
      <c r="VZC207"/>
      <c r="VZD207"/>
      <c r="VZE207"/>
      <c r="VZF207"/>
      <c r="VZG207"/>
      <c r="VZH207"/>
      <c r="VZI207"/>
      <c r="VZJ207"/>
      <c r="VZK207"/>
      <c r="VZL207"/>
      <c r="VZM207"/>
      <c r="VZN207"/>
      <c r="VZO207"/>
      <c r="VZP207"/>
      <c r="VZQ207"/>
      <c r="VZR207"/>
      <c r="VZS207"/>
      <c r="VZT207"/>
      <c r="VZU207"/>
      <c r="VZV207"/>
      <c r="VZW207"/>
      <c r="VZX207"/>
      <c r="VZY207"/>
      <c r="VZZ207"/>
      <c r="WAA207"/>
      <c r="WAB207"/>
      <c r="WAC207"/>
      <c r="WAD207"/>
      <c r="WAE207"/>
      <c r="WAF207"/>
      <c r="WAG207"/>
      <c r="WAH207"/>
      <c r="WAI207"/>
      <c r="WAJ207"/>
      <c r="WAK207"/>
      <c r="WAL207"/>
      <c r="WAM207"/>
      <c r="WAN207"/>
      <c r="WAO207"/>
      <c r="WAP207"/>
      <c r="WAQ207"/>
      <c r="WAR207"/>
      <c r="WAS207"/>
      <c r="WAT207"/>
      <c r="WAU207"/>
      <c r="WAV207"/>
      <c r="WAW207"/>
      <c r="WAX207"/>
      <c r="WAY207"/>
      <c r="WAZ207"/>
      <c r="WBA207"/>
      <c r="WBB207"/>
      <c r="WBC207"/>
      <c r="WBD207"/>
      <c r="WBE207"/>
      <c r="WBF207"/>
      <c r="WBG207"/>
      <c r="WBH207"/>
      <c r="WBI207"/>
      <c r="WBJ207"/>
      <c r="WBK207"/>
      <c r="WBL207"/>
      <c r="WBM207"/>
      <c r="WBN207"/>
      <c r="WBO207"/>
      <c r="WBP207"/>
      <c r="WBQ207"/>
      <c r="WBR207"/>
      <c r="WBS207"/>
      <c r="WBT207"/>
      <c r="WBU207"/>
      <c r="WBV207"/>
      <c r="WBW207"/>
      <c r="WBX207"/>
      <c r="WBY207"/>
      <c r="WBZ207"/>
      <c r="WCA207"/>
      <c r="WCB207"/>
      <c r="WCC207"/>
      <c r="WCD207"/>
      <c r="WCE207"/>
      <c r="WCF207"/>
      <c r="WCG207"/>
      <c r="WCH207"/>
      <c r="WCI207"/>
      <c r="WCJ207"/>
      <c r="WCK207"/>
      <c r="WCL207"/>
      <c r="WCM207"/>
      <c r="WCN207"/>
      <c r="WCO207"/>
      <c r="WCP207"/>
      <c r="WCQ207"/>
      <c r="WCR207"/>
      <c r="WCS207"/>
      <c r="WCT207"/>
      <c r="WCU207"/>
      <c r="WCV207"/>
      <c r="WCW207"/>
      <c r="WCX207"/>
      <c r="WCY207"/>
      <c r="WCZ207"/>
      <c r="WDA207"/>
      <c r="WDB207"/>
      <c r="WDC207"/>
      <c r="WDD207"/>
      <c r="WDE207"/>
      <c r="WDF207"/>
      <c r="WDG207"/>
      <c r="WDH207"/>
      <c r="WDI207"/>
      <c r="WDJ207"/>
      <c r="WDK207"/>
      <c r="WDL207"/>
      <c r="WDM207"/>
      <c r="WDN207"/>
      <c r="WDO207"/>
      <c r="WDP207"/>
      <c r="WDQ207"/>
      <c r="WDR207"/>
      <c r="WDS207"/>
      <c r="WDT207"/>
      <c r="WDU207"/>
      <c r="WDV207"/>
      <c r="WDW207"/>
      <c r="WDX207"/>
      <c r="WDY207"/>
      <c r="WDZ207"/>
      <c r="WEA207"/>
      <c r="WEB207"/>
      <c r="WEC207"/>
      <c r="WED207"/>
      <c r="WEE207"/>
      <c r="WEF207"/>
      <c r="WEG207"/>
      <c r="WEH207"/>
      <c r="WEI207"/>
      <c r="WEJ207"/>
      <c r="WEK207"/>
      <c r="WEL207"/>
      <c r="WEM207"/>
      <c r="WEN207"/>
      <c r="WEO207"/>
      <c r="WEP207"/>
      <c r="WEQ207"/>
      <c r="WER207"/>
      <c r="WES207"/>
      <c r="WET207"/>
      <c r="WEU207"/>
      <c r="WEV207"/>
      <c r="WEW207"/>
      <c r="WEX207"/>
      <c r="WEY207"/>
      <c r="WEZ207"/>
      <c r="WFA207"/>
      <c r="WFB207"/>
      <c r="WFC207"/>
      <c r="WFD207"/>
      <c r="WFE207"/>
      <c r="WFF207"/>
      <c r="WFG207"/>
      <c r="WFH207"/>
      <c r="WFI207"/>
      <c r="WFJ207"/>
      <c r="WFK207"/>
      <c r="WFL207"/>
      <c r="WFM207"/>
      <c r="WFN207"/>
      <c r="WFO207"/>
      <c r="WFP207"/>
      <c r="WFQ207"/>
      <c r="WFR207"/>
      <c r="WFS207"/>
      <c r="WFT207"/>
      <c r="WFU207"/>
      <c r="WFV207"/>
      <c r="WFW207"/>
      <c r="WFX207"/>
      <c r="WFY207"/>
      <c r="WFZ207"/>
      <c r="WGA207"/>
      <c r="WGB207"/>
      <c r="WGC207"/>
      <c r="WGD207"/>
      <c r="WGE207"/>
      <c r="WGF207"/>
      <c r="WGG207"/>
      <c r="WGH207"/>
      <c r="WGI207"/>
      <c r="WGJ207"/>
      <c r="WGK207"/>
      <c r="WGL207"/>
      <c r="WGM207"/>
      <c r="WGN207"/>
      <c r="WGO207"/>
      <c r="WGP207"/>
      <c r="WGQ207"/>
      <c r="WGR207"/>
      <c r="WGS207"/>
      <c r="WGT207"/>
      <c r="WGU207"/>
      <c r="WGV207"/>
      <c r="WGW207"/>
      <c r="WGX207"/>
      <c r="WGY207"/>
      <c r="WGZ207"/>
      <c r="WHA207"/>
      <c r="WHB207"/>
      <c r="WHC207"/>
      <c r="WHD207"/>
      <c r="WHE207"/>
      <c r="WHF207"/>
      <c r="WHG207"/>
      <c r="WHH207"/>
      <c r="WHI207"/>
      <c r="WHJ207"/>
      <c r="WHK207"/>
      <c r="WHL207"/>
      <c r="WHM207"/>
      <c r="WHN207"/>
      <c r="WHO207"/>
      <c r="WHP207"/>
      <c r="WHQ207"/>
      <c r="WHR207"/>
      <c r="WHS207"/>
      <c r="WHT207"/>
      <c r="WHU207"/>
      <c r="WHV207"/>
      <c r="WHW207"/>
      <c r="WHX207"/>
      <c r="WHY207"/>
      <c r="WHZ207"/>
      <c r="WIA207"/>
      <c r="WIB207"/>
      <c r="WIC207"/>
      <c r="WID207"/>
      <c r="WIE207"/>
      <c r="WIF207"/>
      <c r="WIG207"/>
      <c r="WIH207"/>
      <c r="WII207"/>
      <c r="WIJ207"/>
      <c r="WIK207"/>
      <c r="WIL207"/>
      <c r="WIM207"/>
      <c r="WIN207"/>
      <c r="WIO207"/>
      <c r="WIP207"/>
      <c r="WIQ207"/>
      <c r="WIR207"/>
      <c r="WIS207"/>
      <c r="WIT207"/>
      <c r="WIU207"/>
      <c r="WIV207"/>
      <c r="WIW207"/>
      <c r="WIX207"/>
      <c r="WIY207"/>
      <c r="WIZ207"/>
      <c r="WJA207"/>
      <c r="WJB207"/>
      <c r="WJC207"/>
      <c r="WJD207"/>
      <c r="WJE207"/>
      <c r="WJF207"/>
      <c r="WJG207"/>
      <c r="WJH207"/>
      <c r="WJI207"/>
      <c r="WJJ207"/>
      <c r="WJK207"/>
      <c r="WJL207"/>
      <c r="WJM207"/>
      <c r="WJN207"/>
      <c r="WJO207"/>
      <c r="WJP207"/>
      <c r="WJQ207"/>
      <c r="WJR207"/>
      <c r="WJS207"/>
      <c r="WJT207"/>
      <c r="WJU207"/>
      <c r="WJV207"/>
      <c r="WJW207"/>
      <c r="WJX207"/>
      <c r="WJY207"/>
      <c r="WJZ207"/>
      <c r="WKA207"/>
      <c r="WKB207"/>
      <c r="WKC207"/>
      <c r="WKD207"/>
      <c r="WKE207"/>
      <c r="WKF207"/>
      <c r="WKG207"/>
      <c r="WKH207"/>
      <c r="WKI207"/>
      <c r="WKJ207"/>
      <c r="WKK207"/>
      <c r="WKL207"/>
      <c r="WKM207"/>
      <c r="WKN207"/>
      <c r="WKO207"/>
      <c r="WKP207"/>
      <c r="WKQ207"/>
      <c r="WKR207"/>
      <c r="WKS207"/>
      <c r="WKT207"/>
      <c r="WKU207"/>
      <c r="WKV207"/>
      <c r="WKW207"/>
      <c r="WKX207"/>
      <c r="WKY207"/>
      <c r="WKZ207"/>
      <c r="WLA207"/>
      <c r="WLB207"/>
      <c r="WLC207"/>
      <c r="WLD207"/>
      <c r="WLE207"/>
      <c r="WLF207"/>
      <c r="WLG207"/>
      <c r="WLH207"/>
      <c r="WLI207"/>
      <c r="WLJ207"/>
      <c r="WLK207"/>
      <c r="WLL207"/>
      <c r="WLM207"/>
      <c r="WLN207"/>
      <c r="WLO207"/>
      <c r="WLP207"/>
      <c r="WLQ207"/>
      <c r="WLR207"/>
      <c r="WLS207"/>
      <c r="WLT207"/>
      <c r="WLU207"/>
      <c r="WLV207"/>
      <c r="WLW207"/>
      <c r="WLX207"/>
      <c r="WLY207"/>
      <c r="WLZ207"/>
      <c r="WMA207"/>
      <c r="WMB207"/>
      <c r="WMC207"/>
      <c r="WMD207"/>
      <c r="WME207"/>
      <c r="WMF207"/>
      <c r="WMG207"/>
      <c r="WMH207"/>
      <c r="WMI207"/>
      <c r="WMJ207"/>
      <c r="WMK207"/>
      <c r="WML207"/>
      <c r="WMM207"/>
      <c r="WMN207"/>
      <c r="WMO207"/>
      <c r="WMP207"/>
      <c r="WMQ207"/>
      <c r="WMR207"/>
      <c r="WMS207"/>
      <c r="WMT207"/>
      <c r="WMU207"/>
      <c r="WMV207"/>
      <c r="WMW207"/>
      <c r="WMX207"/>
      <c r="WMY207"/>
      <c r="WMZ207"/>
      <c r="WNA207"/>
      <c r="WNB207"/>
      <c r="WNC207"/>
      <c r="WND207"/>
      <c r="WNE207"/>
      <c r="WNF207"/>
      <c r="WNG207"/>
      <c r="WNH207"/>
      <c r="WNI207"/>
      <c r="WNJ207"/>
      <c r="WNK207"/>
      <c r="WNL207"/>
      <c r="WNM207"/>
      <c r="WNN207"/>
      <c r="WNO207"/>
      <c r="WNP207"/>
      <c r="WNQ207"/>
      <c r="WNR207"/>
      <c r="WNS207"/>
      <c r="WNT207"/>
      <c r="WNU207"/>
      <c r="WNV207"/>
      <c r="WNW207"/>
      <c r="WNX207"/>
      <c r="WNY207"/>
      <c r="WNZ207"/>
      <c r="WOA207"/>
      <c r="WOB207"/>
      <c r="WOC207"/>
      <c r="WOD207"/>
      <c r="WOE207"/>
      <c r="WOF207"/>
      <c r="WOG207"/>
      <c r="WOH207"/>
      <c r="WOI207"/>
      <c r="WOJ207"/>
      <c r="WOK207"/>
      <c r="WOL207"/>
      <c r="WOM207"/>
      <c r="WON207"/>
      <c r="WOO207"/>
      <c r="WOP207"/>
      <c r="WOQ207"/>
      <c r="WOR207"/>
      <c r="WOS207"/>
      <c r="WOT207"/>
      <c r="WOU207"/>
      <c r="WOV207"/>
      <c r="WOW207"/>
      <c r="WOX207"/>
      <c r="WOY207"/>
      <c r="WOZ207"/>
      <c r="WPA207"/>
      <c r="WPB207"/>
      <c r="WPC207"/>
      <c r="WPD207"/>
      <c r="WPE207"/>
      <c r="WPF207"/>
      <c r="WPG207"/>
      <c r="WPH207"/>
      <c r="WPI207"/>
      <c r="WPJ207"/>
      <c r="WPK207"/>
      <c r="WPL207"/>
      <c r="WPM207"/>
      <c r="WPN207"/>
      <c r="WPO207"/>
      <c r="WPP207"/>
      <c r="WPQ207"/>
      <c r="WPR207"/>
      <c r="WPS207"/>
      <c r="WPT207"/>
      <c r="WPU207"/>
      <c r="WPV207"/>
      <c r="WPW207"/>
      <c r="WPX207"/>
      <c r="WPY207"/>
      <c r="WPZ207"/>
      <c r="WQA207"/>
      <c r="WQB207"/>
      <c r="WQC207"/>
      <c r="WQD207"/>
      <c r="WQE207"/>
      <c r="WQF207"/>
      <c r="WQG207"/>
      <c r="WQH207"/>
      <c r="WQI207"/>
      <c r="WQJ207"/>
      <c r="WQK207"/>
      <c r="WQL207"/>
      <c r="WQM207"/>
      <c r="WQN207"/>
      <c r="WQO207"/>
      <c r="WQP207"/>
      <c r="WQQ207"/>
      <c r="WQR207"/>
      <c r="WQS207"/>
      <c r="WQT207"/>
      <c r="WQU207"/>
      <c r="WQV207"/>
      <c r="WQW207"/>
      <c r="WQX207"/>
      <c r="WQY207"/>
      <c r="WQZ207"/>
      <c r="WRA207"/>
      <c r="WRB207"/>
      <c r="WRC207"/>
      <c r="WRD207"/>
      <c r="WRE207"/>
      <c r="WRF207"/>
      <c r="WRG207"/>
      <c r="WRH207"/>
      <c r="WRI207"/>
      <c r="WRJ207"/>
      <c r="WRK207"/>
      <c r="WRL207"/>
      <c r="WRM207"/>
      <c r="WRN207"/>
      <c r="WRO207"/>
      <c r="WRP207"/>
      <c r="WRQ207"/>
      <c r="WRR207"/>
      <c r="WRS207"/>
      <c r="WRT207"/>
      <c r="WRU207"/>
      <c r="WRV207"/>
      <c r="WRW207"/>
      <c r="WRX207"/>
      <c r="WRY207"/>
      <c r="WRZ207"/>
      <c r="WSA207"/>
      <c r="WSB207"/>
      <c r="WSC207"/>
      <c r="WSD207"/>
      <c r="WSE207"/>
      <c r="WSF207"/>
      <c r="WSG207"/>
      <c r="WSH207"/>
      <c r="WSI207"/>
      <c r="WSJ207"/>
      <c r="WSK207"/>
      <c r="WSL207"/>
      <c r="WSM207"/>
      <c r="WSN207"/>
      <c r="WSO207"/>
      <c r="WSP207"/>
      <c r="WSQ207"/>
      <c r="WSR207"/>
      <c r="WSS207"/>
      <c r="WST207"/>
      <c r="WSU207"/>
      <c r="WSV207"/>
      <c r="WSW207"/>
      <c r="WSX207"/>
      <c r="WSY207"/>
      <c r="WSZ207"/>
      <c r="WTA207"/>
      <c r="WTB207"/>
      <c r="WTC207"/>
      <c r="WTD207"/>
      <c r="WTE207"/>
      <c r="WTF207"/>
      <c r="WTG207"/>
      <c r="WTH207"/>
      <c r="WTI207"/>
      <c r="WTJ207"/>
      <c r="WTK207"/>
      <c r="WTL207"/>
      <c r="WTM207"/>
      <c r="WTN207"/>
      <c r="WTO207"/>
      <c r="WTP207"/>
      <c r="WTQ207"/>
      <c r="WTR207"/>
      <c r="WTS207"/>
      <c r="WTT207"/>
      <c r="WTU207"/>
      <c r="WTV207"/>
      <c r="WTW207"/>
      <c r="WTX207"/>
      <c r="WTY207"/>
      <c r="WTZ207"/>
      <c r="WUA207"/>
      <c r="WUB207"/>
      <c r="WUC207"/>
      <c r="WUD207"/>
      <c r="WUE207"/>
      <c r="WUF207"/>
      <c r="WUG207"/>
      <c r="WUH207"/>
      <c r="WUI207"/>
      <c r="WUJ207"/>
      <c r="WUK207"/>
      <c r="WUL207"/>
      <c r="WUM207"/>
      <c r="WUN207"/>
      <c r="WUO207"/>
      <c r="WUP207"/>
      <c r="WUQ207"/>
      <c r="WUR207"/>
      <c r="WUS207"/>
      <c r="WUT207"/>
      <c r="WUU207"/>
      <c r="WUV207"/>
      <c r="WUW207"/>
      <c r="WUX207"/>
      <c r="WUY207"/>
      <c r="WUZ207"/>
      <c r="WVA207"/>
      <c r="WVB207"/>
      <c r="WVC207"/>
      <c r="WVD207"/>
      <c r="WVE207"/>
      <c r="WVF207"/>
      <c r="WVG207"/>
      <c r="WVH207"/>
      <c r="WVI207"/>
      <c r="WVJ207"/>
      <c r="WVK207"/>
      <c r="WVL207"/>
      <c r="WVM207"/>
      <c r="WVN207"/>
      <c r="WVO207"/>
      <c r="WVP207"/>
      <c r="WVQ207"/>
      <c r="WVR207"/>
      <c r="WVS207"/>
      <c r="WVT207"/>
      <c r="WVU207"/>
      <c r="WVV207"/>
      <c r="WVW207"/>
      <c r="WVX207"/>
      <c r="WVY207"/>
      <c r="WVZ207"/>
      <c r="WWA207"/>
      <c r="WWB207"/>
      <c r="WWC207"/>
      <c r="WWD207"/>
      <c r="WWE207"/>
      <c r="WWF207"/>
      <c r="WWG207"/>
      <c r="WWH207"/>
      <c r="WWI207"/>
      <c r="WWJ207"/>
      <c r="WWK207"/>
      <c r="WWL207"/>
      <c r="WWM207"/>
      <c r="WWN207"/>
      <c r="WWO207"/>
      <c r="WWP207"/>
      <c r="WWQ207"/>
      <c r="WWR207"/>
      <c r="WWS207"/>
      <c r="WWT207"/>
      <c r="WWU207"/>
      <c r="WWV207"/>
      <c r="WWW207"/>
      <c r="WWX207"/>
      <c r="WWY207"/>
      <c r="WWZ207"/>
      <c r="WXA207"/>
      <c r="WXB207"/>
      <c r="WXC207"/>
      <c r="WXD207"/>
      <c r="WXE207"/>
      <c r="WXF207"/>
      <c r="WXG207"/>
      <c r="WXH207"/>
      <c r="WXI207"/>
      <c r="WXJ207"/>
      <c r="WXK207"/>
      <c r="WXL207"/>
      <c r="WXM207"/>
      <c r="WXN207"/>
      <c r="WXO207"/>
      <c r="WXP207"/>
      <c r="WXQ207"/>
      <c r="WXR207"/>
      <c r="WXS207"/>
      <c r="WXT207"/>
      <c r="WXU207"/>
      <c r="WXV207"/>
      <c r="WXW207"/>
      <c r="WXX207"/>
      <c r="WXY207"/>
      <c r="WXZ207"/>
      <c r="WYA207"/>
      <c r="WYB207"/>
      <c r="WYC207"/>
      <c r="WYD207"/>
      <c r="WYE207"/>
      <c r="WYF207"/>
      <c r="WYG207"/>
      <c r="WYH207"/>
      <c r="WYI207"/>
      <c r="WYJ207"/>
      <c r="WYK207"/>
      <c r="WYL207"/>
      <c r="WYM207"/>
      <c r="WYN207"/>
      <c r="WYO207"/>
      <c r="WYP207"/>
      <c r="WYQ207"/>
      <c r="WYR207"/>
      <c r="WYS207"/>
      <c r="WYT207"/>
      <c r="WYU207"/>
      <c r="WYV207"/>
      <c r="WYW207"/>
      <c r="WYX207"/>
      <c r="WYY207"/>
      <c r="WYZ207"/>
      <c r="WZA207"/>
      <c r="WZB207"/>
      <c r="WZC207"/>
      <c r="WZD207"/>
      <c r="WZE207"/>
      <c r="WZF207"/>
      <c r="WZG207"/>
      <c r="WZH207"/>
      <c r="WZI207"/>
      <c r="WZJ207"/>
      <c r="WZK207"/>
      <c r="WZL207"/>
      <c r="WZM207"/>
      <c r="WZN207"/>
      <c r="WZO207"/>
      <c r="WZP207"/>
      <c r="WZQ207"/>
      <c r="WZR207"/>
      <c r="WZS207"/>
      <c r="WZT207"/>
      <c r="WZU207"/>
      <c r="WZV207"/>
      <c r="WZW207"/>
      <c r="WZX207"/>
      <c r="WZY207"/>
      <c r="WZZ207"/>
      <c r="XAA207"/>
      <c r="XAB207"/>
      <c r="XAC207"/>
      <c r="XAD207"/>
      <c r="XAE207"/>
      <c r="XAF207"/>
      <c r="XAG207"/>
      <c r="XAH207"/>
      <c r="XAI207"/>
      <c r="XAJ207"/>
      <c r="XAK207"/>
      <c r="XAL207"/>
      <c r="XAM207"/>
      <c r="XAN207"/>
      <c r="XAO207"/>
      <c r="XAP207"/>
      <c r="XAQ207"/>
      <c r="XAR207"/>
      <c r="XAS207"/>
      <c r="XAT207"/>
      <c r="XAU207"/>
      <c r="XAV207"/>
      <c r="XAW207"/>
      <c r="XAX207"/>
      <c r="XAY207"/>
      <c r="XAZ207"/>
      <c r="XBA207"/>
      <c r="XBB207"/>
      <c r="XBC207"/>
      <c r="XBD207"/>
      <c r="XBE207"/>
      <c r="XBF207"/>
      <c r="XBG207"/>
      <c r="XBH207"/>
      <c r="XBI207"/>
      <c r="XBJ207"/>
      <c r="XBK207"/>
      <c r="XBL207"/>
      <c r="XBM207"/>
      <c r="XBN207"/>
      <c r="XBO207"/>
      <c r="XBP207"/>
      <c r="XBQ207"/>
      <c r="XBR207"/>
      <c r="XBS207"/>
      <c r="XBT207"/>
      <c r="XBU207"/>
      <c r="XBV207"/>
      <c r="XBW207"/>
      <c r="XBX207"/>
      <c r="XBY207"/>
      <c r="XBZ207"/>
      <c r="XCA207"/>
      <c r="XCB207"/>
      <c r="XCC207"/>
      <c r="XCD207"/>
      <c r="XCE207"/>
      <c r="XCF207"/>
      <c r="XCG207"/>
      <c r="XCH207"/>
      <c r="XCI207"/>
      <c r="XCJ207"/>
      <c r="XCK207"/>
      <c r="XCL207"/>
      <c r="XCM207"/>
      <c r="XCN207"/>
      <c r="XCO207"/>
      <c r="XCP207"/>
      <c r="XCQ207"/>
      <c r="XCR207"/>
      <c r="XCS207"/>
      <c r="XCT207"/>
      <c r="XCU207"/>
      <c r="XCV207"/>
      <c r="XCW207"/>
      <c r="XCX207"/>
      <c r="XCY207"/>
      <c r="XCZ207"/>
      <c r="XDA207"/>
      <c r="XDB207"/>
      <c r="XDC207"/>
      <c r="XDD207"/>
      <c r="XDE207"/>
      <c r="XDF207"/>
      <c r="XDG207"/>
      <c r="XDH207"/>
      <c r="XDI207"/>
      <c r="XDJ207"/>
      <c r="XDK207"/>
      <c r="XDL207"/>
      <c r="XDM207"/>
      <c r="XDN207"/>
      <c r="XDO207"/>
      <c r="XDP207"/>
      <c r="XDQ207"/>
      <c r="XDR207"/>
      <c r="XDS207"/>
      <c r="XDT207"/>
      <c r="XDU207"/>
      <c r="XDV207"/>
      <c r="XDW207"/>
      <c r="XDX207"/>
      <c r="XDY207"/>
      <c r="XDZ207"/>
      <c r="XEA207"/>
      <c r="XEB207"/>
      <c r="XEC207"/>
      <c r="XED207"/>
      <c r="XEE207"/>
      <c r="XEF207"/>
      <c r="XEG207"/>
      <c r="XEH207"/>
      <c r="XEI207"/>
      <c r="XEJ207"/>
      <c r="XEK207"/>
      <c r="XEL207"/>
      <c r="XEM207"/>
      <c r="XEN207"/>
      <c r="XEO207"/>
      <c r="XEP207"/>
      <c r="XEQ207"/>
      <c r="XER207"/>
      <c r="XES207"/>
      <c r="XET207"/>
      <c r="XEU207"/>
    </row>
    <row r="208" spans="1:16375" s="1" customFormat="1" x14ac:dyDescent="0.35">
      <c r="B208"/>
      <c r="C208"/>
      <c r="D208"/>
      <c r="F208" s="2"/>
      <c r="G208" s="44"/>
      <c r="H208" s="44"/>
      <c r="K208" s="3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  <c r="AMV208"/>
      <c r="AMW208"/>
      <c r="AMX208"/>
      <c r="AMY208"/>
      <c r="AMZ208"/>
      <c r="ANA208"/>
      <c r="ANB208"/>
      <c r="ANC208"/>
      <c r="AND208"/>
      <c r="ANE208"/>
      <c r="ANF208"/>
      <c r="ANG208"/>
      <c r="ANH208"/>
      <c r="ANI208"/>
      <c r="ANJ208"/>
      <c r="ANK208"/>
      <c r="ANL208"/>
      <c r="ANM208"/>
      <c r="ANN208"/>
      <c r="ANO208"/>
      <c r="ANP208"/>
      <c r="ANQ208"/>
      <c r="ANR208"/>
      <c r="ANS208"/>
      <c r="ANT208"/>
      <c r="ANU208"/>
      <c r="ANV208"/>
      <c r="ANW208"/>
      <c r="ANX208"/>
      <c r="ANY208"/>
      <c r="ANZ208"/>
      <c r="AOA208"/>
      <c r="AOB208"/>
      <c r="AOC208"/>
      <c r="AOD208"/>
      <c r="AOE208"/>
      <c r="AOF208"/>
      <c r="AOG208"/>
      <c r="AOH208"/>
      <c r="AOI208"/>
      <c r="AOJ208"/>
      <c r="AOK208"/>
      <c r="AOL208"/>
      <c r="AOM208"/>
      <c r="AON208"/>
      <c r="AOO208"/>
      <c r="AOP208"/>
      <c r="AOQ208"/>
      <c r="AOR208"/>
      <c r="AOS208"/>
      <c r="AOT208"/>
      <c r="AOU208"/>
      <c r="AOV208"/>
      <c r="AOW208"/>
      <c r="AOX208"/>
      <c r="AOY208"/>
      <c r="AOZ208"/>
      <c r="APA208"/>
      <c r="APB208"/>
      <c r="APC208"/>
      <c r="APD208"/>
      <c r="APE208"/>
      <c r="APF208"/>
      <c r="APG208"/>
      <c r="APH208"/>
      <c r="API208"/>
      <c r="APJ208"/>
      <c r="APK208"/>
      <c r="APL208"/>
      <c r="APM208"/>
      <c r="APN208"/>
      <c r="APO208"/>
      <c r="APP208"/>
      <c r="APQ208"/>
      <c r="APR208"/>
      <c r="APS208"/>
      <c r="APT208"/>
      <c r="APU208"/>
      <c r="APV208"/>
      <c r="APW208"/>
      <c r="APX208"/>
      <c r="APY208"/>
      <c r="APZ208"/>
      <c r="AQA208"/>
      <c r="AQB208"/>
      <c r="AQC208"/>
      <c r="AQD208"/>
      <c r="AQE208"/>
      <c r="AQF208"/>
      <c r="AQG208"/>
      <c r="AQH208"/>
      <c r="AQI208"/>
      <c r="AQJ208"/>
      <c r="AQK208"/>
      <c r="AQL208"/>
      <c r="AQM208"/>
      <c r="AQN208"/>
      <c r="AQO208"/>
      <c r="AQP208"/>
      <c r="AQQ208"/>
      <c r="AQR208"/>
      <c r="AQS208"/>
      <c r="AQT208"/>
      <c r="AQU208"/>
      <c r="AQV208"/>
      <c r="AQW208"/>
      <c r="AQX208"/>
      <c r="AQY208"/>
      <c r="AQZ208"/>
      <c r="ARA208"/>
      <c r="ARB208"/>
      <c r="ARC208"/>
      <c r="ARD208"/>
      <c r="ARE208"/>
      <c r="ARF208"/>
      <c r="ARG208"/>
      <c r="ARH208"/>
      <c r="ARI208"/>
      <c r="ARJ208"/>
      <c r="ARK208"/>
      <c r="ARL208"/>
      <c r="ARM208"/>
      <c r="ARN208"/>
      <c r="ARO208"/>
      <c r="ARP208"/>
      <c r="ARQ208"/>
      <c r="ARR208"/>
      <c r="ARS208"/>
      <c r="ART208"/>
      <c r="ARU208"/>
      <c r="ARV208"/>
      <c r="ARW208"/>
      <c r="ARX208"/>
      <c r="ARY208"/>
      <c r="ARZ208"/>
      <c r="ASA208"/>
      <c r="ASB208"/>
      <c r="ASC208"/>
      <c r="ASD208"/>
      <c r="ASE208"/>
      <c r="ASF208"/>
      <c r="ASG208"/>
      <c r="ASH208"/>
      <c r="ASI208"/>
      <c r="ASJ208"/>
      <c r="ASK208"/>
      <c r="ASL208"/>
      <c r="ASM208"/>
      <c r="ASN208"/>
      <c r="ASO208"/>
      <c r="ASP208"/>
      <c r="ASQ208"/>
      <c r="ASR208"/>
      <c r="ASS208"/>
      <c r="AST208"/>
      <c r="ASU208"/>
      <c r="ASV208"/>
      <c r="ASW208"/>
      <c r="ASX208"/>
      <c r="ASY208"/>
      <c r="ASZ208"/>
      <c r="ATA208"/>
      <c r="ATB208"/>
      <c r="ATC208"/>
      <c r="ATD208"/>
      <c r="ATE208"/>
      <c r="ATF208"/>
      <c r="ATG208"/>
      <c r="ATH208"/>
      <c r="ATI208"/>
      <c r="ATJ208"/>
      <c r="ATK208"/>
      <c r="ATL208"/>
      <c r="ATM208"/>
      <c r="ATN208"/>
      <c r="ATO208"/>
      <c r="ATP208"/>
      <c r="ATQ208"/>
      <c r="ATR208"/>
      <c r="ATS208"/>
      <c r="ATT208"/>
      <c r="ATU208"/>
      <c r="ATV208"/>
      <c r="ATW208"/>
      <c r="ATX208"/>
      <c r="ATY208"/>
      <c r="ATZ208"/>
      <c r="AUA208"/>
      <c r="AUB208"/>
      <c r="AUC208"/>
      <c r="AUD208"/>
      <c r="AUE208"/>
      <c r="AUF208"/>
      <c r="AUG208"/>
      <c r="AUH208"/>
      <c r="AUI208"/>
      <c r="AUJ208"/>
      <c r="AUK208"/>
      <c r="AUL208"/>
      <c r="AUM208"/>
      <c r="AUN208"/>
      <c r="AUO208"/>
      <c r="AUP208"/>
      <c r="AUQ208"/>
      <c r="AUR208"/>
      <c r="AUS208"/>
      <c r="AUT208"/>
      <c r="AUU208"/>
      <c r="AUV208"/>
      <c r="AUW208"/>
      <c r="AUX208"/>
      <c r="AUY208"/>
      <c r="AUZ208"/>
      <c r="AVA208"/>
      <c r="AVB208"/>
      <c r="AVC208"/>
      <c r="AVD208"/>
      <c r="AVE208"/>
      <c r="AVF208"/>
      <c r="AVG208"/>
      <c r="AVH208"/>
      <c r="AVI208"/>
      <c r="AVJ208"/>
      <c r="AVK208"/>
      <c r="AVL208"/>
      <c r="AVM208"/>
      <c r="AVN208"/>
      <c r="AVO208"/>
      <c r="AVP208"/>
      <c r="AVQ208"/>
      <c r="AVR208"/>
      <c r="AVS208"/>
      <c r="AVT208"/>
      <c r="AVU208"/>
      <c r="AVV208"/>
      <c r="AVW208"/>
      <c r="AVX208"/>
      <c r="AVY208"/>
      <c r="AVZ208"/>
      <c r="AWA208"/>
      <c r="AWB208"/>
      <c r="AWC208"/>
      <c r="AWD208"/>
      <c r="AWE208"/>
      <c r="AWF208"/>
      <c r="AWG208"/>
      <c r="AWH208"/>
      <c r="AWI208"/>
      <c r="AWJ208"/>
      <c r="AWK208"/>
      <c r="AWL208"/>
      <c r="AWM208"/>
      <c r="AWN208"/>
      <c r="AWO208"/>
      <c r="AWP208"/>
      <c r="AWQ208"/>
      <c r="AWR208"/>
      <c r="AWS208"/>
      <c r="AWT208"/>
      <c r="AWU208"/>
      <c r="AWV208"/>
      <c r="AWW208"/>
      <c r="AWX208"/>
      <c r="AWY208"/>
      <c r="AWZ208"/>
      <c r="AXA208"/>
      <c r="AXB208"/>
      <c r="AXC208"/>
      <c r="AXD208"/>
      <c r="AXE208"/>
      <c r="AXF208"/>
      <c r="AXG208"/>
      <c r="AXH208"/>
      <c r="AXI208"/>
      <c r="AXJ208"/>
      <c r="AXK208"/>
      <c r="AXL208"/>
      <c r="AXM208"/>
      <c r="AXN208"/>
      <c r="AXO208"/>
      <c r="AXP208"/>
      <c r="AXQ208"/>
      <c r="AXR208"/>
      <c r="AXS208"/>
      <c r="AXT208"/>
      <c r="AXU208"/>
      <c r="AXV208"/>
      <c r="AXW208"/>
      <c r="AXX208"/>
      <c r="AXY208"/>
      <c r="AXZ208"/>
      <c r="AYA208"/>
      <c r="AYB208"/>
      <c r="AYC208"/>
      <c r="AYD208"/>
      <c r="AYE208"/>
      <c r="AYF208"/>
      <c r="AYG208"/>
      <c r="AYH208"/>
      <c r="AYI208"/>
      <c r="AYJ208"/>
      <c r="AYK208"/>
      <c r="AYL208"/>
      <c r="AYM208"/>
      <c r="AYN208"/>
      <c r="AYO208"/>
      <c r="AYP208"/>
      <c r="AYQ208"/>
      <c r="AYR208"/>
      <c r="AYS208"/>
      <c r="AYT208"/>
      <c r="AYU208"/>
      <c r="AYV208"/>
      <c r="AYW208"/>
      <c r="AYX208"/>
      <c r="AYY208"/>
      <c r="AYZ208"/>
      <c r="AZA208"/>
      <c r="AZB208"/>
      <c r="AZC208"/>
      <c r="AZD208"/>
      <c r="AZE208"/>
      <c r="AZF208"/>
      <c r="AZG208"/>
      <c r="AZH208"/>
      <c r="AZI208"/>
      <c r="AZJ208"/>
      <c r="AZK208"/>
      <c r="AZL208"/>
      <c r="AZM208"/>
      <c r="AZN208"/>
      <c r="AZO208"/>
      <c r="AZP208"/>
      <c r="AZQ208"/>
      <c r="AZR208"/>
      <c r="AZS208"/>
      <c r="AZT208"/>
      <c r="AZU208"/>
      <c r="AZV208"/>
      <c r="AZW208"/>
      <c r="AZX208"/>
      <c r="AZY208"/>
      <c r="AZZ208"/>
      <c r="BAA208"/>
      <c r="BAB208"/>
      <c r="BAC208"/>
      <c r="BAD208"/>
      <c r="BAE208"/>
      <c r="BAF208"/>
      <c r="BAG208"/>
      <c r="BAH208"/>
      <c r="BAI208"/>
      <c r="BAJ208"/>
      <c r="BAK208"/>
      <c r="BAL208"/>
      <c r="BAM208"/>
      <c r="BAN208"/>
      <c r="BAO208"/>
      <c r="BAP208"/>
      <c r="BAQ208"/>
      <c r="BAR208"/>
      <c r="BAS208"/>
      <c r="BAT208"/>
      <c r="BAU208"/>
      <c r="BAV208"/>
      <c r="BAW208"/>
      <c r="BAX208"/>
      <c r="BAY208"/>
      <c r="BAZ208"/>
      <c r="BBA208"/>
      <c r="BBB208"/>
      <c r="BBC208"/>
      <c r="BBD208"/>
      <c r="BBE208"/>
      <c r="BBF208"/>
      <c r="BBG208"/>
      <c r="BBH208"/>
      <c r="BBI208"/>
      <c r="BBJ208"/>
      <c r="BBK208"/>
      <c r="BBL208"/>
      <c r="BBM208"/>
      <c r="BBN208"/>
      <c r="BBO208"/>
      <c r="BBP208"/>
      <c r="BBQ208"/>
      <c r="BBR208"/>
      <c r="BBS208"/>
      <c r="BBT208"/>
      <c r="BBU208"/>
      <c r="BBV208"/>
      <c r="BBW208"/>
      <c r="BBX208"/>
      <c r="BBY208"/>
      <c r="BBZ208"/>
      <c r="BCA208"/>
      <c r="BCB208"/>
      <c r="BCC208"/>
      <c r="BCD208"/>
      <c r="BCE208"/>
      <c r="BCF208"/>
      <c r="BCG208"/>
      <c r="BCH208"/>
      <c r="BCI208"/>
      <c r="BCJ208"/>
      <c r="BCK208"/>
      <c r="BCL208"/>
      <c r="BCM208"/>
      <c r="BCN208"/>
      <c r="BCO208"/>
      <c r="BCP208"/>
      <c r="BCQ208"/>
      <c r="BCR208"/>
      <c r="BCS208"/>
      <c r="BCT208"/>
      <c r="BCU208"/>
      <c r="BCV208"/>
      <c r="BCW208"/>
      <c r="BCX208"/>
      <c r="BCY208"/>
      <c r="BCZ208"/>
      <c r="BDA208"/>
      <c r="BDB208"/>
      <c r="BDC208"/>
      <c r="BDD208"/>
      <c r="BDE208"/>
      <c r="BDF208"/>
      <c r="BDG208"/>
      <c r="BDH208"/>
      <c r="BDI208"/>
      <c r="BDJ208"/>
      <c r="BDK208"/>
      <c r="BDL208"/>
      <c r="BDM208"/>
      <c r="BDN208"/>
      <c r="BDO208"/>
      <c r="BDP208"/>
      <c r="BDQ208"/>
      <c r="BDR208"/>
      <c r="BDS208"/>
      <c r="BDT208"/>
      <c r="BDU208"/>
      <c r="BDV208"/>
      <c r="BDW208"/>
      <c r="BDX208"/>
      <c r="BDY208"/>
      <c r="BDZ208"/>
      <c r="BEA208"/>
      <c r="BEB208"/>
      <c r="BEC208"/>
      <c r="BED208"/>
      <c r="BEE208"/>
      <c r="BEF208"/>
      <c r="BEG208"/>
      <c r="BEH208"/>
      <c r="BEI208"/>
      <c r="BEJ208"/>
      <c r="BEK208"/>
      <c r="BEL208"/>
      <c r="BEM208"/>
      <c r="BEN208"/>
      <c r="BEO208"/>
      <c r="BEP208"/>
      <c r="BEQ208"/>
      <c r="BER208"/>
      <c r="BES208"/>
      <c r="BET208"/>
      <c r="BEU208"/>
      <c r="BEV208"/>
      <c r="BEW208"/>
      <c r="BEX208"/>
      <c r="BEY208"/>
      <c r="BEZ208"/>
      <c r="BFA208"/>
      <c r="BFB208"/>
      <c r="BFC208"/>
      <c r="BFD208"/>
      <c r="BFE208"/>
      <c r="BFF208"/>
      <c r="BFG208"/>
      <c r="BFH208"/>
      <c r="BFI208"/>
      <c r="BFJ208"/>
      <c r="BFK208"/>
      <c r="BFL208"/>
      <c r="BFM208"/>
      <c r="BFN208"/>
      <c r="BFO208"/>
      <c r="BFP208"/>
      <c r="BFQ208"/>
      <c r="BFR208"/>
      <c r="BFS208"/>
      <c r="BFT208"/>
      <c r="BFU208"/>
      <c r="BFV208"/>
      <c r="BFW208"/>
      <c r="BFX208"/>
      <c r="BFY208"/>
      <c r="BFZ208"/>
      <c r="BGA208"/>
      <c r="BGB208"/>
      <c r="BGC208"/>
      <c r="BGD208"/>
      <c r="BGE208"/>
      <c r="BGF208"/>
      <c r="BGG208"/>
      <c r="BGH208"/>
      <c r="BGI208"/>
      <c r="BGJ208"/>
      <c r="BGK208"/>
      <c r="BGL208"/>
      <c r="BGM208"/>
      <c r="BGN208"/>
      <c r="BGO208"/>
      <c r="BGP208"/>
      <c r="BGQ208"/>
      <c r="BGR208"/>
      <c r="BGS208"/>
      <c r="BGT208"/>
      <c r="BGU208"/>
      <c r="BGV208"/>
      <c r="BGW208"/>
      <c r="BGX208"/>
      <c r="BGY208"/>
      <c r="BGZ208"/>
      <c r="BHA208"/>
      <c r="BHB208"/>
      <c r="BHC208"/>
      <c r="BHD208"/>
      <c r="BHE208"/>
      <c r="BHF208"/>
      <c r="BHG208"/>
      <c r="BHH208"/>
      <c r="BHI208"/>
      <c r="BHJ208"/>
      <c r="BHK208"/>
      <c r="BHL208"/>
      <c r="BHM208"/>
      <c r="BHN208"/>
      <c r="BHO208"/>
      <c r="BHP208"/>
      <c r="BHQ208"/>
      <c r="BHR208"/>
      <c r="BHS208"/>
      <c r="BHT208"/>
      <c r="BHU208"/>
      <c r="BHV208"/>
      <c r="BHW208"/>
      <c r="BHX208"/>
      <c r="BHY208"/>
      <c r="BHZ208"/>
      <c r="BIA208"/>
      <c r="BIB208"/>
      <c r="BIC208"/>
      <c r="BID208"/>
      <c r="BIE208"/>
      <c r="BIF208"/>
      <c r="BIG208"/>
      <c r="BIH208"/>
      <c r="BII208"/>
      <c r="BIJ208"/>
      <c r="BIK208"/>
      <c r="BIL208"/>
      <c r="BIM208"/>
      <c r="BIN208"/>
      <c r="BIO208"/>
      <c r="BIP208"/>
      <c r="BIQ208"/>
      <c r="BIR208"/>
      <c r="BIS208"/>
      <c r="BIT208"/>
      <c r="BIU208"/>
      <c r="BIV208"/>
      <c r="BIW208"/>
      <c r="BIX208"/>
      <c r="BIY208"/>
      <c r="BIZ208"/>
      <c r="BJA208"/>
      <c r="BJB208"/>
      <c r="BJC208"/>
      <c r="BJD208"/>
      <c r="BJE208"/>
      <c r="BJF208"/>
      <c r="BJG208"/>
      <c r="BJH208"/>
      <c r="BJI208"/>
      <c r="BJJ208"/>
      <c r="BJK208"/>
      <c r="BJL208"/>
      <c r="BJM208"/>
      <c r="BJN208"/>
      <c r="BJO208"/>
      <c r="BJP208"/>
      <c r="BJQ208"/>
      <c r="BJR208"/>
      <c r="BJS208"/>
      <c r="BJT208"/>
      <c r="BJU208"/>
      <c r="BJV208"/>
      <c r="BJW208"/>
      <c r="BJX208"/>
      <c r="BJY208"/>
      <c r="BJZ208"/>
      <c r="BKA208"/>
      <c r="BKB208"/>
      <c r="BKC208"/>
      <c r="BKD208"/>
      <c r="BKE208"/>
      <c r="BKF208"/>
      <c r="BKG208"/>
      <c r="BKH208"/>
      <c r="BKI208"/>
      <c r="BKJ208"/>
      <c r="BKK208"/>
      <c r="BKL208"/>
      <c r="BKM208"/>
      <c r="BKN208"/>
      <c r="BKO208"/>
      <c r="BKP208"/>
      <c r="BKQ208"/>
      <c r="BKR208"/>
      <c r="BKS208"/>
      <c r="BKT208"/>
      <c r="BKU208"/>
      <c r="BKV208"/>
      <c r="BKW208"/>
      <c r="BKX208"/>
      <c r="BKY208"/>
      <c r="BKZ208"/>
      <c r="BLA208"/>
      <c r="BLB208"/>
      <c r="BLC208"/>
      <c r="BLD208"/>
      <c r="BLE208"/>
      <c r="BLF208"/>
      <c r="BLG208"/>
      <c r="BLH208"/>
      <c r="BLI208"/>
      <c r="BLJ208"/>
      <c r="BLK208"/>
      <c r="BLL208"/>
      <c r="BLM208"/>
      <c r="BLN208"/>
      <c r="BLO208"/>
      <c r="BLP208"/>
      <c r="BLQ208"/>
      <c r="BLR208"/>
      <c r="BLS208"/>
      <c r="BLT208"/>
      <c r="BLU208"/>
      <c r="BLV208"/>
      <c r="BLW208"/>
      <c r="BLX208"/>
      <c r="BLY208"/>
      <c r="BLZ208"/>
      <c r="BMA208"/>
      <c r="BMB208"/>
      <c r="BMC208"/>
      <c r="BMD208"/>
      <c r="BME208"/>
      <c r="BMF208"/>
      <c r="BMG208"/>
      <c r="BMH208"/>
      <c r="BMI208"/>
      <c r="BMJ208"/>
      <c r="BMK208"/>
      <c r="BML208"/>
      <c r="BMM208"/>
      <c r="BMN208"/>
      <c r="BMO208"/>
      <c r="BMP208"/>
      <c r="BMQ208"/>
      <c r="BMR208"/>
      <c r="BMS208"/>
      <c r="BMT208"/>
      <c r="BMU208"/>
      <c r="BMV208"/>
      <c r="BMW208"/>
      <c r="BMX208"/>
      <c r="BMY208"/>
      <c r="BMZ208"/>
      <c r="BNA208"/>
      <c r="BNB208"/>
      <c r="BNC208"/>
      <c r="BND208"/>
      <c r="BNE208"/>
      <c r="BNF208"/>
      <c r="BNG208"/>
      <c r="BNH208"/>
      <c r="BNI208"/>
      <c r="BNJ208"/>
      <c r="BNK208"/>
      <c r="BNL208"/>
      <c r="BNM208"/>
      <c r="BNN208"/>
      <c r="BNO208"/>
      <c r="BNP208"/>
      <c r="BNQ208"/>
      <c r="BNR208"/>
      <c r="BNS208"/>
      <c r="BNT208"/>
      <c r="BNU208"/>
      <c r="BNV208"/>
      <c r="BNW208"/>
      <c r="BNX208"/>
      <c r="BNY208"/>
      <c r="BNZ208"/>
      <c r="BOA208"/>
      <c r="BOB208"/>
      <c r="BOC208"/>
      <c r="BOD208"/>
      <c r="BOE208"/>
      <c r="BOF208"/>
      <c r="BOG208"/>
      <c r="BOH208"/>
      <c r="BOI208"/>
      <c r="BOJ208"/>
      <c r="BOK208"/>
      <c r="BOL208"/>
      <c r="BOM208"/>
      <c r="BON208"/>
      <c r="BOO208"/>
      <c r="BOP208"/>
      <c r="BOQ208"/>
      <c r="BOR208"/>
      <c r="BOS208"/>
      <c r="BOT208"/>
      <c r="BOU208"/>
      <c r="BOV208"/>
      <c r="BOW208"/>
      <c r="BOX208"/>
      <c r="BOY208"/>
      <c r="BOZ208"/>
      <c r="BPA208"/>
      <c r="BPB208"/>
      <c r="BPC208"/>
      <c r="BPD208"/>
      <c r="BPE208"/>
      <c r="BPF208"/>
      <c r="BPG208"/>
      <c r="BPH208"/>
      <c r="BPI208"/>
      <c r="BPJ208"/>
      <c r="BPK208"/>
      <c r="BPL208"/>
      <c r="BPM208"/>
      <c r="BPN208"/>
      <c r="BPO208"/>
      <c r="BPP208"/>
      <c r="BPQ208"/>
      <c r="BPR208"/>
      <c r="BPS208"/>
      <c r="BPT208"/>
      <c r="BPU208"/>
      <c r="BPV208"/>
      <c r="BPW208"/>
      <c r="BPX208"/>
      <c r="BPY208"/>
      <c r="BPZ208"/>
      <c r="BQA208"/>
      <c r="BQB208"/>
      <c r="BQC208"/>
      <c r="BQD208"/>
      <c r="BQE208"/>
      <c r="BQF208"/>
      <c r="BQG208"/>
      <c r="BQH208"/>
      <c r="BQI208"/>
      <c r="BQJ208"/>
      <c r="BQK208"/>
      <c r="BQL208"/>
      <c r="BQM208"/>
      <c r="BQN208"/>
      <c r="BQO208"/>
      <c r="BQP208"/>
      <c r="BQQ208"/>
      <c r="BQR208"/>
      <c r="BQS208"/>
      <c r="BQT208"/>
      <c r="BQU208"/>
      <c r="BQV208"/>
      <c r="BQW208"/>
      <c r="BQX208"/>
      <c r="BQY208"/>
      <c r="BQZ208"/>
      <c r="BRA208"/>
      <c r="BRB208"/>
      <c r="BRC208"/>
      <c r="BRD208"/>
      <c r="BRE208"/>
      <c r="BRF208"/>
      <c r="BRG208"/>
      <c r="BRH208"/>
      <c r="BRI208"/>
      <c r="BRJ208"/>
      <c r="BRK208"/>
      <c r="BRL208"/>
      <c r="BRM208"/>
      <c r="BRN208"/>
      <c r="BRO208"/>
      <c r="BRP208"/>
      <c r="BRQ208"/>
      <c r="BRR208"/>
      <c r="BRS208"/>
      <c r="BRT208"/>
      <c r="BRU208"/>
      <c r="BRV208"/>
      <c r="BRW208"/>
      <c r="BRX208"/>
      <c r="BRY208"/>
      <c r="BRZ208"/>
      <c r="BSA208"/>
      <c r="BSB208"/>
      <c r="BSC208"/>
      <c r="BSD208"/>
      <c r="BSE208"/>
      <c r="BSF208"/>
      <c r="BSG208"/>
      <c r="BSH208"/>
      <c r="BSI208"/>
      <c r="BSJ208"/>
      <c r="BSK208"/>
      <c r="BSL208"/>
      <c r="BSM208"/>
      <c r="BSN208"/>
      <c r="BSO208"/>
      <c r="BSP208"/>
      <c r="BSQ208"/>
      <c r="BSR208"/>
      <c r="BSS208"/>
      <c r="BST208"/>
      <c r="BSU208"/>
      <c r="BSV208"/>
      <c r="BSW208"/>
      <c r="BSX208"/>
      <c r="BSY208"/>
      <c r="BSZ208"/>
      <c r="BTA208"/>
      <c r="BTB208"/>
      <c r="BTC208"/>
      <c r="BTD208"/>
      <c r="BTE208"/>
      <c r="BTF208"/>
      <c r="BTG208"/>
      <c r="BTH208"/>
      <c r="BTI208"/>
      <c r="BTJ208"/>
      <c r="BTK208"/>
      <c r="BTL208"/>
      <c r="BTM208"/>
      <c r="BTN208"/>
      <c r="BTO208"/>
      <c r="BTP208"/>
      <c r="BTQ208"/>
      <c r="BTR208"/>
      <c r="BTS208"/>
      <c r="BTT208"/>
      <c r="BTU208"/>
      <c r="BTV208"/>
      <c r="BTW208"/>
      <c r="BTX208"/>
      <c r="BTY208"/>
      <c r="BTZ208"/>
      <c r="BUA208"/>
      <c r="BUB208"/>
      <c r="BUC208"/>
      <c r="BUD208"/>
      <c r="BUE208"/>
      <c r="BUF208"/>
      <c r="BUG208"/>
      <c r="BUH208"/>
      <c r="BUI208"/>
      <c r="BUJ208"/>
      <c r="BUK208"/>
      <c r="BUL208"/>
      <c r="BUM208"/>
      <c r="BUN208"/>
      <c r="BUO208"/>
      <c r="BUP208"/>
      <c r="BUQ208"/>
      <c r="BUR208"/>
      <c r="BUS208"/>
      <c r="BUT208"/>
      <c r="BUU208"/>
      <c r="BUV208"/>
      <c r="BUW208"/>
      <c r="BUX208"/>
      <c r="BUY208"/>
      <c r="BUZ208"/>
      <c r="BVA208"/>
      <c r="BVB208"/>
      <c r="BVC208"/>
      <c r="BVD208"/>
      <c r="BVE208"/>
      <c r="BVF208"/>
      <c r="BVG208"/>
      <c r="BVH208"/>
      <c r="BVI208"/>
      <c r="BVJ208"/>
      <c r="BVK208"/>
      <c r="BVL208"/>
      <c r="BVM208"/>
      <c r="BVN208"/>
      <c r="BVO208"/>
      <c r="BVP208"/>
      <c r="BVQ208"/>
      <c r="BVR208"/>
      <c r="BVS208"/>
      <c r="BVT208"/>
      <c r="BVU208"/>
      <c r="BVV208"/>
      <c r="BVW208"/>
      <c r="BVX208"/>
      <c r="BVY208"/>
      <c r="BVZ208"/>
      <c r="BWA208"/>
      <c r="BWB208"/>
      <c r="BWC208"/>
      <c r="BWD208"/>
      <c r="BWE208"/>
      <c r="BWF208"/>
      <c r="BWG208"/>
      <c r="BWH208"/>
      <c r="BWI208"/>
      <c r="BWJ208"/>
      <c r="BWK208"/>
      <c r="BWL208"/>
      <c r="BWM208"/>
      <c r="BWN208"/>
      <c r="BWO208"/>
      <c r="BWP208"/>
      <c r="BWQ208"/>
      <c r="BWR208"/>
      <c r="BWS208"/>
      <c r="BWT208"/>
      <c r="BWU208"/>
      <c r="BWV208"/>
      <c r="BWW208"/>
      <c r="BWX208"/>
      <c r="BWY208"/>
      <c r="BWZ208"/>
      <c r="BXA208"/>
      <c r="BXB208"/>
      <c r="BXC208"/>
      <c r="BXD208"/>
      <c r="BXE208"/>
      <c r="BXF208"/>
      <c r="BXG208"/>
      <c r="BXH208"/>
      <c r="BXI208"/>
      <c r="BXJ208"/>
      <c r="BXK208"/>
      <c r="BXL208"/>
      <c r="BXM208"/>
      <c r="BXN208"/>
      <c r="BXO208"/>
      <c r="BXP208"/>
      <c r="BXQ208"/>
      <c r="BXR208"/>
      <c r="BXS208"/>
      <c r="BXT208"/>
      <c r="BXU208"/>
      <c r="BXV208"/>
      <c r="BXW208"/>
      <c r="BXX208"/>
      <c r="BXY208"/>
      <c r="BXZ208"/>
      <c r="BYA208"/>
      <c r="BYB208"/>
      <c r="BYC208"/>
      <c r="BYD208"/>
      <c r="BYE208"/>
      <c r="BYF208"/>
      <c r="BYG208"/>
      <c r="BYH208"/>
      <c r="BYI208"/>
      <c r="BYJ208"/>
      <c r="BYK208"/>
      <c r="BYL208"/>
      <c r="BYM208"/>
      <c r="BYN208"/>
      <c r="BYO208"/>
      <c r="BYP208"/>
      <c r="BYQ208"/>
      <c r="BYR208"/>
      <c r="BYS208"/>
      <c r="BYT208"/>
      <c r="BYU208"/>
      <c r="BYV208"/>
      <c r="BYW208"/>
      <c r="BYX208"/>
      <c r="BYY208"/>
      <c r="BYZ208"/>
      <c r="BZA208"/>
      <c r="BZB208"/>
      <c r="BZC208"/>
      <c r="BZD208"/>
      <c r="BZE208"/>
      <c r="BZF208"/>
      <c r="BZG208"/>
      <c r="BZH208"/>
      <c r="BZI208"/>
      <c r="BZJ208"/>
      <c r="BZK208"/>
      <c r="BZL208"/>
      <c r="BZM208"/>
      <c r="BZN208"/>
      <c r="BZO208"/>
      <c r="BZP208"/>
      <c r="BZQ208"/>
      <c r="BZR208"/>
      <c r="BZS208"/>
      <c r="BZT208"/>
      <c r="BZU208"/>
      <c r="BZV208"/>
      <c r="BZW208"/>
      <c r="BZX208"/>
      <c r="BZY208"/>
      <c r="BZZ208"/>
      <c r="CAA208"/>
      <c r="CAB208"/>
      <c r="CAC208"/>
      <c r="CAD208"/>
      <c r="CAE208"/>
      <c r="CAF208"/>
      <c r="CAG208"/>
      <c r="CAH208"/>
      <c r="CAI208"/>
      <c r="CAJ208"/>
      <c r="CAK208"/>
      <c r="CAL208"/>
      <c r="CAM208"/>
      <c r="CAN208"/>
      <c r="CAO208"/>
      <c r="CAP208"/>
      <c r="CAQ208"/>
      <c r="CAR208"/>
      <c r="CAS208"/>
      <c r="CAT208"/>
      <c r="CAU208"/>
      <c r="CAV208"/>
      <c r="CAW208"/>
      <c r="CAX208"/>
      <c r="CAY208"/>
      <c r="CAZ208"/>
      <c r="CBA208"/>
      <c r="CBB208"/>
      <c r="CBC208"/>
      <c r="CBD208"/>
      <c r="CBE208"/>
      <c r="CBF208"/>
      <c r="CBG208"/>
      <c r="CBH208"/>
      <c r="CBI208"/>
      <c r="CBJ208"/>
      <c r="CBK208"/>
      <c r="CBL208"/>
      <c r="CBM208"/>
      <c r="CBN208"/>
      <c r="CBO208"/>
      <c r="CBP208"/>
      <c r="CBQ208"/>
      <c r="CBR208"/>
      <c r="CBS208"/>
      <c r="CBT208"/>
      <c r="CBU208"/>
      <c r="CBV208"/>
      <c r="CBW208"/>
      <c r="CBX208"/>
      <c r="CBY208"/>
      <c r="CBZ208"/>
      <c r="CCA208"/>
      <c r="CCB208"/>
      <c r="CCC208"/>
      <c r="CCD208"/>
      <c r="CCE208"/>
      <c r="CCF208"/>
      <c r="CCG208"/>
      <c r="CCH208"/>
      <c r="CCI208"/>
      <c r="CCJ208"/>
      <c r="CCK208"/>
      <c r="CCL208"/>
      <c r="CCM208"/>
      <c r="CCN208"/>
      <c r="CCO208"/>
      <c r="CCP208"/>
      <c r="CCQ208"/>
      <c r="CCR208"/>
      <c r="CCS208"/>
      <c r="CCT208"/>
      <c r="CCU208"/>
      <c r="CCV208"/>
      <c r="CCW208"/>
      <c r="CCX208"/>
      <c r="CCY208"/>
      <c r="CCZ208"/>
      <c r="CDA208"/>
      <c r="CDB208"/>
      <c r="CDC208"/>
      <c r="CDD208"/>
      <c r="CDE208"/>
      <c r="CDF208"/>
      <c r="CDG208"/>
      <c r="CDH208"/>
      <c r="CDI208"/>
      <c r="CDJ208"/>
      <c r="CDK208"/>
      <c r="CDL208"/>
      <c r="CDM208"/>
      <c r="CDN208"/>
      <c r="CDO208"/>
      <c r="CDP208"/>
      <c r="CDQ208"/>
      <c r="CDR208"/>
      <c r="CDS208"/>
      <c r="CDT208"/>
      <c r="CDU208"/>
      <c r="CDV208"/>
      <c r="CDW208"/>
      <c r="CDX208"/>
      <c r="CDY208"/>
      <c r="CDZ208"/>
      <c r="CEA208"/>
      <c r="CEB208"/>
      <c r="CEC208"/>
      <c r="CED208"/>
      <c r="CEE208"/>
      <c r="CEF208"/>
      <c r="CEG208"/>
      <c r="CEH208"/>
      <c r="CEI208"/>
      <c r="CEJ208"/>
      <c r="CEK208"/>
      <c r="CEL208"/>
      <c r="CEM208"/>
      <c r="CEN208"/>
      <c r="CEO208"/>
      <c r="CEP208"/>
      <c r="CEQ208"/>
      <c r="CER208"/>
      <c r="CES208"/>
      <c r="CET208"/>
      <c r="CEU208"/>
      <c r="CEV208"/>
      <c r="CEW208"/>
      <c r="CEX208"/>
      <c r="CEY208"/>
      <c r="CEZ208"/>
      <c r="CFA208"/>
      <c r="CFB208"/>
      <c r="CFC208"/>
      <c r="CFD208"/>
      <c r="CFE208"/>
      <c r="CFF208"/>
      <c r="CFG208"/>
      <c r="CFH208"/>
      <c r="CFI208"/>
      <c r="CFJ208"/>
      <c r="CFK208"/>
      <c r="CFL208"/>
      <c r="CFM208"/>
      <c r="CFN208"/>
      <c r="CFO208"/>
      <c r="CFP208"/>
      <c r="CFQ208"/>
      <c r="CFR208"/>
      <c r="CFS208"/>
      <c r="CFT208"/>
      <c r="CFU208"/>
      <c r="CFV208"/>
      <c r="CFW208"/>
      <c r="CFX208"/>
      <c r="CFY208"/>
      <c r="CFZ208"/>
      <c r="CGA208"/>
      <c r="CGB208"/>
      <c r="CGC208"/>
      <c r="CGD208"/>
      <c r="CGE208"/>
      <c r="CGF208"/>
      <c r="CGG208"/>
      <c r="CGH208"/>
      <c r="CGI208"/>
      <c r="CGJ208"/>
      <c r="CGK208"/>
      <c r="CGL208"/>
      <c r="CGM208"/>
      <c r="CGN208"/>
      <c r="CGO208"/>
      <c r="CGP208"/>
      <c r="CGQ208"/>
      <c r="CGR208"/>
      <c r="CGS208"/>
      <c r="CGT208"/>
      <c r="CGU208"/>
      <c r="CGV208"/>
      <c r="CGW208"/>
      <c r="CGX208"/>
      <c r="CGY208"/>
      <c r="CGZ208"/>
      <c r="CHA208"/>
      <c r="CHB208"/>
      <c r="CHC208"/>
      <c r="CHD208"/>
      <c r="CHE208"/>
      <c r="CHF208"/>
      <c r="CHG208"/>
      <c r="CHH208"/>
      <c r="CHI208"/>
      <c r="CHJ208"/>
      <c r="CHK208"/>
      <c r="CHL208"/>
      <c r="CHM208"/>
      <c r="CHN208"/>
      <c r="CHO208"/>
      <c r="CHP208"/>
      <c r="CHQ208"/>
      <c r="CHR208"/>
      <c r="CHS208"/>
      <c r="CHT208"/>
      <c r="CHU208"/>
      <c r="CHV208"/>
      <c r="CHW208"/>
      <c r="CHX208"/>
      <c r="CHY208"/>
      <c r="CHZ208"/>
      <c r="CIA208"/>
      <c r="CIB208"/>
      <c r="CIC208"/>
      <c r="CID208"/>
      <c r="CIE208"/>
      <c r="CIF208"/>
      <c r="CIG208"/>
      <c r="CIH208"/>
      <c r="CII208"/>
      <c r="CIJ208"/>
      <c r="CIK208"/>
      <c r="CIL208"/>
      <c r="CIM208"/>
      <c r="CIN208"/>
      <c r="CIO208"/>
      <c r="CIP208"/>
      <c r="CIQ208"/>
      <c r="CIR208"/>
      <c r="CIS208"/>
      <c r="CIT208"/>
      <c r="CIU208"/>
      <c r="CIV208"/>
      <c r="CIW208"/>
      <c r="CIX208"/>
      <c r="CIY208"/>
      <c r="CIZ208"/>
      <c r="CJA208"/>
      <c r="CJB208"/>
      <c r="CJC208"/>
      <c r="CJD208"/>
      <c r="CJE208"/>
      <c r="CJF208"/>
      <c r="CJG208"/>
      <c r="CJH208"/>
      <c r="CJI208"/>
      <c r="CJJ208"/>
      <c r="CJK208"/>
      <c r="CJL208"/>
      <c r="CJM208"/>
      <c r="CJN208"/>
      <c r="CJO208"/>
      <c r="CJP208"/>
      <c r="CJQ208"/>
      <c r="CJR208"/>
      <c r="CJS208"/>
      <c r="CJT208"/>
      <c r="CJU208"/>
      <c r="CJV208"/>
      <c r="CJW208"/>
      <c r="CJX208"/>
      <c r="CJY208"/>
      <c r="CJZ208"/>
      <c r="CKA208"/>
      <c r="CKB208"/>
      <c r="CKC208"/>
      <c r="CKD208"/>
      <c r="CKE208"/>
      <c r="CKF208"/>
      <c r="CKG208"/>
      <c r="CKH208"/>
      <c r="CKI208"/>
      <c r="CKJ208"/>
      <c r="CKK208"/>
      <c r="CKL208"/>
      <c r="CKM208"/>
      <c r="CKN208"/>
      <c r="CKO208"/>
      <c r="CKP208"/>
      <c r="CKQ208"/>
      <c r="CKR208"/>
      <c r="CKS208"/>
      <c r="CKT208"/>
      <c r="CKU208"/>
      <c r="CKV208"/>
      <c r="CKW208"/>
      <c r="CKX208"/>
      <c r="CKY208"/>
      <c r="CKZ208"/>
      <c r="CLA208"/>
      <c r="CLB208"/>
      <c r="CLC208"/>
      <c r="CLD208"/>
      <c r="CLE208"/>
      <c r="CLF208"/>
      <c r="CLG208"/>
      <c r="CLH208"/>
      <c r="CLI208"/>
      <c r="CLJ208"/>
      <c r="CLK208"/>
      <c r="CLL208"/>
      <c r="CLM208"/>
      <c r="CLN208"/>
      <c r="CLO208"/>
      <c r="CLP208"/>
      <c r="CLQ208"/>
      <c r="CLR208"/>
      <c r="CLS208"/>
      <c r="CLT208"/>
      <c r="CLU208"/>
      <c r="CLV208"/>
      <c r="CLW208"/>
      <c r="CLX208"/>
      <c r="CLY208"/>
      <c r="CLZ208"/>
      <c r="CMA208"/>
      <c r="CMB208"/>
      <c r="CMC208"/>
      <c r="CMD208"/>
      <c r="CME208"/>
      <c r="CMF208"/>
      <c r="CMG208"/>
      <c r="CMH208"/>
      <c r="CMI208"/>
      <c r="CMJ208"/>
      <c r="CMK208"/>
      <c r="CML208"/>
      <c r="CMM208"/>
      <c r="CMN208"/>
      <c r="CMO208"/>
      <c r="CMP208"/>
      <c r="CMQ208"/>
      <c r="CMR208"/>
      <c r="CMS208"/>
      <c r="CMT208"/>
      <c r="CMU208"/>
      <c r="CMV208"/>
      <c r="CMW208"/>
      <c r="CMX208"/>
      <c r="CMY208"/>
      <c r="CMZ208"/>
      <c r="CNA208"/>
      <c r="CNB208"/>
      <c r="CNC208"/>
      <c r="CND208"/>
      <c r="CNE208"/>
      <c r="CNF208"/>
      <c r="CNG208"/>
      <c r="CNH208"/>
      <c r="CNI208"/>
      <c r="CNJ208"/>
      <c r="CNK208"/>
      <c r="CNL208"/>
      <c r="CNM208"/>
      <c r="CNN208"/>
      <c r="CNO208"/>
      <c r="CNP208"/>
      <c r="CNQ208"/>
      <c r="CNR208"/>
      <c r="CNS208"/>
      <c r="CNT208"/>
      <c r="CNU208"/>
      <c r="CNV208"/>
      <c r="CNW208"/>
      <c r="CNX208"/>
      <c r="CNY208"/>
      <c r="CNZ208"/>
      <c r="COA208"/>
      <c r="COB208"/>
      <c r="COC208"/>
      <c r="COD208"/>
      <c r="COE208"/>
      <c r="COF208"/>
      <c r="COG208"/>
      <c r="COH208"/>
      <c r="COI208"/>
      <c r="COJ208"/>
      <c r="COK208"/>
      <c r="COL208"/>
      <c r="COM208"/>
      <c r="CON208"/>
      <c r="COO208"/>
      <c r="COP208"/>
      <c r="COQ208"/>
      <c r="COR208"/>
      <c r="COS208"/>
      <c r="COT208"/>
      <c r="COU208"/>
      <c r="COV208"/>
      <c r="COW208"/>
      <c r="COX208"/>
      <c r="COY208"/>
      <c r="COZ208"/>
      <c r="CPA208"/>
      <c r="CPB208"/>
      <c r="CPC208"/>
      <c r="CPD208"/>
      <c r="CPE208"/>
      <c r="CPF208"/>
      <c r="CPG208"/>
      <c r="CPH208"/>
      <c r="CPI208"/>
      <c r="CPJ208"/>
      <c r="CPK208"/>
      <c r="CPL208"/>
      <c r="CPM208"/>
      <c r="CPN208"/>
      <c r="CPO208"/>
      <c r="CPP208"/>
      <c r="CPQ208"/>
      <c r="CPR208"/>
      <c r="CPS208"/>
      <c r="CPT208"/>
      <c r="CPU208"/>
      <c r="CPV208"/>
      <c r="CPW208"/>
      <c r="CPX208"/>
      <c r="CPY208"/>
      <c r="CPZ208"/>
      <c r="CQA208"/>
      <c r="CQB208"/>
      <c r="CQC208"/>
      <c r="CQD208"/>
      <c r="CQE208"/>
      <c r="CQF208"/>
      <c r="CQG208"/>
      <c r="CQH208"/>
      <c r="CQI208"/>
      <c r="CQJ208"/>
      <c r="CQK208"/>
      <c r="CQL208"/>
      <c r="CQM208"/>
      <c r="CQN208"/>
      <c r="CQO208"/>
      <c r="CQP208"/>
      <c r="CQQ208"/>
      <c r="CQR208"/>
      <c r="CQS208"/>
      <c r="CQT208"/>
      <c r="CQU208"/>
      <c r="CQV208"/>
      <c r="CQW208"/>
      <c r="CQX208"/>
      <c r="CQY208"/>
      <c r="CQZ208"/>
      <c r="CRA208"/>
      <c r="CRB208"/>
      <c r="CRC208"/>
      <c r="CRD208"/>
      <c r="CRE208"/>
      <c r="CRF208"/>
      <c r="CRG208"/>
      <c r="CRH208"/>
      <c r="CRI208"/>
      <c r="CRJ208"/>
      <c r="CRK208"/>
      <c r="CRL208"/>
      <c r="CRM208"/>
      <c r="CRN208"/>
      <c r="CRO208"/>
      <c r="CRP208"/>
      <c r="CRQ208"/>
      <c r="CRR208"/>
      <c r="CRS208"/>
      <c r="CRT208"/>
      <c r="CRU208"/>
      <c r="CRV208"/>
      <c r="CRW208"/>
      <c r="CRX208"/>
      <c r="CRY208"/>
      <c r="CRZ208"/>
      <c r="CSA208"/>
      <c r="CSB208"/>
      <c r="CSC208"/>
      <c r="CSD208"/>
      <c r="CSE208"/>
      <c r="CSF208"/>
      <c r="CSG208"/>
      <c r="CSH208"/>
      <c r="CSI208"/>
      <c r="CSJ208"/>
      <c r="CSK208"/>
      <c r="CSL208"/>
      <c r="CSM208"/>
      <c r="CSN208"/>
      <c r="CSO208"/>
      <c r="CSP208"/>
      <c r="CSQ208"/>
      <c r="CSR208"/>
      <c r="CSS208"/>
      <c r="CST208"/>
      <c r="CSU208"/>
      <c r="CSV208"/>
      <c r="CSW208"/>
      <c r="CSX208"/>
      <c r="CSY208"/>
      <c r="CSZ208"/>
      <c r="CTA208"/>
      <c r="CTB208"/>
      <c r="CTC208"/>
      <c r="CTD208"/>
      <c r="CTE208"/>
      <c r="CTF208"/>
      <c r="CTG208"/>
      <c r="CTH208"/>
      <c r="CTI208"/>
      <c r="CTJ208"/>
      <c r="CTK208"/>
      <c r="CTL208"/>
      <c r="CTM208"/>
      <c r="CTN208"/>
      <c r="CTO208"/>
      <c r="CTP208"/>
      <c r="CTQ208"/>
      <c r="CTR208"/>
      <c r="CTS208"/>
      <c r="CTT208"/>
      <c r="CTU208"/>
      <c r="CTV208"/>
      <c r="CTW208"/>
      <c r="CTX208"/>
      <c r="CTY208"/>
      <c r="CTZ208"/>
      <c r="CUA208"/>
      <c r="CUB208"/>
      <c r="CUC208"/>
      <c r="CUD208"/>
      <c r="CUE208"/>
      <c r="CUF208"/>
      <c r="CUG208"/>
      <c r="CUH208"/>
      <c r="CUI208"/>
      <c r="CUJ208"/>
      <c r="CUK208"/>
      <c r="CUL208"/>
      <c r="CUM208"/>
      <c r="CUN208"/>
      <c r="CUO208"/>
      <c r="CUP208"/>
      <c r="CUQ208"/>
      <c r="CUR208"/>
      <c r="CUS208"/>
      <c r="CUT208"/>
      <c r="CUU208"/>
      <c r="CUV208"/>
      <c r="CUW208"/>
      <c r="CUX208"/>
      <c r="CUY208"/>
      <c r="CUZ208"/>
      <c r="CVA208"/>
      <c r="CVB208"/>
      <c r="CVC208"/>
      <c r="CVD208"/>
      <c r="CVE208"/>
      <c r="CVF208"/>
      <c r="CVG208"/>
      <c r="CVH208"/>
      <c r="CVI208"/>
      <c r="CVJ208"/>
      <c r="CVK208"/>
      <c r="CVL208"/>
      <c r="CVM208"/>
      <c r="CVN208"/>
      <c r="CVO208"/>
      <c r="CVP208"/>
      <c r="CVQ208"/>
      <c r="CVR208"/>
      <c r="CVS208"/>
      <c r="CVT208"/>
      <c r="CVU208"/>
      <c r="CVV208"/>
      <c r="CVW208"/>
      <c r="CVX208"/>
      <c r="CVY208"/>
      <c r="CVZ208"/>
      <c r="CWA208"/>
      <c r="CWB208"/>
      <c r="CWC208"/>
      <c r="CWD208"/>
      <c r="CWE208"/>
      <c r="CWF208"/>
      <c r="CWG208"/>
      <c r="CWH208"/>
      <c r="CWI208"/>
      <c r="CWJ208"/>
      <c r="CWK208"/>
      <c r="CWL208"/>
      <c r="CWM208"/>
      <c r="CWN208"/>
      <c r="CWO208"/>
      <c r="CWP208"/>
      <c r="CWQ208"/>
      <c r="CWR208"/>
      <c r="CWS208"/>
      <c r="CWT208"/>
      <c r="CWU208"/>
      <c r="CWV208"/>
      <c r="CWW208"/>
      <c r="CWX208"/>
      <c r="CWY208"/>
      <c r="CWZ208"/>
      <c r="CXA208"/>
      <c r="CXB208"/>
      <c r="CXC208"/>
      <c r="CXD208"/>
      <c r="CXE208"/>
      <c r="CXF208"/>
      <c r="CXG208"/>
      <c r="CXH208"/>
      <c r="CXI208"/>
      <c r="CXJ208"/>
      <c r="CXK208"/>
      <c r="CXL208"/>
      <c r="CXM208"/>
      <c r="CXN208"/>
      <c r="CXO208"/>
      <c r="CXP208"/>
      <c r="CXQ208"/>
      <c r="CXR208"/>
      <c r="CXS208"/>
      <c r="CXT208"/>
      <c r="CXU208"/>
      <c r="CXV208"/>
      <c r="CXW208"/>
      <c r="CXX208"/>
      <c r="CXY208"/>
      <c r="CXZ208"/>
      <c r="CYA208"/>
      <c r="CYB208"/>
      <c r="CYC208"/>
      <c r="CYD208"/>
      <c r="CYE208"/>
      <c r="CYF208"/>
      <c r="CYG208"/>
      <c r="CYH208"/>
      <c r="CYI208"/>
      <c r="CYJ208"/>
      <c r="CYK208"/>
      <c r="CYL208"/>
      <c r="CYM208"/>
      <c r="CYN208"/>
      <c r="CYO208"/>
      <c r="CYP208"/>
      <c r="CYQ208"/>
      <c r="CYR208"/>
      <c r="CYS208"/>
      <c r="CYT208"/>
      <c r="CYU208"/>
      <c r="CYV208"/>
      <c r="CYW208"/>
      <c r="CYX208"/>
      <c r="CYY208"/>
      <c r="CYZ208"/>
      <c r="CZA208"/>
      <c r="CZB208"/>
      <c r="CZC208"/>
      <c r="CZD208"/>
      <c r="CZE208"/>
      <c r="CZF208"/>
      <c r="CZG208"/>
      <c r="CZH208"/>
      <c r="CZI208"/>
      <c r="CZJ208"/>
      <c r="CZK208"/>
      <c r="CZL208"/>
      <c r="CZM208"/>
      <c r="CZN208"/>
      <c r="CZO208"/>
      <c r="CZP208"/>
      <c r="CZQ208"/>
      <c r="CZR208"/>
      <c r="CZS208"/>
      <c r="CZT208"/>
      <c r="CZU208"/>
      <c r="CZV208"/>
      <c r="CZW208"/>
      <c r="CZX208"/>
      <c r="CZY208"/>
      <c r="CZZ208"/>
      <c r="DAA208"/>
      <c r="DAB208"/>
      <c r="DAC208"/>
      <c r="DAD208"/>
      <c r="DAE208"/>
      <c r="DAF208"/>
      <c r="DAG208"/>
      <c r="DAH208"/>
      <c r="DAI208"/>
      <c r="DAJ208"/>
      <c r="DAK208"/>
      <c r="DAL208"/>
      <c r="DAM208"/>
      <c r="DAN208"/>
      <c r="DAO208"/>
      <c r="DAP208"/>
      <c r="DAQ208"/>
      <c r="DAR208"/>
      <c r="DAS208"/>
      <c r="DAT208"/>
      <c r="DAU208"/>
      <c r="DAV208"/>
      <c r="DAW208"/>
      <c r="DAX208"/>
      <c r="DAY208"/>
      <c r="DAZ208"/>
      <c r="DBA208"/>
      <c r="DBB208"/>
      <c r="DBC208"/>
      <c r="DBD208"/>
      <c r="DBE208"/>
      <c r="DBF208"/>
      <c r="DBG208"/>
      <c r="DBH208"/>
      <c r="DBI208"/>
      <c r="DBJ208"/>
      <c r="DBK208"/>
      <c r="DBL208"/>
      <c r="DBM208"/>
      <c r="DBN208"/>
      <c r="DBO208"/>
      <c r="DBP208"/>
      <c r="DBQ208"/>
      <c r="DBR208"/>
      <c r="DBS208"/>
      <c r="DBT208"/>
      <c r="DBU208"/>
      <c r="DBV208"/>
      <c r="DBW208"/>
      <c r="DBX208"/>
      <c r="DBY208"/>
      <c r="DBZ208"/>
      <c r="DCA208"/>
      <c r="DCB208"/>
      <c r="DCC208"/>
      <c r="DCD208"/>
      <c r="DCE208"/>
      <c r="DCF208"/>
      <c r="DCG208"/>
      <c r="DCH208"/>
      <c r="DCI208"/>
      <c r="DCJ208"/>
      <c r="DCK208"/>
      <c r="DCL208"/>
      <c r="DCM208"/>
      <c r="DCN208"/>
      <c r="DCO208"/>
      <c r="DCP208"/>
      <c r="DCQ208"/>
      <c r="DCR208"/>
      <c r="DCS208"/>
      <c r="DCT208"/>
      <c r="DCU208"/>
      <c r="DCV208"/>
      <c r="DCW208"/>
      <c r="DCX208"/>
      <c r="DCY208"/>
      <c r="DCZ208"/>
      <c r="DDA208"/>
      <c r="DDB208"/>
      <c r="DDC208"/>
      <c r="DDD208"/>
      <c r="DDE208"/>
      <c r="DDF208"/>
      <c r="DDG208"/>
      <c r="DDH208"/>
      <c r="DDI208"/>
      <c r="DDJ208"/>
      <c r="DDK208"/>
      <c r="DDL208"/>
      <c r="DDM208"/>
      <c r="DDN208"/>
      <c r="DDO208"/>
      <c r="DDP208"/>
      <c r="DDQ208"/>
      <c r="DDR208"/>
      <c r="DDS208"/>
      <c r="DDT208"/>
      <c r="DDU208"/>
      <c r="DDV208"/>
      <c r="DDW208"/>
      <c r="DDX208"/>
      <c r="DDY208"/>
      <c r="DDZ208"/>
      <c r="DEA208"/>
      <c r="DEB208"/>
      <c r="DEC208"/>
      <c r="DED208"/>
      <c r="DEE208"/>
      <c r="DEF208"/>
      <c r="DEG208"/>
      <c r="DEH208"/>
      <c r="DEI208"/>
      <c r="DEJ208"/>
      <c r="DEK208"/>
      <c r="DEL208"/>
      <c r="DEM208"/>
      <c r="DEN208"/>
      <c r="DEO208"/>
      <c r="DEP208"/>
      <c r="DEQ208"/>
      <c r="DER208"/>
      <c r="DES208"/>
      <c r="DET208"/>
      <c r="DEU208"/>
      <c r="DEV208"/>
      <c r="DEW208"/>
      <c r="DEX208"/>
      <c r="DEY208"/>
      <c r="DEZ208"/>
      <c r="DFA208"/>
      <c r="DFB208"/>
      <c r="DFC208"/>
      <c r="DFD208"/>
      <c r="DFE208"/>
      <c r="DFF208"/>
      <c r="DFG208"/>
      <c r="DFH208"/>
      <c r="DFI208"/>
      <c r="DFJ208"/>
      <c r="DFK208"/>
      <c r="DFL208"/>
      <c r="DFM208"/>
      <c r="DFN208"/>
      <c r="DFO208"/>
      <c r="DFP208"/>
      <c r="DFQ208"/>
      <c r="DFR208"/>
      <c r="DFS208"/>
      <c r="DFT208"/>
      <c r="DFU208"/>
      <c r="DFV208"/>
      <c r="DFW208"/>
      <c r="DFX208"/>
      <c r="DFY208"/>
      <c r="DFZ208"/>
      <c r="DGA208"/>
      <c r="DGB208"/>
      <c r="DGC208"/>
      <c r="DGD208"/>
      <c r="DGE208"/>
      <c r="DGF208"/>
      <c r="DGG208"/>
      <c r="DGH208"/>
      <c r="DGI208"/>
      <c r="DGJ208"/>
      <c r="DGK208"/>
      <c r="DGL208"/>
      <c r="DGM208"/>
      <c r="DGN208"/>
      <c r="DGO208"/>
      <c r="DGP208"/>
      <c r="DGQ208"/>
      <c r="DGR208"/>
      <c r="DGS208"/>
      <c r="DGT208"/>
      <c r="DGU208"/>
      <c r="DGV208"/>
      <c r="DGW208"/>
      <c r="DGX208"/>
      <c r="DGY208"/>
      <c r="DGZ208"/>
      <c r="DHA208"/>
      <c r="DHB208"/>
      <c r="DHC208"/>
      <c r="DHD208"/>
      <c r="DHE208"/>
      <c r="DHF208"/>
      <c r="DHG208"/>
      <c r="DHH208"/>
      <c r="DHI208"/>
      <c r="DHJ208"/>
      <c r="DHK208"/>
      <c r="DHL208"/>
      <c r="DHM208"/>
      <c r="DHN208"/>
      <c r="DHO208"/>
      <c r="DHP208"/>
      <c r="DHQ208"/>
      <c r="DHR208"/>
      <c r="DHS208"/>
      <c r="DHT208"/>
      <c r="DHU208"/>
      <c r="DHV208"/>
      <c r="DHW208"/>
      <c r="DHX208"/>
      <c r="DHY208"/>
      <c r="DHZ208"/>
      <c r="DIA208"/>
      <c r="DIB208"/>
      <c r="DIC208"/>
      <c r="DID208"/>
      <c r="DIE208"/>
      <c r="DIF208"/>
      <c r="DIG208"/>
      <c r="DIH208"/>
      <c r="DII208"/>
      <c r="DIJ208"/>
      <c r="DIK208"/>
      <c r="DIL208"/>
      <c r="DIM208"/>
      <c r="DIN208"/>
      <c r="DIO208"/>
      <c r="DIP208"/>
      <c r="DIQ208"/>
      <c r="DIR208"/>
      <c r="DIS208"/>
      <c r="DIT208"/>
      <c r="DIU208"/>
      <c r="DIV208"/>
      <c r="DIW208"/>
      <c r="DIX208"/>
      <c r="DIY208"/>
      <c r="DIZ208"/>
      <c r="DJA208"/>
      <c r="DJB208"/>
      <c r="DJC208"/>
      <c r="DJD208"/>
      <c r="DJE208"/>
      <c r="DJF208"/>
      <c r="DJG208"/>
      <c r="DJH208"/>
      <c r="DJI208"/>
      <c r="DJJ208"/>
      <c r="DJK208"/>
      <c r="DJL208"/>
      <c r="DJM208"/>
      <c r="DJN208"/>
      <c r="DJO208"/>
      <c r="DJP208"/>
      <c r="DJQ208"/>
      <c r="DJR208"/>
      <c r="DJS208"/>
      <c r="DJT208"/>
      <c r="DJU208"/>
      <c r="DJV208"/>
      <c r="DJW208"/>
      <c r="DJX208"/>
      <c r="DJY208"/>
      <c r="DJZ208"/>
      <c r="DKA208"/>
      <c r="DKB208"/>
      <c r="DKC208"/>
      <c r="DKD208"/>
      <c r="DKE208"/>
      <c r="DKF208"/>
      <c r="DKG208"/>
      <c r="DKH208"/>
      <c r="DKI208"/>
      <c r="DKJ208"/>
      <c r="DKK208"/>
      <c r="DKL208"/>
      <c r="DKM208"/>
      <c r="DKN208"/>
      <c r="DKO208"/>
      <c r="DKP208"/>
      <c r="DKQ208"/>
      <c r="DKR208"/>
      <c r="DKS208"/>
      <c r="DKT208"/>
      <c r="DKU208"/>
      <c r="DKV208"/>
      <c r="DKW208"/>
      <c r="DKX208"/>
      <c r="DKY208"/>
      <c r="DKZ208"/>
      <c r="DLA208"/>
      <c r="DLB208"/>
      <c r="DLC208"/>
      <c r="DLD208"/>
      <c r="DLE208"/>
      <c r="DLF208"/>
      <c r="DLG208"/>
      <c r="DLH208"/>
      <c r="DLI208"/>
      <c r="DLJ208"/>
      <c r="DLK208"/>
      <c r="DLL208"/>
      <c r="DLM208"/>
      <c r="DLN208"/>
      <c r="DLO208"/>
      <c r="DLP208"/>
      <c r="DLQ208"/>
      <c r="DLR208"/>
      <c r="DLS208"/>
      <c r="DLT208"/>
      <c r="DLU208"/>
      <c r="DLV208"/>
      <c r="DLW208"/>
      <c r="DLX208"/>
      <c r="DLY208"/>
      <c r="DLZ208"/>
      <c r="DMA208"/>
      <c r="DMB208"/>
      <c r="DMC208"/>
      <c r="DMD208"/>
      <c r="DME208"/>
      <c r="DMF208"/>
      <c r="DMG208"/>
      <c r="DMH208"/>
      <c r="DMI208"/>
      <c r="DMJ208"/>
      <c r="DMK208"/>
      <c r="DML208"/>
      <c r="DMM208"/>
      <c r="DMN208"/>
      <c r="DMO208"/>
      <c r="DMP208"/>
      <c r="DMQ208"/>
      <c r="DMR208"/>
      <c r="DMS208"/>
      <c r="DMT208"/>
      <c r="DMU208"/>
      <c r="DMV208"/>
      <c r="DMW208"/>
      <c r="DMX208"/>
      <c r="DMY208"/>
      <c r="DMZ208"/>
      <c r="DNA208"/>
      <c r="DNB208"/>
      <c r="DNC208"/>
      <c r="DND208"/>
      <c r="DNE208"/>
      <c r="DNF208"/>
      <c r="DNG208"/>
      <c r="DNH208"/>
      <c r="DNI208"/>
      <c r="DNJ208"/>
      <c r="DNK208"/>
      <c r="DNL208"/>
      <c r="DNM208"/>
      <c r="DNN208"/>
      <c r="DNO208"/>
      <c r="DNP208"/>
      <c r="DNQ208"/>
      <c r="DNR208"/>
      <c r="DNS208"/>
      <c r="DNT208"/>
      <c r="DNU208"/>
      <c r="DNV208"/>
      <c r="DNW208"/>
      <c r="DNX208"/>
      <c r="DNY208"/>
      <c r="DNZ208"/>
      <c r="DOA208"/>
      <c r="DOB208"/>
      <c r="DOC208"/>
      <c r="DOD208"/>
      <c r="DOE208"/>
      <c r="DOF208"/>
      <c r="DOG208"/>
      <c r="DOH208"/>
      <c r="DOI208"/>
      <c r="DOJ208"/>
      <c r="DOK208"/>
      <c r="DOL208"/>
      <c r="DOM208"/>
      <c r="DON208"/>
      <c r="DOO208"/>
      <c r="DOP208"/>
      <c r="DOQ208"/>
      <c r="DOR208"/>
      <c r="DOS208"/>
      <c r="DOT208"/>
      <c r="DOU208"/>
      <c r="DOV208"/>
      <c r="DOW208"/>
      <c r="DOX208"/>
      <c r="DOY208"/>
      <c r="DOZ208"/>
      <c r="DPA208"/>
      <c r="DPB208"/>
      <c r="DPC208"/>
      <c r="DPD208"/>
      <c r="DPE208"/>
      <c r="DPF208"/>
      <c r="DPG208"/>
      <c r="DPH208"/>
      <c r="DPI208"/>
      <c r="DPJ208"/>
      <c r="DPK208"/>
      <c r="DPL208"/>
      <c r="DPM208"/>
      <c r="DPN208"/>
      <c r="DPO208"/>
      <c r="DPP208"/>
      <c r="DPQ208"/>
      <c r="DPR208"/>
      <c r="DPS208"/>
      <c r="DPT208"/>
      <c r="DPU208"/>
      <c r="DPV208"/>
      <c r="DPW208"/>
      <c r="DPX208"/>
      <c r="DPY208"/>
      <c r="DPZ208"/>
      <c r="DQA208"/>
      <c r="DQB208"/>
      <c r="DQC208"/>
      <c r="DQD208"/>
      <c r="DQE208"/>
      <c r="DQF208"/>
      <c r="DQG208"/>
      <c r="DQH208"/>
      <c r="DQI208"/>
      <c r="DQJ208"/>
      <c r="DQK208"/>
      <c r="DQL208"/>
      <c r="DQM208"/>
      <c r="DQN208"/>
      <c r="DQO208"/>
      <c r="DQP208"/>
      <c r="DQQ208"/>
      <c r="DQR208"/>
      <c r="DQS208"/>
      <c r="DQT208"/>
      <c r="DQU208"/>
      <c r="DQV208"/>
      <c r="DQW208"/>
      <c r="DQX208"/>
      <c r="DQY208"/>
      <c r="DQZ208"/>
      <c r="DRA208"/>
      <c r="DRB208"/>
      <c r="DRC208"/>
      <c r="DRD208"/>
      <c r="DRE208"/>
      <c r="DRF208"/>
      <c r="DRG208"/>
      <c r="DRH208"/>
      <c r="DRI208"/>
      <c r="DRJ208"/>
      <c r="DRK208"/>
      <c r="DRL208"/>
      <c r="DRM208"/>
      <c r="DRN208"/>
      <c r="DRO208"/>
      <c r="DRP208"/>
      <c r="DRQ208"/>
      <c r="DRR208"/>
      <c r="DRS208"/>
      <c r="DRT208"/>
      <c r="DRU208"/>
      <c r="DRV208"/>
      <c r="DRW208"/>
      <c r="DRX208"/>
      <c r="DRY208"/>
      <c r="DRZ208"/>
      <c r="DSA208"/>
      <c r="DSB208"/>
      <c r="DSC208"/>
      <c r="DSD208"/>
      <c r="DSE208"/>
      <c r="DSF208"/>
      <c r="DSG208"/>
      <c r="DSH208"/>
      <c r="DSI208"/>
      <c r="DSJ208"/>
      <c r="DSK208"/>
      <c r="DSL208"/>
      <c r="DSM208"/>
      <c r="DSN208"/>
      <c r="DSO208"/>
      <c r="DSP208"/>
      <c r="DSQ208"/>
      <c r="DSR208"/>
      <c r="DSS208"/>
      <c r="DST208"/>
      <c r="DSU208"/>
      <c r="DSV208"/>
      <c r="DSW208"/>
      <c r="DSX208"/>
      <c r="DSY208"/>
      <c r="DSZ208"/>
      <c r="DTA208"/>
      <c r="DTB208"/>
      <c r="DTC208"/>
      <c r="DTD208"/>
      <c r="DTE208"/>
      <c r="DTF208"/>
      <c r="DTG208"/>
      <c r="DTH208"/>
      <c r="DTI208"/>
      <c r="DTJ208"/>
      <c r="DTK208"/>
      <c r="DTL208"/>
      <c r="DTM208"/>
      <c r="DTN208"/>
      <c r="DTO208"/>
      <c r="DTP208"/>
      <c r="DTQ208"/>
      <c r="DTR208"/>
      <c r="DTS208"/>
      <c r="DTT208"/>
      <c r="DTU208"/>
      <c r="DTV208"/>
      <c r="DTW208"/>
      <c r="DTX208"/>
      <c r="DTY208"/>
      <c r="DTZ208"/>
      <c r="DUA208"/>
      <c r="DUB208"/>
      <c r="DUC208"/>
      <c r="DUD208"/>
      <c r="DUE208"/>
      <c r="DUF208"/>
      <c r="DUG208"/>
      <c r="DUH208"/>
      <c r="DUI208"/>
      <c r="DUJ208"/>
      <c r="DUK208"/>
      <c r="DUL208"/>
      <c r="DUM208"/>
      <c r="DUN208"/>
      <c r="DUO208"/>
      <c r="DUP208"/>
      <c r="DUQ208"/>
      <c r="DUR208"/>
      <c r="DUS208"/>
      <c r="DUT208"/>
      <c r="DUU208"/>
      <c r="DUV208"/>
      <c r="DUW208"/>
      <c r="DUX208"/>
      <c r="DUY208"/>
      <c r="DUZ208"/>
      <c r="DVA208"/>
      <c r="DVB208"/>
      <c r="DVC208"/>
      <c r="DVD208"/>
      <c r="DVE208"/>
      <c r="DVF208"/>
      <c r="DVG208"/>
      <c r="DVH208"/>
      <c r="DVI208"/>
      <c r="DVJ208"/>
      <c r="DVK208"/>
      <c r="DVL208"/>
      <c r="DVM208"/>
      <c r="DVN208"/>
      <c r="DVO208"/>
      <c r="DVP208"/>
      <c r="DVQ208"/>
      <c r="DVR208"/>
      <c r="DVS208"/>
      <c r="DVT208"/>
      <c r="DVU208"/>
      <c r="DVV208"/>
      <c r="DVW208"/>
      <c r="DVX208"/>
      <c r="DVY208"/>
      <c r="DVZ208"/>
      <c r="DWA208"/>
      <c r="DWB208"/>
      <c r="DWC208"/>
      <c r="DWD208"/>
      <c r="DWE208"/>
      <c r="DWF208"/>
      <c r="DWG208"/>
      <c r="DWH208"/>
      <c r="DWI208"/>
      <c r="DWJ208"/>
      <c r="DWK208"/>
      <c r="DWL208"/>
      <c r="DWM208"/>
      <c r="DWN208"/>
      <c r="DWO208"/>
      <c r="DWP208"/>
      <c r="DWQ208"/>
      <c r="DWR208"/>
      <c r="DWS208"/>
      <c r="DWT208"/>
      <c r="DWU208"/>
      <c r="DWV208"/>
      <c r="DWW208"/>
      <c r="DWX208"/>
      <c r="DWY208"/>
      <c r="DWZ208"/>
      <c r="DXA208"/>
      <c r="DXB208"/>
      <c r="DXC208"/>
      <c r="DXD208"/>
      <c r="DXE208"/>
      <c r="DXF208"/>
      <c r="DXG208"/>
      <c r="DXH208"/>
      <c r="DXI208"/>
      <c r="DXJ208"/>
      <c r="DXK208"/>
      <c r="DXL208"/>
      <c r="DXM208"/>
      <c r="DXN208"/>
      <c r="DXO208"/>
      <c r="DXP208"/>
      <c r="DXQ208"/>
      <c r="DXR208"/>
      <c r="DXS208"/>
      <c r="DXT208"/>
      <c r="DXU208"/>
      <c r="DXV208"/>
      <c r="DXW208"/>
      <c r="DXX208"/>
      <c r="DXY208"/>
      <c r="DXZ208"/>
      <c r="DYA208"/>
      <c r="DYB208"/>
      <c r="DYC208"/>
      <c r="DYD208"/>
      <c r="DYE208"/>
      <c r="DYF208"/>
      <c r="DYG208"/>
      <c r="DYH208"/>
      <c r="DYI208"/>
      <c r="DYJ208"/>
      <c r="DYK208"/>
      <c r="DYL208"/>
      <c r="DYM208"/>
      <c r="DYN208"/>
      <c r="DYO208"/>
      <c r="DYP208"/>
      <c r="DYQ208"/>
      <c r="DYR208"/>
      <c r="DYS208"/>
      <c r="DYT208"/>
      <c r="DYU208"/>
      <c r="DYV208"/>
      <c r="DYW208"/>
      <c r="DYX208"/>
      <c r="DYY208"/>
      <c r="DYZ208"/>
      <c r="DZA208"/>
      <c r="DZB208"/>
      <c r="DZC208"/>
      <c r="DZD208"/>
      <c r="DZE208"/>
      <c r="DZF208"/>
      <c r="DZG208"/>
      <c r="DZH208"/>
      <c r="DZI208"/>
      <c r="DZJ208"/>
      <c r="DZK208"/>
      <c r="DZL208"/>
      <c r="DZM208"/>
      <c r="DZN208"/>
      <c r="DZO208"/>
      <c r="DZP208"/>
      <c r="DZQ208"/>
      <c r="DZR208"/>
      <c r="DZS208"/>
      <c r="DZT208"/>
      <c r="DZU208"/>
      <c r="DZV208"/>
      <c r="DZW208"/>
      <c r="DZX208"/>
      <c r="DZY208"/>
      <c r="DZZ208"/>
      <c r="EAA208"/>
      <c r="EAB208"/>
      <c r="EAC208"/>
      <c r="EAD208"/>
      <c r="EAE208"/>
      <c r="EAF208"/>
      <c r="EAG208"/>
      <c r="EAH208"/>
      <c r="EAI208"/>
      <c r="EAJ208"/>
      <c r="EAK208"/>
      <c r="EAL208"/>
      <c r="EAM208"/>
      <c r="EAN208"/>
      <c r="EAO208"/>
      <c r="EAP208"/>
      <c r="EAQ208"/>
      <c r="EAR208"/>
      <c r="EAS208"/>
      <c r="EAT208"/>
      <c r="EAU208"/>
      <c r="EAV208"/>
      <c r="EAW208"/>
      <c r="EAX208"/>
      <c r="EAY208"/>
      <c r="EAZ208"/>
      <c r="EBA208"/>
      <c r="EBB208"/>
      <c r="EBC208"/>
      <c r="EBD208"/>
      <c r="EBE208"/>
      <c r="EBF208"/>
      <c r="EBG208"/>
      <c r="EBH208"/>
      <c r="EBI208"/>
      <c r="EBJ208"/>
      <c r="EBK208"/>
      <c r="EBL208"/>
      <c r="EBM208"/>
      <c r="EBN208"/>
      <c r="EBO208"/>
      <c r="EBP208"/>
      <c r="EBQ208"/>
      <c r="EBR208"/>
      <c r="EBS208"/>
      <c r="EBT208"/>
      <c r="EBU208"/>
      <c r="EBV208"/>
      <c r="EBW208"/>
      <c r="EBX208"/>
      <c r="EBY208"/>
      <c r="EBZ208"/>
      <c r="ECA208"/>
      <c r="ECB208"/>
      <c r="ECC208"/>
      <c r="ECD208"/>
      <c r="ECE208"/>
      <c r="ECF208"/>
      <c r="ECG208"/>
      <c r="ECH208"/>
      <c r="ECI208"/>
      <c r="ECJ208"/>
      <c r="ECK208"/>
      <c r="ECL208"/>
      <c r="ECM208"/>
      <c r="ECN208"/>
      <c r="ECO208"/>
      <c r="ECP208"/>
      <c r="ECQ208"/>
      <c r="ECR208"/>
      <c r="ECS208"/>
      <c r="ECT208"/>
      <c r="ECU208"/>
      <c r="ECV208"/>
      <c r="ECW208"/>
      <c r="ECX208"/>
      <c r="ECY208"/>
      <c r="ECZ208"/>
      <c r="EDA208"/>
      <c r="EDB208"/>
      <c r="EDC208"/>
      <c r="EDD208"/>
      <c r="EDE208"/>
      <c r="EDF208"/>
      <c r="EDG208"/>
      <c r="EDH208"/>
      <c r="EDI208"/>
      <c r="EDJ208"/>
      <c r="EDK208"/>
      <c r="EDL208"/>
      <c r="EDM208"/>
      <c r="EDN208"/>
      <c r="EDO208"/>
      <c r="EDP208"/>
      <c r="EDQ208"/>
      <c r="EDR208"/>
      <c r="EDS208"/>
      <c r="EDT208"/>
      <c r="EDU208"/>
      <c r="EDV208"/>
      <c r="EDW208"/>
      <c r="EDX208"/>
      <c r="EDY208"/>
      <c r="EDZ208"/>
      <c r="EEA208"/>
      <c r="EEB208"/>
      <c r="EEC208"/>
      <c r="EED208"/>
      <c r="EEE208"/>
      <c r="EEF208"/>
      <c r="EEG208"/>
      <c r="EEH208"/>
      <c r="EEI208"/>
      <c r="EEJ208"/>
      <c r="EEK208"/>
      <c r="EEL208"/>
      <c r="EEM208"/>
      <c r="EEN208"/>
      <c r="EEO208"/>
      <c r="EEP208"/>
      <c r="EEQ208"/>
      <c r="EER208"/>
      <c r="EES208"/>
      <c r="EET208"/>
      <c r="EEU208"/>
      <c r="EEV208"/>
      <c r="EEW208"/>
      <c r="EEX208"/>
      <c r="EEY208"/>
      <c r="EEZ208"/>
      <c r="EFA208"/>
      <c r="EFB208"/>
      <c r="EFC208"/>
      <c r="EFD208"/>
      <c r="EFE208"/>
      <c r="EFF208"/>
      <c r="EFG208"/>
      <c r="EFH208"/>
      <c r="EFI208"/>
      <c r="EFJ208"/>
      <c r="EFK208"/>
      <c r="EFL208"/>
      <c r="EFM208"/>
      <c r="EFN208"/>
      <c r="EFO208"/>
      <c r="EFP208"/>
      <c r="EFQ208"/>
      <c r="EFR208"/>
      <c r="EFS208"/>
      <c r="EFT208"/>
      <c r="EFU208"/>
      <c r="EFV208"/>
      <c r="EFW208"/>
      <c r="EFX208"/>
      <c r="EFY208"/>
      <c r="EFZ208"/>
      <c r="EGA208"/>
      <c r="EGB208"/>
      <c r="EGC208"/>
      <c r="EGD208"/>
      <c r="EGE208"/>
      <c r="EGF208"/>
      <c r="EGG208"/>
      <c r="EGH208"/>
      <c r="EGI208"/>
      <c r="EGJ208"/>
      <c r="EGK208"/>
      <c r="EGL208"/>
      <c r="EGM208"/>
      <c r="EGN208"/>
      <c r="EGO208"/>
      <c r="EGP208"/>
      <c r="EGQ208"/>
      <c r="EGR208"/>
      <c r="EGS208"/>
      <c r="EGT208"/>
      <c r="EGU208"/>
      <c r="EGV208"/>
      <c r="EGW208"/>
      <c r="EGX208"/>
      <c r="EGY208"/>
      <c r="EGZ208"/>
      <c r="EHA208"/>
      <c r="EHB208"/>
      <c r="EHC208"/>
      <c r="EHD208"/>
      <c r="EHE208"/>
      <c r="EHF208"/>
      <c r="EHG208"/>
      <c r="EHH208"/>
      <c r="EHI208"/>
      <c r="EHJ208"/>
      <c r="EHK208"/>
      <c r="EHL208"/>
      <c r="EHM208"/>
      <c r="EHN208"/>
      <c r="EHO208"/>
      <c r="EHP208"/>
      <c r="EHQ208"/>
      <c r="EHR208"/>
      <c r="EHS208"/>
      <c r="EHT208"/>
      <c r="EHU208"/>
      <c r="EHV208"/>
      <c r="EHW208"/>
      <c r="EHX208"/>
      <c r="EHY208"/>
      <c r="EHZ208"/>
      <c r="EIA208"/>
      <c r="EIB208"/>
      <c r="EIC208"/>
      <c r="EID208"/>
      <c r="EIE208"/>
      <c r="EIF208"/>
      <c r="EIG208"/>
      <c r="EIH208"/>
      <c r="EII208"/>
      <c r="EIJ208"/>
      <c r="EIK208"/>
      <c r="EIL208"/>
      <c r="EIM208"/>
      <c r="EIN208"/>
      <c r="EIO208"/>
      <c r="EIP208"/>
      <c r="EIQ208"/>
      <c r="EIR208"/>
      <c r="EIS208"/>
      <c r="EIT208"/>
      <c r="EIU208"/>
      <c r="EIV208"/>
      <c r="EIW208"/>
      <c r="EIX208"/>
      <c r="EIY208"/>
      <c r="EIZ208"/>
      <c r="EJA208"/>
      <c r="EJB208"/>
      <c r="EJC208"/>
      <c r="EJD208"/>
      <c r="EJE208"/>
      <c r="EJF208"/>
      <c r="EJG208"/>
      <c r="EJH208"/>
      <c r="EJI208"/>
      <c r="EJJ208"/>
      <c r="EJK208"/>
      <c r="EJL208"/>
      <c r="EJM208"/>
      <c r="EJN208"/>
      <c r="EJO208"/>
      <c r="EJP208"/>
      <c r="EJQ208"/>
      <c r="EJR208"/>
      <c r="EJS208"/>
      <c r="EJT208"/>
      <c r="EJU208"/>
      <c r="EJV208"/>
      <c r="EJW208"/>
      <c r="EJX208"/>
      <c r="EJY208"/>
      <c r="EJZ208"/>
      <c r="EKA208"/>
      <c r="EKB208"/>
      <c r="EKC208"/>
      <c r="EKD208"/>
      <c r="EKE208"/>
      <c r="EKF208"/>
      <c r="EKG208"/>
      <c r="EKH208"/>
      <c r="EKI208"/>
      <c r="EKJ208"/>
      <c r="EKK208"/>
      <c r="EKL208"/>
      <c r="EKM208"/>
      <c r="EKN208"/>
      <c r="EKO208"/>
      <c r="EKP208"/>
      <c r="EKQ208"/>
      <c r="EKR208"/>
      <c r="EKS208"/>
      <c r="EKT208"/>
      <c r="EKU208"/>
      <c r="EKV208"/>
      <c r="EKW208"/>
      <c r="EKX208"/>
      <c r="EKY208"/>
      <c r="EKZ208"/>
      <c r="ELA208"/>
      <c r="ELB208"/>
      <c r="ELC208"/>
      <c r="ELD208"/>
      <c r="ELE208"/>
      <c r="ELF208"/>
      <c r="ELG208"/>
      <c r="ELH208"/>
      <c r="ELI208"/>
      <c r="ELJ208"/>
      <c r="ELK208"/>
      <c r="ELL208"/>
      <c r="ELM208"/>
      <c r="ELN208"/>
      <c r="ELO208"/>
      <c r="ELP208"/>
      <c r="ELQ208"/>
      <c r="ELR208"/>
      <c r="ELS208"/>
      <c r="ELT208"/>
      <c r="ELU208"/>
      <c r="ELV208"/>
      <c r="ELW208"/>
      <c r="ELX208"/>
      <c r="ELY208"/>
      <c r="ELZ208"/>
      <c r="EMA208"/>
      <c r="EMB208"/>
      <c r="EMC208"/>
      <c r="EMD208"/>
      <c r="EME208"/>
      <c r="EMF208"/>
      <c r="EMG208"/>
      <c r="EMH208"/>
      <c r="EMI208"/>
      <c r="EMJ208"/>
      <c r="EMK208"/>
      <c r="EML208"/>
      <c r="EMM208"/>
      <c r="EMN208"/>
      <c r="EMO208"/>
      <c r="EMP208"/>
      <c r="EMQ208"/>
      <c r="EMR208"/>
      <c r="EMS208"/>
      <c r="EMT208"/>
      <c r="EMU208"/>
      <c r="EMV208"/>
      <c r="EMW208"/>
      <c r="EMX208"/>
      <c r="EMY208"/>
      <c r="EMZ208"/>
      <c r="ENA208"/>
      <c r="ENB208"/>
      <c r="ENC208"/>
      <c r="END208"/>
      <c r="ENE208"/>
      <c r="ENF208"/>
      <c r="ENG208"/>
      <c r="ENH208"/>
      <c r="ENI208"/>
      <c r="ENJ208"/>
      <c r="ENK208"/>
      <c r="ENL208"/>
      <c r="ENM208"/>
      <c r="ENN208"/>
      <c r="ENO208"/>
      <c r="ENP208"/>
      <c r="ENQ208"/>
      <c r="ENR208"/>
      <c r="ENS208"/>
      <c r="ENT208"/>
      <c r="ENU208"/>
      <c r="ENV208"/>
      <c r="ENW208"/>
      <c r="ENX208"/>
      <c r="ENY208"/>
      <c r="ENZ208"/>
      <c r="EOA208"/>
      <c r="EOB208"/>
      <c r="EOC208"/>
      <c r="EOD208"/>
      <c r="EOE208"/>
      <c r="EOF208"/>
      <c r="EOG208"/>
      <c r="EOH208"/>
      <c r="EOI208"/>
      <c r="EOJ208"/>
      <c r="EOK208"/>
      <c r="EOL208"/>
      <c r="EOM208"/>
      <c r="EON208"/>
      <c r="EOO208"/>
      <c r="EOP208"/>
      <c r="EOQ208"/>
      <c r="EOR208"/>
      <c r="EOS208"/>
      <c r="EOT208"/>
      <c r="EOU208"/>
      <c r="EOV208"/>
      <c r="EOW208"/>
      <c r="EOX208"/>
      <c r="EOY208"/>
      <c r="EOZ208"/>
      <c r="EPA208"/>
      <c r="EPB208"/>
      <c r="EPC208"/>
      <c r="EPD208"/>
      <c r="EPE208"/>
      <c r="EPF208"/>
      <c r="EPG208"/>
      <c r="EPH208"/>
      <c r="EPI208"/>
      <c r="EPJ208"/>
      <c r="EPK208"/>
      <c r="EPL208"/>
      <c r="EPM208"/>
      <c r="EPN208"/>
      <c r="EPO208"/>
      <c r="EPP208"/>
      <c r="EPQ208"/>
      <c r="EPR208"/>
      <c r="EPS208"/>
      <c r="EPT208"/>
      <c r="EPU208"/>
      <c r="EPV208"/>
      <c r="EPW208"/>
      <c r="EPX208"/>
      <c r="EPY208"/>
      <c r="EPZ208"/>
      <c r="EQA208"/>
      <c r="EQB208"/>
      <c r="EQC208"/>
      <c r="EQD208"/>
      <c r="EQE208"/>
      <c r="EQF208"/>
      <c r="EQG208"/>
      <c r="EQH208"/>
      <c r="EQI208"/>
      <c r="EQJ208"/>
      <c r="EQK208"/>
      <c r="EQL208"/>
      <c r="EQM208"/>
      <c r="EQN208"/>
      <c r="EQO208"/>
      <c r="EQP208"/>
      <c r="EQQ208"/>
      <c r="EQR208"/>
      <c r="EQS208"/>
      <c r="EQT208"/>
      <c r="EQU208"/>
      <c r="EQV208"/>
      <c r="EQW208"/>
      <c r="EQX208"/>
      <c r="EQY208"/>
      <c r="EQZ208"/>
      <c r="ERA208"/>
      <c r="ERB208"/>
      <c r="ERC208"/>
      <c r="ERD208"/>
      <c r="ERE208"/>
      <c r="ERF208"/>
      <c r="ERG208"/>
      <c r="ERH208"/>
      <c r="ERI208"/>
      <c r="ERJ208"/>
      <c r="ERK208"/>
      <c r="ERL208"/>
      <c r="ERM208"/>
      <c r="ERN208"/>
      <c r="ERO208"/>
      <c r="ERP208"/>
      <c r="ERQ208"/>
      <c r="ERR208"/>
      <c r="ERS208"/>
      <c r="ERT208"/>
      <c r="ERU208"/>
      <c r="ERV208"/>
      <c r="ERW208"/>
      <c r="ERX208"/>
      <c r="ERY208"/>
      <c r="ERZ208"/>
      <c r="ESA208"/>
      <c r="ESB208"/>
      <c r="ESC208"/>
      <c r="ESD208"/>
      <c r="ESE208"/>
      <c r="ESF208"/>
      <c r="ESG208"/>
      <c r="ESH208"/>
      <c r="ESI208"/>
      <c r="ESJ208"/>
      <c r="ESK208"/>
      <c r="ESL208"/>
      <c r="ESM208"/>
      <c r="ESN208"/>
      <c r="ESO208"/>
      <c r="ESP208"/>
      <c r="ESQ208"/>
      <c r="ESR208"/>
      <c r="ESS208"/>
      <c r="EST208"/>
      <c r="ESU208"/>
      <c r="ESV208"/>
      <c r="ESW208"/>
      <c r="ESX208"/>
      <c r="ESY208"/>
      <c r="ESZ208"/>
      <c r="ETA208"/>
      <c r="ETB208"/>
      <c r="ETC208"/>
      <c r="ETD208"/>
      <c r="ETE208"/>
      <c r="ETF208"/>
      <c r="ETG208"/>
      <c r="ETH208"/>
      <c r="ETI208"/>
      <c r="ETJ208"/>
      <c r="ETK208"/>
      <c r="ETL208"/>
      <c r="ETM208"/>
      <c r="ETN208"/>
      <c r="ETO208"/>
      <c r="ETP208"/>
      <c r="ETQ208"/>
      <c r="ETR208"/>
      <c r="ETS208"/>
      <c r="ETT208"/>
      <c r="ETU208"/>
      <c r="ETV208"/>
      <c r="ETW208"/>
      <c r="ETX208"/>
      <c r="ETY208"/>
      <c r="ETZ208"/>
      <c r="EUA208"/>
      <c r="EUB208"/>
      <c r="EUC208"/>
      <c r="EUD208"/>
      <c r="EUE208"/>
      <c r="EUF208"/>
      <c r="EUG208"/>
      <c r="EUH208"/>
      <c r="EUI208"/>
      <c r="EUJ208"/>
      <c r="EUK208"/>
      <c r="EUL208"/>
      <c r="EUM208"/>
      <c r="EUN208"/>
      <c r="EUO208"/>
      <c r="EUP208"/>
      <c r="EUQ208"/>
      <c r="EUR208"/>
      <c r="EUS208"/>
      <c r="EUT208"/>
      <c r="EUU208"/>
      <c r="EUV208"/>
      <c r="EUW208"/>
      <c r="EUX208"/>
      <c r="EUY208"/>
      <c r="EUZ208"/>
      <c r="EVA208"/>
      <c r="EVB208"/>
      <c r="EVC208"/>
      <c r="EVD208"/>
      <c r="EVE208"/>
      <c r="EVF208"/>
      <c r="EVG208"/>
      <c r="EVH208"/>
      <c r="EVI208"/>
      <c r="EVJ208"/>
      <c r="EVK208"/>
      <c r="EVL208"/>
      <c r="EVM208"/>
      <c r="EVN208"/>
      <c r="EVO208"/>
      <c r="EVP208"/>
      <c r="EVQ208"/>
      <c r="EVR208"/>
      <c r="EVS208"/>
      <c r="EVT208"/>
      <c r="EVU208"/>
      <c r="EVV208"/>
      <c r="EVW208"/>
      <c r="EVX208"/>
      <c r="EVY208"/>
      <c r="EVZ208"/>
      <c r="EWA208"/>
      <c r="EWB208"/>
      <c r="EWC208"/>
      <c r="EWD208"/>
      <c r="EWE208"/>
      <c r="EWF208"/>
      <c r="EWG208"/>
      <c r="EWH208"/>
      <c r="EWI208"/>
      <c r="EWJ208"/>
      <c r="EWK208"/>
      <c r="EWL208"/>
      <c r="EWM208"/>
      <c r="EWN208"/>
      <c r="EWO208"/>
      <c r="EWP208"/>
      <c r="EWQ208"/>
      <c r="EWR208"/>
      <c r="EWS208"/>
      <c r="EWT208"/>
      <c r="EWU208"/>
      <c r="EWV208"/>
      <c r="EWW208"/>
      <c r="EWX208"/>
      <c r="EWY208"/>
      <c r="EWZ208"/>
      <c r="EXA208"/>
      <c r="EXB208"/>
      <c r="EXC208"/>
      <c r="EXD208"/>
      <c r="EXE208"/>
      <c r="EXF208"/>
      <c r="EXG208"/>
      <c r="EXH208"/>
      <c r="EXI208"/>
      <c r="EXJ208"/>
      <c r="EXK208"/>
      <c r="EXL208"/>
      <c r="EXM208"/>
      <c r="EXN208"/>
      <c r="EXO208"/>
      <c r="EXP208"/>
      <c r="EXQ208"/>
      <c r="EXR208"/>
      <c r="EXS208"/>
      <c r="EXT208"/>
      <c r="EXU208"/>
      <c r="EXV208"/>
      <c r="EXW208"/>
      <c r="EXX208"/>
      <c r="EXY208"/>
      <c r="EXZ208"/>
      <c r="EYA208"/>
      <c r="EYB208"/>
      <c r="EYC208"/>
      <c r="EYD208"/>
      <c r="EYE208"/>
      <c r="EYF208"/>
      <c r="EYG208"/>
      <c r="EYH208"/>
      <c r="EYI208"/>
      <c r="EYJ208"/>
      <c r="EYK208"/>
      <c r="EYL208"/>
      <c r="EYM208"/>
      <c r="EYN208"/>
      <c r="EYO208"/>
      <c r="EYP208"/>
      <c r="EYQ208"/>
      <c r="EYR208"/>
      <c r="EYS208"/>
      <c r="EYT208"/>
      <c r="EYU208"/>
      <c r="EYV208"/>
      <c r="EYW208"/>
      <c r="EYX208"/>
      <c r="EYY208"/>
      <c r="EYZ208"/>
      <c r="EZA208"/>
      <c r="EZB208"/>
      <c r="EZC208"/>
      <c r="EZD208"/>
      <c r="EZE208"/>
      <c r="EZF208"/>
      <c r="EZG208"/>
      <c r="EZH208"/>
      <c r="EZI208"/>
      <c r="EZJ208"/>
      <c r="EZK208"/>
      <c r="EZL208"/>
      <c r="EZM208"/>
      <c r="EZN208"/>
      <c r="EZO208"/>
      <c r="EZP208"/>
      <c r="EZQ208"/>
      <c r="EZR208"/>
      <c r="EZS208"/>
      <c r="EZT208"/>
      <c r="EZU208"/>
      <c r="EZV208"/>
      <c r="EZW208"/>
      <c r="EZX208"/>
      <c r="EZY208"/>
      <c r="EZZ208"/>
      <c r="FAA208"/>
      <c r="FAB208"/>
      <c r="FAC208"/>
      <c r="FAD208"/>
      <c r="FAE208"/>
      <c r="FAF208"/>
      <c r="FAG208"/>
      <c r="FAH208"/>
      <c r="FAI208"/>
      <c r="FAJ208"/>
      <c r="FAK208"/>
      <c r="FAL208"/>
      <c r="FAM208"/>
      <c r="FAN208"/>
      <c r="FAO208"/>
      <c r="FAP208"/>
      <c r="FAQ208"/>
      <c r="FAR208"/>
      <c r="FAS208"/>
      <c r="FAT208"/>
      <c r="FAU208"/>
      <c r="FAV208"/>
      <c r="FAW208"/>
      <c r="FAX208"/>
      <c r="FAY208"/>
      <c r="FAZ208"/>
      <c r="FBA208"/>
      <c r="FBB208"/>
      <c r="FBC208"/>
      <c r="FBD208"/>
      <c r="FBE208"/>
      <c r="FBF208"/>
      <c r="FBG208"/>
      <c r="FBH208"/>
      <c r="FBI208"/>
      <c r="FBJ208"/>
      <c r="FBK208"/>
      <c r="FBL208"/>
      <c r="FBM208"/>
      <c r="FBN208"/>
      <c r="FBO208"/>
      <c r="FBP208"/>
      <c r="FBQ208"/>
      <c r="FBR208"/>
      <c r="FBS208"/>
      <c r="FBT208"/>
      <c r="FBU208"/>
      <c r="FBV208"/>
      <c r="FBW208"/>
      <c r="FBX208"/>
      <c r="FBY208"/>
      <c r="FBZ208"/>
      <c r="FCA208"/>
      <c r="FCB208"/>
      <c r="FCC208"/>
      <c r="FCD208"/>
      <c r="FCE208"/>
      <c r="FCF208"/>
      <c r="FCG208"/>
      <c r="FCH208"/>
      <c r="FCI208"/>
      <c r="FCJ208"/>
      <c r="FCK208"/>
      <c r="FCL208"/>
      <c r="FCM208"/>
      <c r="FCN208"/>
      <c r="FCO208"/>
      <c r="FCP208"/>
      <c r="FCQ208"/>
      <c r="FCR208"/>
      <c r="FCS208"/>
      <c r="FCT208"/>
      <c r="FCU208"/>
      <c r="FCV208"/>
      <c r="FCW208"/>
      <c r="FCX208"/>
      <c r="FCY208"/>
      <c r="FCZ208"/>
      <c r="FDA208"/>
      <c r="FDB208"/>
      <c r="FDC208"/>
      <c r="FDD208"/>
      <c r="FDE208"/>
      <c r="FDF208"/>
      <c r="FDG208"/>
      <c r="FDH208"/>
      <c r="FDI208"/>
      <c r="FDJ208"/>
      <c r="FDK208"/>
      <c r="FDL208"/>
      <c r="FDM208"/>
      <c r="FDN208"/>
      <c r="FDO208"/>
      <c r="FDP208"/>
      <c r="FDQ208"/>
      <c r="FDR208"/>
      <c r="FDS208"/>
      <c r="FDT208"/>
      <c r="FDU208"/>
      <c r="FDV208"/>
      <c r="FDW208"/>
      <c r="FDX208"/>
      <c r="FDY208"/>
      <c r="FDZ208"/>
      <c r="FEA208"/>
      <c r="FEB208"/>
      <c r="FEC208"/>
      <c r="FED208"/>
      <c r="FEE208"/>
      <c r="FEF208"/>
      <c r="FEG208"/>
      <c r="FEH208"/>
      <c r="FEI208"/>
      <c r="FEJ208"/>
      <c r="FEK208"/>
      <c r="FEL208"/>
      <c r="FEM208"/>
      <c r="FEN208"/>
      <c r="FEO208"/>
      <c r="FEP208"/>
      <c r="FEQ208"/>
      <c r="FER208"/>
      <c r="FES208"/>
      <c r="FET208"/>
      <c r="FEU208"/>
      <c r="FEV208"/>
      <c r="FEW208"/>
      <c r="FEX208"/>
      <c r="FEY208"/>
      <c r="FEZ208"/>
      <c r="FFA208"/>
      <c r="FFB208"/>
      <c r="FFC208"/>
      <c r="FFD208"/>
      <c r="FFE208"/>
      <c r="FFF208"/>
      <c r="FFG208"/>
      <c r="FFH208"/>
      <c r="FFI208"/>
      <c r="FFJ208"/>
      <c r="FFK208"/>
      <c r="FFL208"/>
      <c r="FFM208"/>
      <c r="FFN208"/>
      <c r="FFO208"/>
      <c r="FFP208"/>
      <c r="FFQ208"/>
      <c r="FFR208"/>
      <c r="FFS208"/>
      <c r="FFT208"/>
      <c r="FFU208"/>
      <c r="FFV208"/>
      <c r="FFW208"/>
      <c r="FFX208"/>
      <c r="FFY208"/>
      <c r="FFZ208"/>
      <c r="FGA208"/>
      <c r="FGB208"/>
      <c r="FGC208"/>
      <c r="FGD208"/>
      <c r="FGE208"/>
      <c r="FGF208"/>
      <c r="FGG208"/>
      <c r="FGH208"/>
      <c r="FGI208"/>
      <c r="FGJ208"/>
      <c r="FGK208"/>
      <c r="FGL208"/>
      <c r="FGM208"/>
      <c r="FGN208"/>
      <c r="FGO208"/>
      <c r="FGP208"/>
      <c r="FGQ208"/>
      <c r="FGR208"/>
      <c r="FGS208"/>
      <c r="FGT208"/>
      <c r="FGU208"/>
      <c r="FGV208"/>
      <c r="FGW208"/>
      <c r="FGX208"/>
      <c r="FGY208"/>
      <c r="FGZ208"/>
      <c r="FHA208"/>
      <c r="FHB208"/>
      <c r="FHC208"/>
      <c r="FHD208"/>
      <c r="FHE208"/>
      <c r="FHF208"/>
      <c r="FHG208"/>
      <c r="FHH208"/>
      <c r="FHI208"/>
      <c r="FHJ208"/>
      <c r="FHK208"/>
      <c r="FHL208"/>
      <c r="FHM208"/>
      <c r="FHN208"/>
      <c r="FHO208"/>
      <c r="FHP208"/>
      <c r="FHQ208"/>
      <c r="FHR208"/>
      <c r="FHS208"/>
      <c r="FHT208"/>
      <c r="FHU208"/>
      <c r="FHV208"/>
      <c r="FHW208"/>
      <c r="FHX208"/>
      <c r="FHY208"/>
      <c r="FHZ208"/>
      <c r="FIA208"/>
      <c r="FIB208"/>
      <c r="FIC208"/>
      <c r="FID208"/>
      <c r="FIE208"/>
      <c r="FIF208"/>
      <c r="FIG208"/>
      <c r="FIH208"/>
      <c r="FII208"/>
      <c r="FIJ208"/>
      <c r="FIK208"/>
      <c r="FIL208"/>
      <c r="FIM208"/>
      <c r="FIN208"/>
      <c r="FIO208"/>
      <c r="FIP208"/>
      <c r="FIQ208"/>
      <c r="FIR208"/>
      <c r="FIS208"/>
      <c r="FIT208"/>
      <c r="FIU208"/>
      <c r="FIV208"/>
      <c r="FIW208"/>
      <c r="FIX208"/>
      <c r="FIY208"/>
      <c r="FIZ208"/>
      <c r="FJA208"/>
      <c r="FJB208"/>
      <c r="FJC208"/>
      <c r="FJD208"/>
      <c r="FJE208"/>
      <c r="FJF208"/>
      <c r="FJG208"/>
      <c r="FJH208"/>
      <c r="FJI208"/>
      <c r="FJJ208"/>
      <c r="FJK208"/>
      <c r="FJL208"/>
      <c r="FJM208"/>
      <c r="FJN208"/>
      <c r="FJO208"/>
      <c r="FJP208"/>
      <c r="FJQ208"/>
      <c r="FJR208"/>
      <c r="FJS208"/>
      <c r="FJT208"/>
      <c r="FJU208"/>
      <c r="FJV208"/>
      <c r="FJW208"/>
      <c r="FJX208"/>
      <c r="FJY208"/>
      <c r="FJZ208"/>
      <c r="FKA208"/>
      <c r="FKB208"/>
      <c r="FKC208"/>
      <c r="FKD208"/>
      <c r="FKE208"/>
      <c r="FKF208"/>
      <c r="FKG208"/>
      <c r="FKH208"/>
      <c r="FKI208"/>
      <c r="FKJ208"/>
      <c r="FKK208"/>
      <c r="FKL208"/>
      <c r="FKM208"/>
      <c r="FKN208"/>
      <c r="FKO208"/>
      <c r="FKP208"/>
      <c r="FKQ208"/>
      <c r="FKR208"/>
      <c r="FKS208"/>
      <c r="FKT208"/>
      <c r="FKU208"/>
      <c r="FKV208"/>
      <c r="FKW208"/>
      <c r="FKX208"/>
      <c r="FKY208"/>
      <c r="FKZ208"/>
      <c r="FLA208"/>
      <c r="FLB208"/>
      <c r="FLC208"/>
      <c r="FLD208"/>
      <c r="FLE208"/>
      <c r="FLF208"/>
      <c r="FLG208"/>
      <c r="FLH208"/>
      <c r="FLI208"/>
      <c r="FLJ208"/>
      <c r="FLK208"/>
      <c r="FLL208"/>
      <c r="FLM208"/>
      <c r="FLN208"/>
      <c r="FLO208"/>
      <c r="FLP208"/>
      <c r="FLQ208"/>
      <c r="FLR208"/>
      <c r="FLS208"/>
      <c r="FLT208"/>
      <c r="FLU208"/>
      <c r="FLV208"/>
      <c r="FLW208"/>
      <c r="FLX208"/>
      <c r="FLY208"/>
      <c r="FLZ208"/>
      <c r="FMA208"/>
      <c r="FMB208"/>
      <c r="FMC208"/>
      <c r="FMD208"/>
      <c r="FME208"/>
      <c r="FMF208"/>
      <c r="FMG208"/>
      <c r="FMH208"/>
      <c r="FMI208"/>
      <c r="FMJ208"/>
      <c r="FMK208"/>
      <c r="FML208"/>
      <c r="FMM208"/>
      <c r="FMN208"/>
      <c r="FMO208"/>
      <c r="FMP208"/>
      <c r="FMQ208"/>
      <c r="FMR208"/>
      <c r="FMS208"/>
      <c r="FMT208"/>
      <c r="FMU208"/>
      <c r="FMV208"/>
      <c r="FMW208"/>
      <c r="FMX208"/>
      <c r="FMY208"/>
      <c r="FMZ208"/>
      <c r="FNA208"/>
      <c r="FNB208"/>
      <c r="FNC208"/>
      <c r="FND208"/>
      <c r="FNE208"/>
      <c r="FNF208"/>
      <c r="FNG208"/>
      <c r="FNH208"/>
      <c r="FNI208"/>
      <c r="FNJ208"/>
      <c r="FNK208"/>
      <c r="FNL208"/>
      <c r="FNM208"/>
      <c r="FNN208"/>
      <c r="FNO208"/>
      <c r="FNP208"/>
      <c r="FNQ208"/>
      <c r="FNR208"/>
      <c r="FNS208"/>
      <c r="FNT208"/>
      <c r="FNU208"/>
      <c r="FNV208"/>
      <c r="FNW208"/>
      <c r="FNX208"/>
      <c r="FNY208"/>
      <c r="FNZ208"/>
      <c r="FOA208"/>
      <c r="FOB208"/>
      <c r="FOC208"/>
      <c r="FOD208"/>
      <c r="FOE208"/>
      <c r="FOF208"/>
      <c r="FOG208"/>
      <c r="FOH208"/>
      <c r="FOI208"/>
      <c r="FOJ208"/>
      <c r="FOK208"/>
      <c r="FOL208"/>
      <c r="FOM208"/>
      <c r="FON208"/>
      <c r="FOO208"/>
      <c r="FOP208"/>
      <c r="FOQ208"/>
      <c r="FOR208"/>
      <c r="FOS208"/>
      <c r="FOT208"/>
      <c r="FOU208"/>
      <c r="FOV208"/>
      <c r="FOW208"/>
      <c r="FOX208"/>
      <c r="FOY208"/>
      <c r="FOZ208"/>
      <c r="FPA208"/>
      <c r="FPB208"/>
      <c r="FPC208"/>
      <c r="FPD208"/>
      <c r="FPE208"/>
      <c r="FPF208"/>
      <c r="FPG208"/>
      <c r="FPH208"/>
      <c r="FPI208"/>
      <c r="FPJ208"/>
      <c r="FPK208"/>
      <c r="FPL208"/>
      <c r="FPM208"/>
      <c r="FPN208"/>
      <c r="FPO208"/>
      <c r="FPP208"/>
      <c r="FPQ208"/>
      <c r="FPR208"/>
      <c r="FPS208"/>
      <c r="FPT208"/>
      <c r="FPU208"/>
      <c r="FPV208"/>
      <c r="FPW208"/>
      <c r="FPX208"/>
      <c r="FPY208"/>
      <c r="FPZ208"/>
      <c r="FQA208"/>
      <c r="FQB208"/>
      <c r="FQC208"/>
      <c r="FQD208"/>
      <c r="FQE208"/>
      <c r="FQF208"/>
      <c r="FQG208"/>
      <c r="FQH208"/>
      <c r="FQI208"/>
      <c r="FQJ208"/>
      <c r="FQK208"/>
      <c r="FQL208"/>
      <c r="FQM208"/>
      <c r="FQN208"/>
      <c r="FQO208"/>
      <c r="FQP208"/>
      <c r="FQQ208"/>
      <c r="FQR208"/>
      <c r="FQS208"/>
      <c r="FQT208"/>
      <c r="FQU208"/>
      <c r="FQV208"/>
      <c r="FQW208"/>
      <c r="FQX208"/>
      <c r="FQY208"/>
      <c r="FQZ208"/>
      <c r="FRA208"/>
      <c r="FRB208"/>
      <c r="FRC208"/>
      <c r="FRD208"/>
      <c r="FRE208"/>
      <c r="FRF208"/>
      <c r="FRG208"/>
      <c r="FRH208"/>
      <c r="FRI208"/>
      <c r="FRJ208"/>
      <c r="FRK208"/>
      <c r="FRL208"/>
      <c r="FRM208"/>
      <c r="FRN208"/>
      <c r="FRO208"/>
      <c r="FRP208"/>
      <c r="FRQ208"/>
      <c r="FRR208"/>
      <c r="FRS208"/>
      <c r="FRT208"/>
      <c r="FRU208"/>
      <c r="FRV208"/>
      <c r="FRW208"/>
      <c r="FRX208"/>
      <c r="FRY208"/>
      <c r="FRZ208"/>
      <c r="FSA208"/>
      <c r="FSB208"/>
      <c r="FSC208"/>
      <c r="FSD208"/>
      <c r="FSE208"/>
      <c r="FSF208"/>
      <c r="FSG208"/>
      <c r="FSH208"/>
      <c r="FSI208"/>
      <c r="FSJ208"/>
      <c r="FSK208"/>
      <c r="FSL208"/>
      <c r="FSM208"/>
      <c r="FSN208"/>
      <c r="FSO208"/>
      <c r="FSP208"/>
      <c r="FSQ208"/>
      <c r="FSR208"/>
      <c r="FSS208"/>
      <c r="FST208"/>
      <c r="FSU208"/>
      <c r="FSV208"/>
      <c r="FSW208"/>
      <c r="FSX208"/>
      <c r="FSY208"/>
      <c r="FSZ208"/>
      <c r="FTA208"/>
      <c r="FTB208"/>
      <c r="FTC208"/>
      <c r="FTD208"/>
      <c r="FTE208"/>
      <c r="FTF208"/>
      <c r="FTG208"/>
      <c r="FTH208"/>
      <c r="FTI208"/>
      <c r="FTJ208"/>
      <c r="FTK208"/>
      <c r="FTL208"/>
      <c r="FTM208"/>
      <c r="FTN208"/>
      <c r="FTO208"/>
      <c r="FTP208"/>
      <c r="FTQ208"/>
      <c r="FTR208"/>
      <c r="FTS208"/>
      <c r="FTT208"/>
      <c r="FTU208"/>
      <c r="FTV208"/>
      <c r="FTW208"/>
      <c r="FTX208"/>
      <c r="FTY208"/>
      <c r="FTZ208"/>
      <c r="FUA208"/>
      <c r="FUB208"/>
      <c r="FUC208"/>
      <c r="FUD208"/>
      <c r="FUE208"/>
      <c r="FUF208"/>
      <c r="FUG208"/>
      <c r="FUH208"/>
      <c r="FUI208"/>
      <c r="FUJ208"/>
      <c r="FUK208"/>
      <c r="FUL208"/>
      <c r="FUM208"/>
      <c r="FUN208"/>
      <c r="FUO208"/>
      <c r="FUP208"/>
      <c r="FUQ208"/>
      <c r="FUR208"/>
      <c r="FUS208"/>
      <c r="FUT208"/>
      <c r="FUU208"/>
      <c r="FUV208"/>
      <c r="FUW208"/>
      <c r="FUX208"/>
      <c r="FUY208"/>
      <c r="FUZ208"/>
      <c r="FVA208"/>
      <c r="FVB208"/>
      <c r="FVC208"/>
      <c r="FVD208"/>
      <c r="FVE208"/>
      <c r="FVF208"/>
      <c r="FVG208"/>
      <c r="FVH208"/>
      <c r="FVI208"/>
      <c r="FVJ208"/>
      <c r="FVK208"/>
      <c r="FVL208"/>
      <c r="FVM208"/>
      <c r="FVN208"/>
      <c r="FVO208"/>
      <c r="FVP208"/>
      <c r="FVQ208"/>
      <c r="FVR208"/>
      <c r="FVS208"/>
      <c r="FVT208"/>
      <c r="FVU208"/>
      <c r="FVV208"/>
      <c r="FVW208"/>
      <c r="FVX208"/>
      <c r="FVY208"/>
      <c r="FVZ208"/>
      <c r="FWA208"/>
      <c r="FWB208"/>
      <c r="FWC208"/>
      <c r="FWD208"/>
      <c r="FWE208"/>
      <c r="FWF208"/>
      <c r="FWG208"/>
      <c r="FWH208"/>
      <c r="FWI208"/>
      <c r="FWJ208"/>
      <c r="FWK208"/>
      <c r="FWL208"/>
      <c r="FWM208"/>
      <c r="FWN208"/>
      <c r="FWO208"/>
      <c r="FWP208"/>
      <c r="FWQ208"/>
      <c r="FWR208"/>
      <c r="FWS208"/>
      <c r="FWT208"/>
      <c r="FWU208"/>
      <c r="FWV208"/>
      <c r="FWW208"/>
      <c r="FWX208"/>
      <c r="FWY208"/>
      <c r="FWZ208"/>
      <c r="FXA208"/>
      <c r="FXB208"/>
      <c r="FXC208"/>
      <c r="FXD208"/>
      <c r="FXE208"/>
      <c r="FXF208"/>
      <c r="FXG208"/>
      <c r="FXH208"/>
      <c r="FXI208"/>
      <c r="FXJ208"/>
      <c r="FXK208"/>
      <c r="FXL208"/>
      <c r="FXM208"/>
      <c r="FXN208"/>
      <c r="FXO208"/>
      <c r="FXP208"/>
      <c r="FXQ208"/>
      <c r="FXR208"/>
      <c r="FXS208"/>
      <c r="FXT208"/>
      <c r="FXU208"/>
      <c r="FXV208"/>
      <c r="FXW208"/>
      <c r="FXX208"/>
      <c r="FXY208"/>
      <c r="FXZ208"/>
      <c r="FYA208"/>
      <c r="FYB208"/>
      <c r="FYC208"/>
      <c r="FYD208"/>
      <c r="FYE208"/>
      <c r="FYF208"/>
      <c r="FYG208"/>
      <c r="FYH208"/>
      <c r="FYI208"/>
      <c r="FYJ208"/>
      <c r="FYK208"/>
      <c r="FYL208"/>
      <c r="FYM208"/>
      <c r="FYN208"/>
      <c r="FYO208"/>
      <c r="FYP208"/>
      <c r="FYQ208"/>
      <c r="FYR208"/>
      <c r="FYS208"/>
      <c r="FYT208"/>
      <c r="FYU208"/>
      <c r="FYV208"/>
      <c r="FYW208"/>
      <c r="FYX208"/>
      <c r="FYY208"/>
      <c r="FYZ208"/>
      <c r="FZA208"/>
      <c r="FZB208"/>
      <c r="FZC208"/>
      <c r="FZD208"/>
      <c r="FZE208"/>
      <c r="FZF208"/>
      <c r="FZG208"/>
      <c r="FZH208"/>
      <c r="FZI208"/>
      <c r="FZJ208"/>
      <c r="FZK208"/>
      <c r="FZL208"/>
      <c r="FZM208"/>
      <c r="FZN208"/>
      <c r="FZO208"/>
      <c r="FZP208"/>
      <c r="FZQ208"/>
      <c r="FZR208"/>
      <c r="FZS208"/>
      <c r="FZT208"/>
      <c r="FZU208"/>
      <c r="FZV208"/>
      <c r="FZW208"/>
      <c r="FZX208"/>
      <c r="FZY208"/>
      <c r="FZZ208"/>
      <c r="GAA208"/>
      <c r="GAB208"/>
      <c r="GAC208"/>
      <c r="GAD208"/>
      <c r="GAE208"/>
      <c r="GAF208"/>
      <c r="GAG208"/>
      <c r="GAH208"/>
      <c r="GAI208"/>
      <c r="GAJ208"/>
      <c r="GAK208"/>
      <c r="GAL208"/>
      <c r="GAM208"/>
      <c r="GAN208"/>
      <c r="GAO208"/>
      <c r="GAP208"/>
      <c r="GAQ208"/>
      <c r="GAR208"/>
      <c r="GAS208"/>
      <c r="GAT208"/>
      <c r="GAU208"/>
      <c r="GAV208"/>
      <c r="GAW208"/>
      <c r="GAX208"/>
      <c r="GAY208"/>
      <c r="GAZ208"/>
      <c r="GBA208"/>
      <c r="GBB208"/>
      <c r="GBC208"/>
      <c r="GBD208"/>
      <c r="GBE208"/>
      <c r="GBF208"/>
      <c r="GBG208"/>
      <c r="GBH208"/>
      <c r="GBI208"/>
      <c r="GBJ208"/>
      <c r="GBK208"/>
      <c r="GBL208"/>
      <c r="GBM208"/>
      <c r="GBN208"/>
      <c r="GBO208"/>
      <c r="GBP208"/>
      <c r="GBQ208"/>
      <c r="GBR208"/>
      <c r="GBS208"/>
      <c r="GBT208"/>
      <c r="GBU208"/>
      <c r="GBV208"/>
      <c r="GBW208"/>
      <c r="GBX208"/>
      <c r="GBY208"/>
      <c r="GBZ208"/>
      <c r="GCA208"/>
      <c r="GCB208"/>
      <c r="GCC208"/>
      <c r="GCD208"/>
      <c r="GCE208"/>
      <c r="GCF208"/>
      <c r="GCG208"/>
      <c r="GCH208"/>
      <c r="GCI208"/>
      <c r="GCJ208"/>
      <c r="GCK208"/>
      <c r="GCL208"/>
      <c r="GCM208"/>
      <c r="GCN208"/>
      <c r="GCO208"/>
      <c r="GCP208"/>
      <c r="GCQ208"/>
      <c r="GCR208"/>
      <c r="GCS208"/>
      <c r="GCT208"/>
      <c r="GCU208"/>
      <c r="GCV208"/>
      <c r="GCW208"/>
      <c r="GCX208"/>
      <c r="GCY208"/>
      <c r="GCZ208"/>
      <c r="GDA208"/>
      <c r="GDB208"/>
      <c r="GDC208"/>
      <c r="GDD208"/>
      <c r="GDE208"/>
      <c r="GDF208"/>
      <c r="GDG208"/>
      <c r="GDH208"/>
      <c r="GDI208"/>
      <c r="GDJ208"/>
      <c r="GDK208"/>
      <c r="GDL208"/>
      <c r="GDM208"/>
      <c r="GDN208"/>
      <c r="GDO208"/>
      <c r="GDP208"/>
      <c r="GDQ208"/>
      <c r="GDR208"/>
      <c r="GDS208"/>
      <c r="GDT208"/>
      <c r="GDU208"/>
      <c r="GDV208"/>
      <c r="GDW208"/>
      <c r="GDX208"/>
      <c r="GDY208"/>
      <c r="GDZ208"/>
      <c r="GEA208"/>
      <c r="GEB208"/>
      <c r="GEC208"/>
      <c r="GED208"/>
      <c r="GEE208"/>
      <c r="GEF208"/>
      <c r="GEG208"/>
      <c r="GEH208"/>
      <c r="GEI208"/>
      <c r="GEJ208"/>
      <c r="GEK208"/>
      <c r="GEL208"/>
      <c r="GEM208"/>
      <c r="GEN208"/>
      <c r="GEO208"/>
      <c r="GEP208"/>
      <c r="GEQ208"/>
      <c r="GER208"/>
      <c r="GES208"/>
      <c r="GET208"/>
      <c r="GEU208"/>
      <c r="GEV208"/>
      <c r="GEW208"/>
      <c r="GEX208"/>
      <c r="GEY208"/>
      <c r="GEZ208"/>
      <c r="GFA208"/>
      <c r="GFB208"/>
      <c r="GFC208"/>
      <c r="GFD208"/>
      <c r="GFE208"/>
      <c r="GFF208"/>
      <c r="GFG208"/>
      <c r="GFH208"/>
      <c r="GFI208"/>
      <c r="GFJ208"/>
      <c r="GFK208"/>
      <c r="GFL208"/>
      <c r="GFM208"/>
      <c r="GFN208"/>
      <c r="GFO208"/>
      <c r="GFP208"/>
      <c r="GFQ208"/>
      <c r="GFR208"/>
      <c r="GFS208"/>
      <c r="GFT208"/>
      <c r="GFU208"/>
      <c r="GFV208"/>
      <c r="GFW208"/>
      <c r="GFX208"/>
      <c r="GFY208"/>
      <c r="GFZ208"/>
      <c r="GGA208"/>
      <c r="GGB208"/>
      <c r="GGC208"/>
      <c r="GGD208"/>
      <c r="GGE208"/>
      <c r="GGF208"/>
      <c r="GGG208"/>
      <c r="GGH208"/>
      <c r="GGI208"/>
      <c r="GGJ208"/>
      <c r="GGK208"/>
      <c r="GGL208"/>
      <c r="GGM208"/>
      <c r="GGN208"/>
      <c r="GGO208"/>
      <c r="GGP208"/>
      <c r="GGQ208"/>
      <c r="GGR208"/>
      <c r="GGS208"/>
      <c r="GGT208"/>
      <c r="GGU208"/>
      <c r="GGV208"/>
      <c r="GGW208"/>
      <c r="GGX208"/>
      <c r="GGY208"/>
      <c r="GGZ208"/>
      <c r="GHA208"/>
      <c r="GHB208"/>
      <c r="GHC208"/>
      <c r="GHD208"/>
      <c r="GHE208"/>
      <c r="GHF208"/>
      <c r="GHG208"/>
      <c r="GHH208"/>
      <c r="GHI208"/>
      <c r="GHJ208"/>
      <c r="GHK208"/>
      <c r="GHL208"/>
      <c r="GHM208"/>
      <c r="GHN208"/>
      <c r="GHO208"/>
      <c r="GHP208"/>
      <c r="GHQ208"/>
      <c r="GHR208"/>
      <c r="GHS208"/>
      <c r="GHT208"/>
      <c r="GHU208"/>
      <c r="GHV208"/>
      <c r="GHW208"/>
      <c r="GHX208"/>
      <c r="GHY208"/>
      <c r="GHZ208"/>
      <c r="GIA208"/>
      <c r="GIB208"/>
      <c r="GIC208"/>
      <c r="GID208"/>
      <c r="GIE208"/>
      <c r="GIF208"/>
      <c r="GIG208"/>
      <c r="GIH208"/>
      <c r="GII208"/>
      <c r="GIJ208"/>
      <c r="GIK208"/>
      <c r="GIL208"/>
      <c r="GIM208"/>
      <c r="GIN208"/>
      <c r="GIO208"/>
      <c r="GIP208"/>
      <c r="GIQ208"/>
      <c r="GIR208"/>
      <c r="GIS208"/>
      <c r="GIT208"/>
      <c r="GIU208"/>
      <c r="GIV208"/>
      <c r="GIW208"/>
      <c r="GIX208"/>
      <c r="GIY208"/>
      <c r="GIZ208"/>
      <c r="GJA208"/>
      <c r="GJB208"/>
      <c r="GJC208"/>
      <c r="GJD208"/>
      <c r="GJE208"/>
      <c r="GJF208"/>
      <c r="GJG208"/>
      <c r="GJH208"/>
      <c r="GJI208"/>
      <c r="GJJ208"/>
      <c r="GJK208"/>
      <c r="GJL208"/>
      <c r="GJM208"/>
      <c r="GJN208"/>
      <c r="GJO208"/>
      <c r="GJP208"/>
      <c r="GJQ208"/>
      <c r="GJR208"/>
      <c r="GJS208"/>
      <c r="GJT208"/>
      <c r="GJU208"/>
      <c r="GJV208"/>
      <c r="GJW208"/>
      <c r="GJX208"/>
      <c r="GJY208"/>
      <c r="GJZ208"/>
      <c r="GKA208"/>
      <c r="GKB208"/>
      <c r="GKC208"/>
      <c r="GKD208"/>
      <c r="GKE208"/>
      <c r="GKF208"/>
      <c r="GKG208"/>
      <c r="GKH208"/>
      <c r="GKI208"/>
      <c r="GKJ208"/>
      <c r="GKK208"/>
      <c r="GKL208"/>
      <c r="GKM208"/>
      <c r="GKN208"/>
      <c r="GKO208"/>
      <c r="GKP208"/>
      <c r="GKQ208"/>
      <c r="GKR208"/>
      <c r="GKS208"/>
      <c r="GKT208"/>
      <c r="GKU208"/>
      <c r="GKV208"/>
      <c r="GKW208"/>
      <c r="GKX208"/>
      <c r="GKY208"/>
      <c r="GKZ208"/>
      <c r="GLA208"/>
      <c r="GLB208"/>
      <c r="GLC208"/>
      <c r="GLD208"/>
      <c r="GLE208"/>
      <c r="GLF208"/>
      <c r="GLG208"/>
      <c r="GLH208"/>
      <c r="GLI208"/>
      <c r="GLJ208"/>
      <c r="GLK208"/>
      <c r="GLL208"/>
      <c r="GLM208"/>
      <c r="GLN208"/>
      <c r="GLO208"/>
      <c r="GLP208"/>
      <c r="GLQ208"/>
      <c r="GLR208"/>
      <c r="GLS208"/>
      <c r="GLT208"/>
      <c r="GLU208"/>
      <c r="GLV208"/>
      <c r="GLW208"/>
      <c r="GLX208"/>
      <c r="GLY208"/>
      <c r="GLZ208"/>
      <c r="GMA208"/>
      <c r="GMB208"/>
      <c r="GMC208"/>
      <c r="GMD208"/>
      <c r="GME208"/>
      <c r="GMF208"/>
      <c r="GMG208"/>
      <c r="GMH208"/>
      <c r="GMI208"/>
      <c r="GMJ208"/>
      <c r="GMK208"/>
      <c r="GML208"/>
      <c r="GMM208"/>
      <c r="GMN208"/>
      <c r="GMO208"/>
      <c r="GMP208"/>
      <c r="GMQ208"/>
      <c r="GMR208"/>
      <c r="GMS208"/>
      <c r="GMT208"/>
      <c r="GMU208"/>
      <c r="GMV208"/>
      <c r="GMW208"/>
      <c r="GMX208"/>
      <c r="GMY208"/>
      <c r="GMZ208"/>
      <c r="GNA208"/>
      <c r="GNB208"/>
      <c r="GNC208"/>
      <c r="GND208"/>
      <c r="GNE208"/>
      <c r="GNF208"/>
      <c r="GNG208"/>
      <c r="GNH208"/>
      <c r="GNI208"/>
      <c r="GNJ208"/>
      <c r="GNK208"/>
      <c r="GNL208"/>
      <c r="GNM208"/>
      <c r="GNN208"/>
      <c r="GNO208"/>
      <c r="GNP208"/>
      <c r="GNQ208"/>
      <c r="GNR208"/>
      <c r="GNS208"/>
      <c r="GNT208"/>
      <c r="GNU208"/>
      <c r="GNV208"/>
      <c r="GNW208"/>
      <c r="GNX208"/>
      <c r="GNY208"/>
      <c r="GNZ208"/>
      <c r="GOA208"/>
      <c r="GOB208"/>
      <c r="GOC208"/>
      <c r="GOD208"/>
      <c r="GOE208"/>
      <c r="GOF208"/>
      <c r="GOG208"/>
      <c r="GOH208"/>
      <c r="GOI208"/>
      <c r="GOJ208"/>
      <c r="GOK208"/>
      <c r="GOL208"/>
      <c r="GOM208"/>
      <c r="GON208"/>
      <c r="GOO208"/>
      <c r="GOP208"/>
      <c r="GOQ208"/>
      <c r="GOR208"/>
      <c r="GOS208"/>
      <c r="GOT208"/>
      <c r="GOU208"/>
      <c r="GOV208"/>
      <c r="GOW208"/>
      <c r="GOX208"/>
      <c r="GOY208"/>
      <c r="GOZ208"/>
      <c r="GPA208"/>
      <c r="GPB208"/>
      <c r="GPC208"/>
      <c r="GPD208"/>
      <c r="GPE208"/>
      <c r="GPF208"/>
      <c r="GPG208"/>
      <c r="GPH208"/>
      <c r="GPI208"/>
      <c r="GPJ208"/>
      <c r="GPK208"/>
      <c r="GPL208"/>
      <c r="GPM208"/>
      <c r="GPN208"/>
      <c r="GPO208"/>
      <c r="GPP208"/>
      <c r="GPQ208"/>
      <c r="GPR208"/>
      <c r="GPS208"/>
      <c r="GPT208"/>
      <c r="GPU208"/>
      <c r="GPV208"/>
      <c r="GPW208"/>
      <c r="GPX208"/>
      <c r="GPY208"/>
      <c r="GPZ208"/>
      <c r="GQA208"/>
      <c r="GQB208"/>
      <c r="GQC208"/>
      <c r="GQD208"/>
      <c r="GQE208"/>
      <c r="GQF208"/>
      <c r="GQG208"/>
      <c r="GQH208"/>
      <c r="GQI208"/>
      <c r="GQJ208"/>
      <c r="GQK208"/>
      <c r="GQL208"/>
      <c r="GQM208"/>
      <c r="GQN208"/>
      <c r="GQO208"/>
      <c r="GQP208"/>
      <c r="GQQ208"/>
      <c r="GQR208"/>
      <c r="GQS208"/>
      <c r="GQT208"/>
      <c r="GQU208"/>
      <c r="GQV208"/>
      <c r="GQW208"/>
      <c r="GQX208"/>
      <c r="GQY208"/>
      <c r="GQZ208"/>
      <c r="GRA208"/>
      <c r="GRB208"/>
      <c r="GRC208"/>
      <c r="GRD208"/>
      <c r="GRE208"/>
      <c r="GRF208"/>
      <c r="GRG208"/>
      <c r="GRH208"/>
      <c r="GRI208"/>
      <c r="GRJ208"/>
      <c r="GRK208"/>
      <c r="GRL208"/>
      <c r="GRM208"/>
      <c r="GRN208"/>
      <c r="GRO208"/>
      <c r="GRP208"/>
      <c r="GRQ208"/>
      <c r="GRR208"/>
      <c r="GRS208"/>
      <c r="GRT208"/>
      <c r="GRU208"/>
      <c r="GRV208"/>
      <c r="GRW208"/>
      <c r="GRX208"/>
      <c r="GRY208"/>
      <c r="GRZ208"/>
      <c r="GSA208"/>
      <c r="GSB208"/>
      <c r="GSC208"/>
      <c r="GSD208"/>
      <c r="GSE208"/>
      <c r="GSF208"/>
      <c r="GSG208"/>
      <c r="GSH208"/>
      <c r="GSI208"/>
      <c r="GSJ208"/>
      <c r="GSK208"/>
      <c r="GSL208"/>
      <c r="GSM208"/>
      <c r="GSN208"/>
      <c r="GSO208"/>
      <c r="GSP208"/>
      <c r="GSQ208"/>
      <c r="GSR208"/>
      <c r="GSS208"/>
      <c r="GST208"/>
      <c r="GSU208"/>
      <c r="GSV208"/>
      <c r="GSW208"/>
      <c r="GSX208"/>
      <c r="GSY208"/>
      <c r="GSZ208"/>
      <c r="GTA208"/>
      <c r="GTB208"/>
      <c r="GTC208"/>
      <c r="GTD208"/>
      <c r="GTE208"/>
      <c r="GTF208"/>
      <c r="GTG208"/>
      <c r="GTH208"/>
      <c r="GTI208"/>
      <c r="GTJ208"/>
      <c r="GTK208"/>
      <c r="GTL208"/>
      <c r="GTM208"/>
      <c r="GTN208"/>
      <c r="GTO208"/>
      <c r="GTP208"/>
      <c r="GTQ208"/>
      <c r="GTR208"/>
      <c r="GTS208"/>
      <c r="GTT208"/>
      <c r="GTU208"/>
      <c r="GTV208"/>
      <c r="GTW208"/>
      <c r="GTX208"/>
      <c r="GTY208"/>
      <c r="GTZ208"/>
      <c r="GUA208"/>
      <c r="GUB208"/>
      <c r="GUC208"/>
      <c r="GUD208"/>
      <c r="GUE208"/>
      <c r="GUF208"/>
      <c r="GUG208"/>
      <c r="GUH208"/>
      <c r="GUI208"/>
      <c r="GUJ208"/>
      <c r="GUK208"/>
      <c r="GUL208"/>
      <c r="GUM208"/>
      <c r="GUN208"/>
      <c r="GUO208"/>
      <c r="GUP208"/>
      <c r="GUQ208"/>
      <c r="GUR208"/>
      <c r="GUS208"/>
      <c r="GUT208"/>
      <c r="GUU208"/>
      <c r="GUV208"/>
      <c r="GUW208"/>
      <c r="GUX208"/>
      <c r="GUY208"/>
      <c r="GUZ208"/>
      <c r="GVA208"/>
      <c r="GVB208"/>
      <c r="GVC208"/>
      <c r="GVD208"/>
      <c r="GVE208"/>
      <c r="GVF208"/>
      <c r="GVG208"/>
      <c r="GVH208"/>
      <c r="GVI208"/>
      <c r="GVJ208"/>
      <c r="GVK208"/>
      <c r="GVL208"/>
      <c r="GVM208"/>
      <c r="GVN208"/>
      <c r="GVO208"/>
      <c r="GVP208"/>
      <c r="GVQ208"/>
      <c r="GVR208"/>
      <c r="GVS208"/>
      <c r="GVT208"/>
      <c r="GVU208"/>
      <c r="GVV208"/>
      <c r="GVW208"/>
      <c r="GVX208"/>
      <c r="GVY208"/>
      <c r="GVZ208"/>
      <c r="GWA208"/>
      <c r="GWB208"/>
      <c r="GWC208"/>
      <c r="GWD208"/>
      <c r="GWE208"/>
      <c r="GWF208"/>
      <c r="GWG208"/>
      <c r="GWH208"/>
      <c r="GWI208"/>
      <c r="GWJ208"/>
      <c r="GWK208"/>
      <c r="GWL208"/>
      <c r="GWM208"/>
      <c r="GWN208"/>
      <c r="GWO208"/>
      <c r="GWP208"/>
      <c r="GWQ208"/>
      <c r="GWR208"/>
      <c r="GWS208"/>
      <c r="GWT208"/>
      <c r="GWU208"/>
      <c r="GWV208"/>
      <c r="GWW208"/>
      <c r="GWX208"/>
      <c r="GWY208"/>
      <c r="GWZ208"/>
      <c r="GXA208"/>
      <c r="GXB208"/>
      <c r="GXC208"/>
      <c r="GXD208"/>
      <c r="GXE208"/>
      <c r="GXF208"/>
      <c r="GXG208"/>
      <c r="GXH208"/>
      <c r="GXI208"/>
      <c r="GXJ208"/>
      <c r="GXK208"/>
      <c r="GXL208"/>
      <c r="GXM208"/>
      <c r="GXN208"/>
      <c r="GXO208"/>
      <c r="GXP208"/>
      <c r="GXQ208"/>
      <c r="GXR208"/>
      <c r="GXS208"/>
      <c r="GXT208"/>
      <c r="GXU208"/>
      <c r="GXV208"/>
      <c r="GXW208"/>
      <c r="GXX208"/>
      <c r="GXY208"/>
      <c r="GXZ208"/>
      <c r="GYA208"/>
      <c r="GYB208"/>
      <c r="GYC208"/>
      <c r="GYD208"/>
      <c r="GYE208"/>
      <c r="GYF208"/>
      <c r="GYG208"/>
      <c r="GYH208"/>
      <c r="GYI208"/>
      <c r="GYJ208"/>
      <c r="GYK208"/>
      <c r="GYL208"/>
      <c r="GYM208"/>
      <c r="GYN208"/>
      <c r="GYO208"/>
      <c r="GYP208"/>
      <c r="GYQ208"/>
      <c r="GYR208"/>
      <c r="GYS208"/>
      <c r="GYT208"/>
      <c r="GYU208"/>
      <c r="GYV208"/>
      <c r="GYW208"/>
      <c r="GYX208"/>
      <c r="GYY208"/>
      <c r="GYZ208"/>
      <c r="GZA208"/>
      <c r="GZB208"/>
      <c r="GZC208"/>
      <c r="GZD208"/>
      <c r="GZE208"/>
      <c r="GZF208"/>
      <c r="GZG208"/>
      <c r="GZH208"/>
      <c r="GZI208"/>
      <c r="GZJ208"/>
      <c r="GZK208"/>
      <c r="GZL208"/>
      <c r="GZM208"/>
      <c r="GZN208"/>
      <c r="GZO208"/>
      <c r="GZP208"/>
      <c r="GZQ208"/>
      <c r="GZR208"/>
      <c r="GZS208"/>
      <c r="GZT208"/>
      <c r="GZU208"/>
      <c r="GZV208"/>
      <c r="GZW208"/>
      <c r="GZX208"/>
      <c r="GZY208"/>
      <c r="GZZ208"/>
      <c r="HAA208"/>
      <c r="HAB208"/>
      <c r="HAC208"/>
      <c r="HAD208"/>
      <c r="HAE208"/>
      <c r="HAF208"/>
      <c r="HAG208"/>
      <c r="HAH208"/>
      <c r="HAI208"/>
      <c r="HAJ208"/>
      <c r="HAK208"/>
      <c r="HAL208"/>
      <c r="HAM208"/>
      <c r="HAN208"/>
      <c r="HAO208"/>
      <c r="HAP208"/>
      <c r="HAQ208"/>
      <c r="HAR208"/>
      <c r="HAS208"/>
      <c r="HAT208"/>
      <c r="HAU208"/>
      <c r="HAV208"/>
      <c r="HAW208"/>
      <c r="HAX208"/>
      <c r="HAY208"/>
      <c r="HAZ208"/>
      <c r="HBA208"/>
      <c r="HBB208"/>
      <c r="HBC208"/>
      <c r="HBD208"/>
      <c r="HBE208"/>
      <c r="HBF208"/>
      <c r="HBG208"/>
      <c r="HBH208"/>
      <c r="HBI208"/>
      <c r="HBJ208"/>
      <c r="HBK208"/>
      <c r="HBL208"/>
      <c r="HBM208"/>
      <c r="HBN208"/>
      <c r="HBO208"/>
      <c r="HBP208"/>
      <c r="HBQ208"/>
      <c r="HBR208"/>
      <c r="HBS208"/>
      <c r="HBT208"/>
      <c r="HBU208"/>
      <c r="HBV208"/>
      <c r="HBW208"/>
      <c r="HBX208"/>
      <c r="HBY208"/>
      <c r="HBZ208"/>
      <c r="HCA208"/>
      <c r="HCB208"/>
      <c r="HCC208"/>
      <c r="HCD208"/>
      <c r="HCE208"/>
      <c r="HCF208"/>
      <c r="HCG208"/>
      <c r="HCH208"/>
      <c r="HCI208"/>
      <c r="HCJ208"/>
      <c r="HCK208"/>
      <c r="HCL208"/>
      <c r="HCM208"/>
      <c r="HCN208"/>
      <c r="HCO208"/>
      <c r="HCP208"/>
      <c r="HCQ208"/>
      <c r="HCR208"/>
      <c r="HCS208"/>
      <c r="HCT208"/>
      <c r="HCU208"/>
      <c r="HCV208"/>
      <c r="HCW208"/>
      <c r="HCX208"/>
      <c r="HCY208"/>
      <c r="HCZ208"/>
      <c r="HDA208"/>
      <c r="HDB208"/>
      <c r="HDC208"/>
      <c r="HDD208"/>
      <c r="HDE208"/>
      <c r="HDF208"/>
      <c r="HDG208"/>
      <c r="HDH208"/>
      <c r="HDI208"/>
      <c r="HDJ208"/>
      <c r="HDK208"/>
      <c r="HDL208"/>
      <c r="HDM208"/>
      <c r="HDN208"/>
      <c r="HDO208"/>
      <c r="HDP208"/>
      <c r="HDQ208"/>
      <c r="HDR208"/>
      <c r="HDS208"/>
      <c r="HDT208"/>
      <c r="HDU208"/>
      <c r="HDV208"/>
      <c r="HDW208"/>
      <c r="HDX208"/>
      <c r="HDY208"/>
      <c r="HDZ208"/>
      <c r="HEA208"/>
      <c r="HEB208"/>
      <c r="HEC208"/>
      <c r="HED208"/>
      <c r="HEE208"/>
      <c r="HEF208"/>
      <c r="HEG208"/>
      <c r="HEH208"/>
      <c r="HEI208"/>
      <c r="HEJ208"/>
      <c r="HEK208"/>
      <c r="HEL208"/>
      <c r="HEM208"/>
      <c r="HEN208"/>
      <c r="HEO208"/>
      <c r="HEP208"/>
      <c r="HEQ208"/>
      <c r="HER208"/>
      <c r="HES208"/>
      <c r="HET208"/>
      <c r="HEU208"/>
      <c r="HEV208"/>
      <c r="HEW208"/>
      <c r="HEX208"/>
      <c r="HEY208"/>
      <c r="HEZ208"/>
      <c r="HFA208"/>
      <c r="HFB208"/>
      <c r="HFC208"/>
      <c r="HFD208"/>
      <c r="HFE208"/>
      <c r="HFF208"/>
      <c r="HFG208"/>
      <c r="HFH208"/>
      <c r="HFI208"/>
      <c r="HFJ208"/>
      <c r="HFK208"/>
      <c r="HFL208"/>
      <c r="HFM208"/>
      <c r="HFN208"/>
      <c r="HFO208"/>
      <c r="HFP208"/>
      <c r="HFQ208"/>
      <c r="HFR208"/>
      <c r="HFS208"/>
      <c r="HFT208"/>
      <c r="HFU208"/>
      <c r="HFV208"/>
      <c r="HFW208"/>
      <c r="HFX208"/>
      <c r="HFY208"/>
      <c r="HFZ208"/>
      <c r="HGA208"/>
      <c r="HGB208"/>
      <c r="HGC208"/>
      <c r="HGD208"/>
      <c r="HGE208"/>
      <c r="HGF208"/>
      <c r="HGG208"/>
      <c r="HGH208"/>
      <c r="HGI208"/>
      <c r="HGJ208"/>
      <c r="HGK208"/>
      <c r="HGL208"/>
      <c r="HGM208"/>
      <c r="HGN208"/>
      <c r="HGO208"/>
      <c r="HGP208"/>
      <c r="HGQ208"/>
      <c r="HGR208"/>
      <c r="HGS208"/>
      <c r="HGT208"/>
      <c r="HGU208"/>
      <c r="HGV208"/>
      <c r="HGW208"/>
      <c r="HGX208"/>
      <c r="HGY208"/>
      <c r="HGZ208"/>
      <c r="HHA208"/>
      <c r="HHB208"/>
      <c r="HHC208"/>
      <c r="HHD208"/>
      <c r="HHE208"/>
      <c r="HHF208"/>
      <c r="HHG208"/>
      <c r="HHH208"/>
      <c r="HHI208"/>
      <c r="HHJ208"/>
      <c r="HHK208"/>
      <c r="HHL208"/>
      <c r="HHM208"/>
      <c r="HHN208"/>
      <c r="HHO208"/>
      <c r="HHP208"/>
      <c r="HHQ208"/>
      <c r="HHR208"/>
      <c r="HHS208"/>
      <c r="HHT208"/>
      <c r="HHU208"/>
      <c r="HHV208"/>
      <c r="HHW208"/>
      <c r="HHX208"/>
      <c r="HHY208"/>
      <c r="HHZ208"/>
      <c r="HIA208"/>
      <c r="HIB208"/>
      <c r="HIC208"/>
      <c r="HID208"/>
      <c r="HIE208"/>
      <c r="HIF208"/>
      <c r="HIG208"/>
      <c r="HIH208"/>
      <c r="HII208"/>
      <c r="HIJ208"/>
      <c r="HIK208"/>
      <c r="HIL208"/>
      <c r="HIM208"/>
      <c r="HIN208"/>
      <c r="HIO208"/>
      <c r="HIP208"/>
      <c r="HIQ208"/>
      <c r="HIR208"/>
      <c r="HIS208"/>
      <c r="HIT208"/>
      <c r="HIU208"/>
      <c r="HIV208"/>
      <c r="HIW208"/>
      <c r="HIX208"/>
      <c r="HIY208"/>
      <c r="HIZ208"/>
      <c r="HJA208"/>
      <c r="HJB208"/>
      <c r="HJC208"/>
      <c r="HJD208"/>
      <c r="HJE208"/>
      <c r="HJF208"/>
      <c r="HJG208"/>
      <c r="HJH208"/>
      <c r="HJI208"/>
      <c r="HJJ208"/>
      <c r="HJK208"/>
      <c r="HJL208"/>
      <c r="HJM208"/>
      <c r="HJN208"/>
      <c r="HJO208"/>
      <c r="HJP208"/>
      <c r="HJQ208"/>
      <c r="HJR208"/>
      <c r="HJS208"/>
      <c r="HJT208"/>
      <c r="HJU208"/>
      <c r="HJV208"/>
      <c r="HJW208"/>
      <c r="HJX208"/>
      <c r="HJY208"/>
      <c r="HJZ208"/>
      <c r="HKA208"/>
      <c r="HKB208"/>
      <c r="HKC208"/>
      <c r="HKD208"/>
      <c r="HKE208"/>
      <c r="HKF208"/>
      <c r="HKG208"/>
      <c r="HKH208"/>
      <c r="HKI208"/>
      <c r="HKJ208"/>
      <c r="HKK208"/>
      <c r="HKL208"/>
      <c r="HKM208"/>
      <c r="HKN208"/>
      <c r="HKO208"/>
      <c r="HKP208"/>
      <c r="HKQ208"/>
      <c r="HKR208"/>
      <c r="HKS208"/>
      <c r="HKT208"/>
      <c r="HKU208"/>
      <c r="HKV208"/>
      <c r="HKW208"/>
      <c r="HKX208"/>
      <c r="HKY208"/>
      <c r="HKZ208"/>
      <c r="HLA208"/>
      <c r="HLB208"/>
      <c r="HLC208"/>
      <c r="HLD208"/>
      <c r="HLE208"/>
      <c r="HLF208"/>
      <c r="HLG208"/>
      <c r="HLH208"/>
      <c r="HLI208"/>
      <c r="HLJ208"/>
      <c r="HLK208"/>
      <c r="HLL208"/>
      <c r="HLM208"/>
      <c r="HLN208"/>
      <c r="HLO208"/>
      <c r="HLP208"/>
      <c r="HLQ208"/>
      <c r="HLR208"/>
      <c r="HLS208"/>
      <c r="HLT208"/>
      <c r="HLU208"/>
      <c r="HLV208"/>
      <c r="HLW208"/>
      <c r="HLX208"/>
      <c r="HLY208"/>
      <c r="HLZ208"/>
      <c r="HMA208"/>
      <c r="HMB208"/>
      <c r="HMC208"/>
      <c r="HMD208"/>
      <c r="HME208"/>
      <c r="HMF208"/>
      <c r="HMG208"/>
      <c r="HMH208"/>
      <c r="HMI208"/>
      <c r="HMJ208"/>
      <c r="HMK208"/>
      <c r="HML208"/>
      <c r="HMM208"/>
      <c r="HMN208"/>
      <c r="HMO208"/>
      <c r="HMP208"/>
      <c r="HMQ208"/>
      <c r="HMR208"/>
      <c r="HMS208"/>
      <c r="HMT208"/>
      <c r="HMU208"/>
      <c r="HMV208"/>
      <c r="HMW208"/>
      <c r="HMX208"/>
      <c r="HMY208"/>
      <c r="HMZ208"/>
      <c r="HNA208"/>
      <c r="HNB208"/>
      <c r="HNC208"/>
      <c r="HND208"/>
      <c r="HNE208"/>
      <c r="HNF208"/>
      <c r="HNG208"/>
      <c r="HNH208"/>
      <c r="HNI208"/>
      <c r="HNJ208"/>
      <c r="HNK208"/>
      <c r="HNL208"/>
      <c r="HNM208"/>
      <c r="HNN208"/>
      <c r="HNO208"/>
      <c r="HNP208"/>
      <c r="HNQ208"/>
      <c r="HNR208"/>
      <c r="HNS208"/>
      <c r="HNT208"/>
      <c r="HNU208"/>
      <c r="HNV208"/>
      <c r="HNW208"/>
      <c r="HNX208"/>
      <c r="HNY208"/>
      <c r="HNZ208"/>
      <c r="HOA208"/>
      <c r="HOB208"/>
      <c r="HOC208"/>
      <c r="HOD208"/>
      <c r="HOE208"/>
      <c r="HOF208"/>
      <c r="HOG208"/>
      <c r="HOH208"/>
      <c r="HOI208"/>
      <c r="HOJ208"/>
      <c r="HOK208"/>
      <c r="HOL208"/>
      <c r="HOM208"/>
      <c r="HON208"/>
      <c r="HOO208"/>
      <c r="HOP208"/>
      <c r="HOQ208"/>
      <c r="HOR208"/>
      <c r="HOS208"/>
      <c r="HOT208"/>
      <c r="HOU208"/>
      <c r="HOV208"/>
      <c r="HOW208"/>
      <c r="HOX208"/>
      <c r="HOY208"/>
      <c r="HOZ208"/>
      <c r="HPA208"/>
      <c r="HPB208"/>
      <c r="HPC208"/>
      <c r="HPD208"/>
      <c r="HPE208"/>
      <c r="HPF208"/>
      <c r="HPG208"/>
      <c r="HPH208"/>
      <c r="HPI208"/>
      <c r="HPJ208"/>
      <c r="HPK208"/>
      <c r="HPL208"/>
      <c r="HPM208"/>
      <c r="HPN208"/>
      <c r="HPO208"/>
      <c r="HPP208"/>
      <c r="HPQ208"/>
      <c r="HPR208"/>
      <c r="HPS208"/>
      <c r="HPT208"/>
      <c r="HPU208"/>
      <c r="HPV208"/>
      <c r="HPW208"/>
      <c r="HPX208"/>
      <c r="HPY208"/>
      <c r="HPZ208"/>
      <c r="HQA208"/>
      <c r="HQB208"/>
      <c r="HQC208"/>
      <c r="HQD208"/>
      <c r="HQE208"/>
      <c r="HQF208"/>
      <c r="HQG208"/>
      <c r="HQH208"/>
      <c r="HQI208"/>
      <c r="HQJ208"/>
      <c r="HQK208"/>
      <c r="HQL208"/>
      <c r="HQM208"/>
      <c r="HQN208"/>
      <c r="HQO208"/>
      <c r="HQP208"/>
      <c r="HQQ208"/>
      <c r="HQR208"/>
      <c r="HQS208"/>
      <c r="HQT208"/>
      <c r="HQU208"/>
      <c r="HQV208"/>
      <c r="HQW208"/>
      <c r="HQX208"/>
      <c r="HQY208"/>
      <c r="HQZ208"/>
      <c r="HRA208"/>
      <c r="HRB208"/>
      <c r="HRC208"/>
      <c r="HRD208"/>
      <c r="HRE208"/>
      <c r="HRF208"/>
      <c r="HRG208"/>
      <c r="HRH208"/>
      <c r="HRI208"/>
      <c r="HRJ208"/>
      <c r="HRK208"/>
      <c r="HRL208"/>
      <c r="HRM208"/>
      <c r="HRN208"/>
      <c r="HRO208"/>
      <c r="HRP208"/>
      <c r="HRQ208"/>
      <c r="HRR208"/>
      <c r="HRS208"/>
      <c r="HRT208"/>
      <c r="HRU208"/>
      <c r="HRV208"/>
      <c r="HRW208"/>
      <c r="HRX208"/>
      <c r="HRY208"/>
      <c r="HRZ208"/>
      <c r="HSA208"/>
      <c r="HSB208"/>
      <c r="HSC208"/>
      <c r="HSD208"/>
      <c r="HSE208"/>
      <c r="HSF208"/>
      <c r="HSG208"/>
      <c r="HSH208"/>
      <c r="HSI208"/>
      <c r="HSJ208"/>
      <c r="HSK208"/>
      <c r="HSL208"/>
      <c r="HSM208"/>
      <c r="HSN208"/>
      <c r="HSO208"/>
      <c r="HSP208"/>
      <c r="HSQ208"/>
      <c r="HSR208"/>
      <c r="HSS208"/>
      <c r="HST208"/>
      <c r="HSU208"/>
      <c r="HSV208"/>
      <c r="HSW208"/>
      <c r="HSX208"/>
      <c r="HSY208"/>
      <c r="HSZ208"/>
      <c r="HTA208"/>
      <c r="HTB208"/>
      <c r="HTC208"/>
      <c r="HTD208"/>
      <c r="HTE208"/>
      <c r="HTF208"/>
      <c r="HTG208"/>
      <c r="HTH208"/>
      <c r="HTI208"/>
      <c r="HTJ208"/>
      <c r="HTK208"/>
      <c r="HTL208"/>
      <c r="HTM208"/>
      <c r="HTN208"/>
      <c r="HTO208"/>
      <c r="HTP208"/>
      <c r="HTQ208"/>
      <c r="HTR208"/>
      <c r="HTS208"/>
      <c r="HTT208"/>
      <c r="HTU208"/>
      <c r="HTV208"/>
      <c r="HTW208"/>
      <c r="HTX208"/>
      <c r="HTY208"/>
      <c r="HTZ208"/>
      <c r="HUA208"/>
      <c r="HUB208"/>
      <c r="HUC208"/>
      <c r="HUD208"/>
      <c r="HUE208"/>
      <c r="HUF208"/>
      <c r="HUG208"/>
      <c r="HUH208"/>
      <c r="HUI208"/>
      <c r="HUJ208"/>
      <c r="HUK208"/>
      <c r="HUL208"/>
      <c r="HUM208"/>
      <c r="HUN208"/>
      <c r="HUO208"/>
      <c r="HUP208"/>
      <c r="HUQ208"/>
      <c r="HUR208"/>
      <c r="HUS208"/>
      <c r="HUT208"/>
      <c r="HUU208"/>
      <c r="HUV208"/>
      <c r="HUW208"/>
      <c r="HUX208"/>
      <c r="HUY208"/>
      <c r="HUZ208"/>
      <c r="HVA208"/>
      <c r="HVB208"/>
      <c r="HVC208"/>
      <c r="HVD208"/>
      <c r="HVE208"/>
      <c r="HVF208"/>
      <c r="HVG208"/>
      <c r="HVH208"/>
      <c r="HVI208"/>
      <c r="HVJ208"/>
      <c r="HVK208"/>
      <c r="HVL208"/>
      <c r="HVM208"/>
      <c r="HVN208"/>
      <c r="HVO208"/>
      <c r="HVP208"/>
      <c r="HVQ208"/>
      <c r="HVR208"/>
      <c r="HVS208"/>
      <c r="HVT208"/>
      <c r="HVU208"/>
      <c r="HVV208"/>
      <c r="HVW208"/>
      <c r="HVX208"/>
      <c r="HVY208"/>
      <c r="HVZ208"/>
      <c r="HWA208"/>
      <c r="HWB208"/>
      <c r="HWC208"/>
      <c r="HWD208"/>
      <c r="HWE208"/>
      <c r="HWF208"/>
      <c r="HWG208"/>
      <c r="HWH208"/>
      <c r="HWI208"/>
      <c r="HWJ208"/>
      <c r="HWK208"/>
      <c r="HWL208"/>
      <c r="HWM208"/>
      <c r="HWN208"/>
      <c r="HWO208"/>
      <c r="HWP208"/>
      <c r="HWQ208"/>
      <c r="HWR208"/>
      <c r="HWS208"/>
      <c r="HWT208"/>
      <c r="HWU208"/>
      <c r="HWV208"/>
      <c r="HWW208"/>
      <c r="HWX208"/>
      <c r="HWY208"/>
      <c r="HWZ208"/>
      <c r="HXA208"/>
      <c r="HXB208"/>
      <c r="HXC208"/>
      <c r="HXD208"/>
      <c r="HXE208"/>
      <c r="HXF208"/>
      <c r="HXG208"/>
      <c r="HXH208"/>
      <c r="HXI208"/>
      <c r="HXJ208"/>
      <c r="HXK208"/>
      <c r="HXL208"/>
      <c r="HXM208"/>
      <c r="HXN208"/>
      <c r="HXO208"/>
      <c r="HXP208"/>
      <c r="HXQ208"/>
      <c r="HXR208"/>
      <c r="HXS208"/>
      <c r="HXT208"/>
      <c r="HXU208"/>
      <c r="HXV208"/>
      <c r="HXW208"/>
      <c r="HXX208"/>
      <c r="HXY208"/>
      <c r="HXZ208"/>
      <c r="HYA208"/>
      <c r="HYB208"/>
      <c r="HYC208"/>
      <c r="HYD208"/>
      <c r="HYE208"/>
      <c r="HYF208"/>
      <c r="HYG208"/>
      <c r="HYH208"/>
      <c r="HYI208"/>
      <c r="HYJ208"/>
      <c r="HYK208"/>
      <c r="HYL208"/>
      <c r="HYM208"/>
      <c r="HYN208"/>
      <c r="HYO208"/>
      <c r="HYP208"/>
      <c r="HYQ208"/>
      <c r="HYR208"/>
      <c r="HYS208"/>
      <c r="HYT208"/>
      <c r="HYU208"/>
      <c r="HYV208"/>
      <c r="HYW208"/>
      <c r="HYX208"/>
      <c r="HYY208"/>
      <c r="HYZ208"/>
      <c r="HZA208"/>
      <c r="HZB208"/>
      <c r="HZC208"/>
      <c r="HZD208"/>
      <c r="HZE208"/>
      <c r="HZF208"/>
      <c r="HZG208"/>
      <c r="HZH208"/>
      <c r="HZI208"/>
      <c r="HZJ208"/>
      <c r="HZK208"/>
      <c r="HZL208"/>
      <c r="HZM208"/>
      <c r="HZN208"/>
      <c r="HZO208"/>
      <c r="HZP208"/>
      <c r="HZQ208"/>
      <c r="HZR208"/>
      <c r="HZS208"/>
      <c r="HZT208"/>
      <c r="HZU208"/>
      <c r="HZV208"/>
      <c r="HZW208"/>
      <c r="HZX208"/>
      <c r="HZY208"/>
      <c r="HZZ208"/>
      <c r="IAA208"/>
      <c r="IAB208"/>
      <c r="IAC208"/>
      <c r="IAD208"/>
      <c r="IAE208"/>
      <c r="IAF208"/>
      <c r="IAG208"/>
      <c r="IAH208"/>
      <c r="IAI208"/>
      <c r="IAJ208"/>
      <c r="IAK208"/>
      <c r="IAL208"/>
      <c r="IAM208"/>
      <c r="IAN208"/>
      <c r="IAO208"/>
      <c r="IAP208"/>
      <c r="IAQ208"/>
      <c r="IAR208"/>
      <c r="IAS208"/>
      <c r="IAT208"/>
      <c r="IAU208"/>
      <c r="IAV208"/>
      <c r="IAW208"/>
      <c r="IAX208"/>
      <c r="IAY208"/>
      <c r="IAZ208"/>
      <c r="IBA208"/>
      <c r="IBB208"/>
      <c r="IBC208"/>
      <c r="IBD208"/>
      <c r="IBE208"/>
      <c r="IBF208"/>
      <c r="IBG208"/>
      <c r="IBH208"/>
      <c r="IBI208"/>
      <c r="IBJ208"/>
      <c r="IBK208"/>
      <c r="IBL208"/>
      <c r="IBM208"/>
      <c r="IBN208"/>
      <c r="IBO208"/>
      <c r="IBP208"/>
      <c r="IBQ208"/>
      <c r="IBR208"/>
      <c r="IBS208"/>
      <c r="IBT208"/>
      <c r="IBU208"/>
      <c r="IBV208"/>
      <c r="IBW208"/>
      <c r="IBX208"/>
      <c r="IBY208"/>
      <c r="IBZ208"/>
      <c r="ICA208"/>
      <c r="ICB208"/>
      <c r="ICC208"/>
      <c r="ICD208"/>
      <c r="ICE208"/>
      <c r="ICF208"/>
      <c r="ICG208"/>
      <c r="ICH208"/>
      <c r="ICI208"/>
      <c r="ICJ208"/>
      <c r="ICK208"/>
      <c r="ICL208"/>
      <c r="ICM208"/>
      <c r="ICN208"/>
      <c r="ICO208"/>
      <c r="ICP208"/>
      <c r="ICQ208"/>
      <c r="ICR208"/>
      <c r="ICS208"/>
      <c r="ICT208"/>
      <c r="ICU208"/>
      <c r="ICV208"/>
      <c r="ICW208"/>
      <c r="ICX208"/>
      <c r="ICY208"/>
      <c r="ICZ208"/>
      <c r="IDA208"/>
      <c r="IDB208"/>
      <c r="IDC208"/>
      <c r="IDD208"/>
      <c r="IDE208"/>
      <c r="IDF208"/>
      <c r="IDG208"/>
      <c r="IDH208"/>
      <c r="IDI208"/>
      <c r="IDJ208"/>
      <c r="IDK208"/>
      <c r="IDL208"/>
      <c r="IDM208"/>
      <c r="IDN208"/>
      <c r="IDO208"/>
      <c r="IDP208"/>
      <c r="IDQ208"/>
      <c r="IDR208"/>
      <c r="IDS208"/>
      <c r="IDT208"/>
      <c r="IDU208"/>
      <c r="IDV208"/>
      <c r="IDW208"/>
      <c r="IDX208"/>
      <c r="IDY208"/>
      <c r="IDZ208"/>
      <c r="IEA208"/>
      <c r="IEB208"/>
      <c r="IEC208"/>
      <c r="IED208"/>
      <c r="IEE208"/>
      <c r="IEF208"/>
      <c r="IEG208"/>
      <c r="IEH208"/>
      <c r="IEI208"/>
      <c r="IEJ208"/>
      <c r="IEK208"/>
      <c r="IEL208"/>
      <c r="IEM208"/>
      <c r="IEN208"/>
      <c r="IEO208"/>
      <c r="IEP208"/>
      <c r="IEQ208"/>
      <c r="IER208"/>
      <c r="IES208"/>
      <c r="IET208"/>
      <c r="IEU208"/>
      <c r="IEV208"/>
      <c r="IEW208"/>
      <c r="IEX208"/>
      <c r="IEY208"/>
      <c r="IEZ208"/>
      <c r="IFA208"/>
      <c r="IFB208"/>
      <c r="IFC208"/>
      <c r="IFD208"/>
      <c r="IFE208"/>
      <c r="IFF208"/>
      <c r="IFG208"/>
      <c r="IFH208"/>
      <c r="IFI208"/>
      <c r="IFJ208"/>
      <c r="IFK208"/>
      <c r="IFL208"/>
      <c r="IFM208"/>
      <c r="IFN208"/>
      <c r="IFO208"/>
      <c r="IFP208"/>
      <c r="IFQ208"/>
      <c r="IFR208"/>
      <c r="IFS208"/>
      <c r="IFT208"/>
      <c r="IFU208"/>
      <c r="IFV208"/>
      <c r="IFW208"/>
      <c r="IFX208"/>
      <c r="IFY208"/>
      <c r="IFZ208"/>
      <c r="IGA208"/>
      <c r="IGB208"/>
      <c r="IGC208"/>
      <c r="IGD208"/>
      <c r="IGE208"/>
      <c r="IGF208"/>
      <c r="IGG208"/>
      <c r="IGH208"/>
      <c r="IGI208"/>
      <c r="IGJ208"/>
      <c r="IGK208"/>
      <c r="IGL208"/>
      <c r="IGM208"/>
      <c r="IGN208"/>
      <c r="IGO208"/>
      <c r="IGP208"/>
      <c r="IGQ208"/>
      <c r="IGR208"/>
      <c r="IGS208"/>
      <c r="IGT208"/>
      <c r="IGU208"/>
      <c r="IGV208"/>
      <c r="IGW208"/>
      <c r="IGX208"/>
      <c r="IGY208"/>
      <c r="IGZ208"/>
      <c r="IHA208"/>
      <c r="IHB208"/>
      <c r="IHC208"/>
      <c r="IHD208"/>
      <c r="IHE208"/>
      <c r="IHF208"/>
      <c r="IHG208"/>
      <c r="IHH208"/>
      <c r="IHI208"/>
      <c r="IHJ208"/>
      <c r="IHK208"/>
      <c r="IHL208"/>
      <c r="IHM208"/>
      <c r="IHN208"/>
      <c r="IHO208"/>
      <c r="IHP208"/>
      <c r="IHQ208"/>
      <c r="IHR208"/>
      <c r="IHS208"/>
      <c r="IHT208"/>
      <c r="IHU208"/>
      <c r="IHV208"/>
      <c r="IHW208"/>
      <c r="IHX208"/>
      <c r="IHY208"/>
      <c r="IHZ208"/>
      <c r="IIA208"/>
      <c r="IIB208"/>
      <c r="IIC208"/>
      <c r="IID208"/>
      <c r="IIE208"/>
      <c r="IIF208"/>
      <c r="IIG208"/>
      <c r="IIH208"/>
      <c r="III208"/>
      <c r="IIJ208"/>
      <c r="IIK208"/>
      <c r="IIL208"/>
      <c r="IIM208"/>
      <c r="IIN208"/>
      <c r="IIO208"/>
      <c r="IIP208"/>
      <c r="IIQ208"/>
      <c r="IIR208"/>
      <c r="IIS208"/>
      <c r="IIT208"/>
      <c r="IIU208"/>
      <c r="IIV208"/>
      <c r="IIW208"/>
      <c r="IIX208"/>
      <c r="IIY208"/>
      <c r="IIZ208"/>
      <c r="IJA208"/>
      <c r="IJB208"/>
      <c r="IJC208"/>
      <c r="IJD208"/>
      <c r="IJE208"/>
      <c r="IJF208"/>
      <c r="IJG208"/>
      <c r="IJH208"/>
      <c r="IJI208"/>
      <c r="IJJ208"/>
      <c r="IJK208"/>
      <c r="IJL208"/>
      <c r="IJM208"/>
      <c r="IJN208"/>
      <c r="IJO208"/>
      <c r="IJP208"/>
      <c r="IJQ208"/>
      <c r="IJR208"/>
      <c r="IJS208"/>
      <c r="IJT208"/>
      <c r="IJU208"/>
      <c r="IJV208"/>
      <c r="IJW208"/>
      <c r="IJX208"/>
      <c r="IJY208"/>
      <c r="IJZ208"/>
      <c r="IKA208"/>
      <c r="IKB208"/>
      <c r="IKC208"/>
      <c r="IKD208"/>
      <c r="IKE208"/>
      <c r="IKF208"/>
      <c r="IKG208"/>
      <c r="IKH208"/>
      <c r="IKI208"/>
      <c r="IKJ208"/>
      <c r="IKK208"/>
      <c r="IKL208"/>
      <c r="IKM208"/>
      <c r="IKN208"/>
      <c r="IKO208"/>
      <c r="IKP208"/>
      <c r="IKQ208"/>
      <c r="IKR208"/>
      <c r="IKS208"/>
      <c r="IKT208"/>
      <c r="IKU208"/>
      <c r="IKV208"/>
      <c r="IKW208"/>
      <c r="IKX208"/>
      <c r="IKY208"/>
      <c r="IKZ208"/>
      <c r="ILA208"/>
      <c r="ILB208"/>
      <c r="ILC208"/>
      <c r="ILD208"/>
      <c r="ILE208"/>
      <c r="ILF208"/>
      <c r="ILG208"/>
      <c r="ILH208"/>
      <c r="ILI208"/>
      <c r="ILJ208"/>
      <c r="ILK208"/>
      <c r="ILL208"/>
      <c r="ILM208"/>
      <c r="ILN208"/>
      <c r="ILO208"/>
      <c r="ILP208"/>
      <c r="ILQ208"/>
      <c r="ILR208"/>
      <c r="ILS208"/>
      <c r="ILT208"/>
      <c r="ILU208"/>
      <c r="ILV208"/>
      <c r="ILW208"/>
      <c r="ILX208"/>
      <c r="ILY208"/>
      <c r="ILZ208"/>
      <c r="IMA208"/>
      <c r="IMB208"/>
      <c r="IMC208"/>
      <c r="IMD208"/>
      <c r="IME208"/>
      <c r="IMF208"/>
      <c r="IMG208"/>
      <c r="IMH208"/>
      <c r="IMI208"/>
      <c r="IMJ208"/>
      <c r="IMK208"/>
      <c r="IML208"/>
      <c r="IMM208"/>
      <c r="IMN208"/>
      <c r="IMO208"/>
      <c r="IMP208"/>
      <c r="IMQ208"/>
      <c r="IMR208"/>
      <c r="IMS208"/>
      <c r="IMT208"/>
      <c r="IMU208"/>
      <c r="IMV208"/>
      <c r="IMW208"/>
      <c r="IMX208"/>
      <c r="IMY208"/>
      <c r="IMZ208"/>
      <c r="INA208"/>
      <c r="INB208"/>
      <c r="INC208"/>
      <c r="IND208"/>
      <c r="INE208"/>
      <c r="INF208"/>
      <c r="ING208"/>
      <c r="INH208"/>
      <c r="INI208"/>
      <c r="INJ208"/>
      <c r="INK208"/>
      <c r="INL208"/>
      <c r="INM208"/>
      <c r="INN208"/>
      <c r="INO208"/>
      <c r="INP208"/>
      <c r="INQ208"/>
      <c r="INR208"/>
      <c r="INS208"/>
      <c r="INT208"/>
      <c r="INU208"/>
      <c r="INV208"/>
      <c r="INW208"/>
      <c r="INX208"/>
      <c r="INY208"/>
      <c r="INZ208"/>
      <c r="IOA208"/>
      <c r="IOB208"/>
      <c r="IOC208"/>
      <c r="IOD208"/>
      <c r="IOE208"/>
      <c r="IOF208"/>
      <c r="IOG208"/>
      <c r="IOH208"/>
      <c r="IOI208"/>
      <c r="IOJ208"/>
      <c r="IOK208"/>
      <c r="IOL208"/>
      <c r="IOM208"/>
      <c r="ION208"/>
      <c r="IOO208"/>
      <c r="IOP208"/>
      <c r="IOQ208"/>
      <c r="IOR208"/>
      <c r="IOS208"/>
      <c r="IOT208"/>
      <c r="IOU208"/>
      <c r="IOV208"/>
      <c r="IOW208"/>
      <c r="IOX208"/>
      <c r="IOY208"/>
      <c r="IOZ208"/>
      <c r="IPA208"/>
      <c r="IPB208"/>
      <c r="IPC208"/>
      <c r="IPD208"/>
      <c r="IPE208"/>
      <c r="IPF208"/>
      <c r="IPG208"/>
      <c r="IPH208"/>
      <c r="IPI208"/>
      <c r="IPJ208"/>
      <c r="IPK208"/>
      <c r="IPL208"/>
      <c r="IPM208"/>
      <c r="IPN208"/>
      <c r="IPO208"/>
      <c r="IPP208"/>
      <c r="IPQ208"/>
      <c r="IPR208"/>
      <c r="IPS208"/>
      <c r="IPT208"/>
      <c r="IPU208"/>
      <c r="IPV208"/>
      <c r="IPW208"/>
      <c r="IPX208"/>
      <c r="IPY208"/>
      <c r="IPZ208"/>
      <c r="IQA208"/>
      <c r="IQB208"/>
      <c r="IQC208"/>
      <c r="IQD208"/>
      <c r="IQE208"/>
      <c r="IQF208"/>
      <c r="IQG208"/>
      <c r="IQH208"/>
      <c r="IQI208"/>
      <c r="IQJ208"/>
      <c r="IQK208"/>
      <c r="IQL208"/>
      <c r="IQM208"/>
      <c r="IQN208"/>
      <c r="IQO208"/>
      <c r="IQP208"/>
      <c r="IQQ208"/>
      <c r="IQR208"/>
      <c r="IQS208"/>
      <c r="IQT208"/>
      <c r="IQU208"/>
      <c r="IQV208"/>
      <c r="IQW208"/>
      <c r="IQX208"/>
      <c r="IQY208"/>
      <c r="IQZ208"/>
      <c r="IRA208"/>
      <c r="IRB208"/>
      <c r="IRC208"/>
      <c r="IRD208"/>
      <c r="IRE208"/>
      <c r="IRF208"/>
      <c r="IRG208"/>
      <c r="IRH208"/>
      <c r="IRI208"/>
      <c r="IRJ208"/>
      <c r="IRK208"/>
      <c r="IRL208"/>
      <c r="IRM208"/>
      <c r="IRN208"/>
      <c r="IRO208"/>
      <c r="IRP208"/>
      <c r="IRQ208"/>
      <c r="IRR208"/>
      <c r="IRS208"/>
      <c r="IRT208"/>
      <c r="IRU208"/>
      <c r="IRV208"/>
      <c r="IRW208"/>
      <c r="IRX208"/>
      <c r="IRY208"/>
      <c r="IRZ208"/>
      <c r="ISA208"/>
      <c r="ISB208"/>
      <c r="ISC208"/>
      <c r="ISD208"/>
      <c r="ISE208"/>
      <c r="ISF208"/>
      <c r="ISG208"/>
      <c r="ISH208"/>
      <c r="ISI208"/>
      <c r="ISJ208"/>
      <c r="ISK208"/>
      <c r="ISL208"/>
      <c r="ISM208"/>
      <c r="ISN208"/>
      <c r="ISO208"/>
      <c r="ISP208"/>
      <c r="ISQ208"/>
      <c r="ISR208"/>
      <c r="ISS208"/>
      <c r="IST208"/>
      <c r="ISU208"/>
      <c r="ISV208"/>
      <c r="ISW208"/>
      <c r="ISX208"/>
      <c r="ISY208"/>
      <c r="ISZ208"/>
      <c r="ITA208"/>
      <c r="ITB208"/>
      <c r="ITC208"/>
      <c r="ITD208"/>
      <c r="ITE208"/>
      <c r="ITF208"/>
      <c r="ITG208"/>
      <c r="ITH208"/>
      <c r="ITI208"/>
      <c r="ITJ208"/>
      <c r="ITK208"/>
      <c r="ITL208"/>
      <c r="ITM208"/>
      <c r="ITN208"/>
      <c r="ITO208"/>
      <c r="ITP208"/>
      <c r="ITQ208"/>
      <c r="ITR208"/>
      <c r="ITS208"/>
      <c r="ITT208"/>
      <c r="ITU208"/>
      <c r="ITV208"/>
      <c r="ITW208"/>
      <c r="ITX208"/>
      <c r="ITY208"/>
      <c r="ITZ208"/>
      <c r="IUA208"/>
      <c r="IUB208"/>
      <c r="IUC208"/>
      <c r="IUD208"/>
      <c r="IUE208"/>
      <c r="IUF208"/>
      <c r="IUG208"/>
      <c r="IUH208"/>
      <c r="IUI208"/>
      <c r="IUJ208"/>
      <c r="IUK208"/>
      <c r="IUL208"/>
      <c r="IUM208"/>
      <c r="IUN208"/>
      <c r="IUO208"/>
      <c r="IUP208"/>
      <c r="IUQ208"/>
      <c r="IUR208"/>
      <c r="IUS208"/>
      <c r="IUT208"/>
      <c r="IUU208"/>
      <c r="IUV208"/>
      <c r="IUW208"/>
      <c r="IUX208"/>
      <c r="IUY208"/>
      <c r="IUZ208"/>
      <c r="IVA208"/>
      <c r="IVB208"/>
      <c r="IVC208"/>
      <c r="IVD208"/>
      <c r="IVE208"/>
      <c r="IVF208"/>
      <c r="IVG208"/>
      <c r="IVH208"/>
      <c r="IVI208"/>
      <c r="IVJ208"/>
      <c r="IVK208"/>
      <c r="IVL208"/>
      <c r="IVM208"/>
      <c r="IVN208"/>
      <c r="IVO208"/>
      <c r="IVP208"/>
      <c r="IVQ208"/>
      <c r="IVR208"/>
      <c r="IVS208"/>
      <c r="IVT208"/>
      <c r="IVU208"/>
      <c r="IVV208"/>
      <c r="IVW208"/>
      <c r="IVX208"/>
      <c r="IVY208"/>
      <c r="IVZ208"/>
      <c r="IWA208"/>
      <c r="IWB208"/>
      <c r="IWC208"/>
      <c r="IWD208"/>
      <c r="IWE208"/>
      <c r="IWF208"/>
      <c r="IWG208"/>
      <c r="IWH208"/>
      <c r="IWI208"/>
      <c r="IWJ208"/>
      <c r="IWK208"/>
      <c r="IWL208"/>
      <c r="IWM208"/>
      <c r="IWN208"/>
      <c r="IWO208"/>
      <c r="IWP208"/>
      <c r="IWQ208"/>
      <c r="IWR208"/>
      <c r="IWS208"/>
      <c r="IWT208"/>
      <c r="IWU208"/>
      <c r="IWV208"/>
      <c r="IWW208"/>
      <c r="IWX208"/>
      <c r="IWY208"/>
      <c r="IWZ208"/>
      <c r="IXA208"/>
      <c r="IXB208"/>
      <c r="IXC208"/>
      <c r="IXD208"/>
      <c r="IXE208"/>
      <c r="IXF208"/>
      <c r="IXG208"/>
      <c r="IXH208"/>
      <c r="IXI208"/>
      <c r="IXJ208"/>
      <c r="IXK208"/>
      <c r="IXL208"/>
      <c r="IXM208"/>
      <c r="IXN208"/>
      <c r="IXO208"/>
      <c r="IXP208"/>
      <c r="IXQ208"/>
      <c r="IXR208"/>
      <c r="IXS208"/>
      <c r="IXT208"/>
      <c r="IXU208"/>
      <c r="IXV208"/>
      <c r="IXW208"/>
      <c r="IXX208"/>
      <c r="IXY208"/>
      <c r="IXZ208"/>
      <c r="IYA208"/>
      <c r="IYB208"/>
      <c r="IYC208"/>
      <c r="IYD208"/>
      <c r="IYE208"/>
      <c r="IYF208"/>
      <c r="IYG208"/>
      <c r="IYH208"/>
      <c r="IYI208"/>
      <c r="IYJ208"/>
      <c r="IYK208"/>
      <c r="IYL208"/>
      <c r="IYM208"/>
      <c r="IYN208"/>
      <c r="IYO208"/>
      <c r="IYP208"/>
      <c r="IYQ208"/>
      <c r="IYR208"/>
      <c r="IYS208"/>
      <c r="IYT208"/>
      <c r="IYU208"/>
      <c r="IYV208"/>
      <c r="IYW208"/>
      <c r="IYX208"/>
      <c r="IYY208"/>
      <c r="IYZ208"/>
      <c r="IZA208"/>
      <c r="IZB208"/>
      <c r="IZC208"/>
      <c r="IZD208"/>
      <c r="IZE208"/>
      <c r="IZF208"/>
      <c r="IZG208"/>
      <c r="IZH208"/>
      <c r="IZI208"/>
      <c r="IZJ208"/>
      <c r="IZK208"/>
      <c r="IZL208"/>
      <c r="IZM208"/>
      <c r="IZN208"/>
      <c r="IZO208"/>
      <c r="IZP208"/>
      <c r="IZQ208"/>
      <c r="IZR208"/>
      <c r="IZS208"/>
      <c r="IZT208"/>
      <c r="IZU208"/>
      <c r="IZV208"/>
      <c r="IZW208"/>
      <c r="IZX208"/>
      <c r="IZY208"/>
      <c r="IZZ208"/>
      <c r="JAA208"/>
      <c r="JAB208"/>
      <c r="JAC208"/>
      <c r="JAD208"/>
      <c r="JAE208"/>
      <c r="JAF208"/>
      <c r="JAG208"/>
      <c r="JAH208"/>
      <c r="JAI208"/>
      <c r="JAJ208"/>
      <c r="JAK208"/>
      <c r="JAL208"/>
      <c r="JAM208"/>
      <c r="JAN208"/>
      <c r="JAO208"/>
      <c r="JAP208"/>
      <c r="JAQ208"/>
      <c r="JAR208"/>
      <c r="JAS208"/>
      <c r="JAT208"/>
      <c r="JAU208"/>
      <c r="JAV208"/>
      <c r="JAW208"/>
      <c r="JAX208"/>
      <c r="JAY208"/>
      <c r="JAZ208"/>
      <c r="JBA208"/>
      <c r="JBB208"/>
      <c r="JBC208"/>
      <c r="JBD208"/>
      <c r="JBE208"/>
      <c r="JBF208"/>
      <c r="JBG208"/>
      <c r="JBH208"/>
      <c r="JBI208"/>
      <c r="JBJ208"/>
      <c r="JBK208"/>
      <c r="JBL208"/>
      <c r="JBM208"/>
      <c r="JBN208"/>
      <c r="JBO208"/>
      <c r="JBP208"/>
      <c r="JBQ208"/>
      <c r="JBR208"/>
      <c r="JBS208"/>
      <c r="JBT208"/>
      <c r="JBU208"/>
      <c r="JBV208"/>
      <c r="JBW208"/>
      <c r="JBX208"/>
      <c r="JBY208"/>
      <c r="JBZ208"/>
      <c r="JCA208"/>
      <c r="JCB208"/>
      <c r="JCC208"/>
      <c r="JCD208"/>
      <c r="JCE208"/>
      <c r="JCF208"/>
      <c r="JCG208"/>
      <c r="JCH208"/>
      <c r="JCI208"/>
      <c r="JCJ208"/>
      <c r="JCK208"/>
      <c r="JCL208"/>
      <c r="JCM208"/>
      <c r="JCN208"/>
      <c r="JCO208"/>
      <c r="JCP208"/>
      <c r="JCQ208"/>
      <c r="JCR208"/>
      <c r="JCS208"/>
      <c r="JCT208"/>
      <c r="JCU208"/>
      <c r="JCV208"/>
      <c r="JCW208"/>
      <c r="JCX208"/>
      <c r="JCY208"/>
      <c r="JCZ208"/>
      <c r="JDA208"/>
      <c r="JDB208"/>
      <c r="JDC208"/>
      <c r="JDD208"/>
      <c r="JDE208"/>
      <c r="JDF208"/>
      <c r="JDG208"/>
      <c r="JDH208"/>
      <c r="JDI208"/>
      <c r="JDJ208"/>
      <c r="JDK208"/>
      <c r="JDL208"/>
      <c r="JDM208"/>
      <c r="JDN208"/>
      <c r="JDO208"/>
      <c r="JDP208"/>
      <c r="JDQ208"/>
      <c r="JDR208"/>
      <c r="JDS208"/>
      <c r="JDT208"/>
      <c r="JDU208"/>
      <c r="JDV208"/>
      <c r="JDW208"/>
      <c r="JDX208"/>
      <c r="JDY208"/>
      <c r="JDZ208"/>
      <c r="JEA208"/>
      <c r="JEB208"/>
      <c r="JEC208"/>
      <c r="JED208"/>
      <c r="JEE208"/>
      <c r="JEF208"/>
      <c r="JEG208"/>
      <c r="JEH208"/>
      <c r="JEI208"/>
      <c r="JEJ208"/>
      <c r="JEK208"/>
      <c r="JEL208"/>
      <c r="JEM208"/>
      <c r="JEN208"/>
      <c r="JEO208"/>
      <c r="JEP208"/>
      <c r="JEQ208"/>
      <c r="JER208"/>
      <c r="JES208"/>
      <c r="JET208"/>
      <c r="JEU208"/>
      <c r="JEV208"/>
      <c r="JEW208"/>
      <c r="JEX208"/>
      <c r="JEY208"/>
      <c r="JEZ208"/>
      <c r="JFA208"/>
      <c r="JFB208"/>
      <c r="JFC208"/>
      <c r="JFD208"/>
      <c r="JFE208"/>
      <c r="JFF208"/>
      <c r="JFG208"/>
      <c r="JFH208"/>
      <c r="JFI208"/>
      <c r="JFJ208"/>
      <c r="JFK208"/>
      <c r="JFL208"/>
      <c r="JFM208"/>
      <c r="JFN208"/>
      <c r="JFO208"/>
      <c r="JFP208"/>
      <c r="JFQ208"/>
      <c r="JFR208"/>
      <c r="JFS208"/>
      <c r="JFT208"/>
      <c r="JFU208"/>
      <c r="JFV208"/>
      <c r="JFW208"/>
      <c r="JFX208"/>
      <c r="JFY208"/>
      <c r="JFZ208"/>
      <c r="JGA208"/>
      <c r="JGB208"/>
      <c r="JGC208"/>
      <c r="JGD208"/>
      <c r="JGE208"/>
      <c r="JGF208"/>
      <c r="JGG208"/>
      <c r="JGH208"/>
      <c r="JGI208"/>
      <c r="JGJ208"/>
      <c r="JGK208"/>
      <c r="JGL208"/>
      <c r="JGM208"/>
      <c r="JGN208"/>
      <c r="JGO208"/>
      <c r="JGP208"/>
      <c r="JGQ208"/>
      <c r="JGR208"/>
      <c r="JGS208"/>
      <c r="JGT208"/>
      <c r="JGU208"/>
      <c r="JGV208"/>
      <c r="JGW208"/>
      <c r="JGX208"/>
      <c r="JGY208"/>
      <c r="JGZ208"/>
      <c r="JHA208"/>
      <c r="JHB208"/>
      <c r="JHC208"/>
      <c r="JHD208"/>
      <c r="JHE208"/>
      <c r="JHF208"/>
      <c r="JHG208"/>
      <c r="JHH208"/>
      <c r="JHI208"/>
      <c r="JHJ208"/>
      <c r="JHK208"/>
      <c r="JHL208"/>
      <c r="JHM208"/>
      <c r="JHN208"/>
      <c r="JHO208"/>
      <c r="JHP208"/>
      <c r="JHQ208"/>
      <c r="JHR208"/>
      <c r="JHS208"/>
      <c r="JHT208"/>
      <c r="JHU208"/>
      <c r="JHV208"/>
      <c r="JHW208"/>
      <c r="JHX208"/>
      <c r="JHY208"/>
      <c r="JHZ208"/>
      <c r="JIA208"/>
      <c r="JIB208"/>
      <c r="JIC208"/>
      <c r="JID208"/>
      <c r="JIE208"/>
      <c r="JIF208"/>
      <c r="JIG208"/>
      <c r="JIH208"/>
      <c r="JII208"/>
      <c r="JIJ208"/>
      <c r="JIK208"/>
      <c r="JIL208"/>
      <c r="JIM208"/>
      <c r="JIN208"/>
      <c r="JIO208"/>
      <c r="JIP208"/>
      <c r="JIQ208"/>
      <c r="JIR208"/>
      <c r="JIS208"/>
      <c r="JIT208"/>
      <c r="JIU208"/>
      <c r="JIV208"/>
      <c r="JIW208"/>
      <c r="JIX208"/>
      <c r="JIY208"/>
      <c r="JIZ208"/>
      <c r="JJA208"/>
      <c r="JJB208"/>
      <c r="JJC208"/>
      <c r="JJD208"/>
      <c r="JJE208"/>
      <c r="JJF208"/>
      <c r="JJG208"/>
      <c r="JJH208"/>
      <c r="JJI208"/>
      <c r="JJJ208"/>
      <c r="JJK208"/>
      <c r="JJL208"/>
      <c r="JJM208"/>
      <c r="JJN208"/>
      <c r="JJO208"/>
      <c r="JJP208"/>
      <c r="JJQ208"/>
      <c r="JJR208"/>
      <c r="JJS208"/>
      <c r="JJT208"/>
      <c r="JJU208"/>
      <c r="JJV208"/>
      <c r="JJW208"/>
      <c r="JJX208"/>
      <c r="JJY208"/>
      <c r="JJZ208"/>
      <c r="JKA208"/>
      <c r="JKB208"/>
      <c r="JKC208"/>
      <c r="JKD208"/>
      <c r="JKE208"/>
      <c r="JKF208"/>
      <c r="JKG208"/>
      <c r="JKH208"/>
      <c r="JKI208"/>
      <c r="JKJ208"/>
      <c r="JKK208"/>
      <c r="JKL208"/>
      <c r="JKM208"/>
      <c r="JKN208"/>
      <c r="JKO208"/>
      <c r="JKP208"/>
      <c r="JKQ208"/>
      <c r="JKR208"/>
      <c r="JKS208"/>
      <c r="JKT208"/>
      <c r="JKU208"/>
      <c r="JKV208"/>
      <c r="JKW208"/>
      <c r="JKX208"/>
      <c r="JKY208"/>
      <c r="JKZ208"/>
      <c r="JLA208"/>
      <c r="JLB208"/>
      <c r="JLC208"/>
      <c r="JLD208"/>
      <c r="JLE208"/>
      <c r="JLF208"/>
      <c r="JLG208"/>
      <c r="JLH208"/>
      <c r="JLI208"/>
      <c r="JLJ208"/>
      <c r="JLK208"/>
      <c r="JLL208"/>
      <c r="JLM208"/>
      <c r="JLN208"/>
      <c r="JLO208"/>
      <c r="JLP208"/>
      <c r="JLQ208"/>
      <c r="JLR208"/>
      <c r="JLS208"/>
      <c r="JLT208"/>
      <c r="JLU208"/>
      <c r="JLV208"/>
      <c r="JLW208"/>
      <c r="JLX208"/>
      <c r="JLY208"/>
      <c r="JLZ208"/>
      <c r="JMA208"/>
      <c r="JMB208"/>
      <c r="JMC208"/>
      <c r="JMD208"/>
      <c r="JME208"/>
      <c r="JMF208"/>
      <c r="JMG208"/>
      <c r="JMH208"/>
      <c r="JMI208"/>
      <c r="JMJ208"/>
      <c r="JMK208"/>
      <c r="JML208"/>
      <c r="JMM208"/>
      <c r="JMN208"/>
      <c r="JMO208"/>
      <c r="JMP208"/>
      <c r="JMQ208"/>
      <c r="JMR208"/>
      <c r="JMS208"/>
      <c r="JMT208"/>
      <c r="JMU208"/>
      <c r="JMV208"/>
      <c r="JMW208"/>
      <c r="JMX208"/>
      <c r="JMY208"/>
      <c r="JMZ208"/>
      <c r="JNA208"/>
      <c r="JNB208"/>
      <c r="JNC208"/>
      <c r="JND208"/>
      <c r="JNE208"/>
      <c r="JNF208"/>
      <c r="JNG208"/>
      <c r="JNH208"/>
      <c r="JNI208"/>
      <c r="JNJ208"/>
      <c r="JNK208"/>
      <c r="JNL208"/>
      <c r="JNM208"/>
      <c r="JNN208"/>
      <c r="JNO208"/>
      <c r="JNP208"/>
      <c r="JNQ208"/>
      <c r="JNR208"/>
      <c r="JNS208"/>
      <c r="JNT208"/>
      <c r="JNU208"/>
      <c r="JNV208"/>
      <c r="JNW208"/>
      <c r="JNX208"/>
      <c r="JNY208"/>
      <c r="JNZ208"/>
      <c r="JOA208"/>
      <c r="JOB208"/>
      <c r="JOC208"/>
      <c r="JOD208"/>
      <c r="JOE208"/>
      <c r="JOF208"/>
      <c r="JOG208"/>
      <c r="JOH208"/>
      <c r="JOI208"/>
      <c r="JOJ208"/>
      <c r="JOK208"/>
      <c r="JOL208"/>
      <c r="JOM208"/>
      <c r="JON208"/>
      <c r="JOO208"/>
      <c r="JOP208"/>
      <c r="JOQ208"/>
      <c r="JOR208"/>
      <c r="JOS208"/>
      <c r="JOT208"/>
      <c r="JOU208"/>
      <c r="JOV208"/>
      <c r="JOW208"/>
      <c r="JOX208"/>
      <c r="JOY208"/>
      <c r="JOZ208"/>
      <c r="JPA208"/>
      <c r="JPB208"/>
      <c r="JPC208"/>
      <c r="JPD208"/>
      <c r="JPE208"/>
      <c r="JPF208"/>
      <c r="JPG208"/>
      <c r="JPH208"/>
      <c r="JPI208"/>
      <c r="JPJ208"/>
      <c r="JPK208"/>
      <c r="JPL208"/>
      <c r="JPM208"/>
      <c r="JPN208"/>
      <c r="JPO208"/>
      <c r="JPP208"/>
      <c r="JPQ208"/>
      <c r="JPR208"/>
      <c r="JPS208"/>
      <c r="JPT208"/>
      <c r="JPU208"/>
      <c r="JPV208"/>
      <c r="JPW208"/>
      <c r="JPX208"/>
      <c r="JPY208"/>
      <c r="JPZ208"/>
      <c r="JQA208"/>
      <c r="JQB208"/>
      <c r="JQC208"/>
      <c r="JQD208"/>
      <c r="JQE208"/>
      <c r="JQF208"/>
      <c r="JQG208"/>
      <c r="JQH208"/>
      <c r="JQI208"/>
      <c r="JQJ208"/>
      <c r="JQK208"/>
      <c r="JQL208"/>
      <c r="JQM208"/>
      <c r="JQN208"/>
      <c r="JQO208"/>
      <c r="JQP208"/>
      <c r="JQQ208"/>
      <c r="JQR208"/>
      <c r="JQS208"/>
      <c r="JQT208"/>
      <c r="JQU208"/>
      <c r="JQV208"/>
      <c r="JQW208"/>
      <c r="JQX208"/>
      <c r="JQY208"/>
      <c r="JQZ208"/>
      <c r="JRA208"/>
      <c r="JRB208"/>
      <c r="JRC208"/>
      <c r="JRD208"/>
      <c r="JRE208"/>
      <c r="JRF208"/>
      <c r="JRG208"/>
      <c r="JRH208"/>
      <c r="JRI208"/>
      <c r="JRJ208"/>
      <c r="JRK208"/>
      <c r="JRL208"/>
      <c r="JRM208"/>
      <c r="JRN208"/>
      <c r="JRO208"/>
      <c r="JRP208"/>
      <c r="JRQ208"/>
      <c r="JRR208"/>
      <c r="JRS208"/>
      <c r="JRT208"/>
      <c r="JRU208"/>
      <c r="JRV208"/>
      <c r="JRW208"/>
      <c r="JRX208"/>
      <c r="JRY208"/>
      <c r="JRZ208"/>
      <c r="JSA208"/>
      <c r="JSB208"/>
      <c r="JSC208"/>
      <c r="JSD208"/>
      <c r="JSE208"/>
      <c r="JSF208"/>
      <c r="JSG208"/>
      <c r="JSH208"/>
      <c r="JSI208"/>
      <c r="JSJ208"/>
      <c r="JSK208"/>
      <c r="JSL208"/>
      <c r="JSM208"/>
      <c r="JSN208"/>
      <c r="JSO208"/>
      <c r="JSP208"/>
      <c r="JSQ208"/>
      <c r="JSR208"/>
      <c r="JSS208"/>
      <c r="JST208"/>
      <c r="JSU208"/>
      <c r="JSV208"/>
      <c r="JSW208"/>
      <c r="JSX208"/>
      <c r="JSY208"/>
      <c r="JSZ208"/>
      <c r="JTA208"/>
      <c r="JTB208"/>
      <c r="JTC208"/>
      <c r="JTD208"/>
      <c r="JTE208"/>
      <c r="JTF208"/>
      <c r="JTG208"/>
      <c r="JTH208"/>
      <c r="JTI208"/>
      <c r="JTJ208"/>
      <c r="JTK208"/>
      <c r="JTL208"/>
      <c r="JTM208"/>
      <c r="JTN208"/>
      <c r="JTO208"/>
      <c r="JTP208"/>
      <c r="JTQ208"/>
      <c r="JTR208"/>
      <c r="JTS208"/>
      <c r="JTT208"/>
      <c r="JTU208"/>
      <c r="JTV208"/>
      <c r="JTW208"/>
      <c r="JTX208"/>
      <c r="JTY208"/>
      <c r="JTZ208"/>
      <c r="JUA208"/>
      <c r="JUB208"/>
      <c r="JUC208"/>
      <c r="JUD208"/>
      <c r="JUE208"/>
      <c r="JUF208"/>
      <c r="JUG208"/>
      <c r="JUH208"/>
      <c r="JUI208"/>
      <c r="JUJ208"/>
      <c r="JUK208"/>
      <c r="JUL208"/>
      <c r="JUM208"/>
      <c r="JUN208"/>
      <c r="JUO208"/>
      <c r="JUP208"/>
      <c r="JUQ208"/>
      <c r="JUR208"/>
      <c r="JUS208"/>
      <c r="JUT208"/>
      <c r="JUU208"/>
      <c r="JUV208"/>
      <c r="JUW208"/>
      <c r="JUX208"/>
      <c r="JUY208"/>
      <c r="JUZ208"/>
      <c r="JVA208"/>
      <c r="JVB208"/>
      <c r="JVC208"/>
      <c r="JVD208"/>
      <c r="JVE208"/>
      <c r="JVF208"/>
      <c r="JVG208"/>
      <c r="JVH208"/>
      <c r="JVI208"/>
      <c r="JVJ208"/>
      <c r="JVK208"/>
      <c r="JVL208"/>
      <c r="JVM208"/>
      <c r="JVN208"/>
      <c r="JVO208"/>
      <c r="JVP208"/>
      <c r="JVQ208"/>
      <c r="JVR208"/>
      <c r="JVS208"/>
      <c r="JVT208"/>
      <c r="JVU208"/>
      <c r="JVV208"/>
      <c r="JVW208"/>
      <c r="JVX208"/>
      <c r="JVY208"/>
      <c r="JVZ208"/>
      <c r="JWA208"/>
      <c r="JWB208"/>
      <c r="JWC208"/>
      <c r="JWD208"/>
      <c r="JWE208"/>
      <c r="JWF208"/>
      <c r="JWG208"/>
      <c r="JWH208"/>
      <c r="JWI208"/>
      <c r="JWJ208"/>
      <c r="JWK208"/>
      <c r="JWL208"/>
      <c r="JWM208"/>
      <c r="JWN208"/>
      <c r="JWO208"/>
      <c r="JWP208"/>
      <c r="JWQ208"/>
      <c r="JWR208"/>
      <c r="JWS208"/>
      <c r="JWT208"/>
      <c r="JWU208"/>
      <c r="JWV208"/>
      <c r="JWW208"/>
      <c r="JWX208"/>
      <c r="JWY208"/>
      <c r="JWZ208"/>
      <c r="JXA208"/>
      <c r="JXB208"/>
      <c r="JXC208"/>
      <c r="JXD208"/>
      <c r="JXE208"/>
      <c r="JXF208"/>
      <c r="JXG208"/>
      <c r="JXH208"/>
      <c r="JXI208"/>
      <c r="JXJ208"/>
      <c r="JXK208"/>
      <c r="JXL208"/>
      <c r="JXM208"/>
      <c r="JXN208"/>
      <c r="JXO208"/>
      <c r="JXP208"/>
      <c r="JXQ208"/>
      <c r="JXR208"/>
      <c r="JXS208"/>
      <c r="JXT208"/>
      <c r="JXU208"/>
      <c r="JXV208"/>
      <c r="JXW208"/>
      <c r="JXX208"/>
      <c r="JXY208"/>
      <c r="JXZ208"/>
      <c r="JYA208"/>
      <c r="JYB208"/>
      <c r="JYC208"/>
      <c r="JYD208"/>
      <c r="JYE208"/>
      <c r="JYF208"/>
      <c r="JYG208"/>
      <c r="JYH208"/>
      <c r="JYI208"/>
      <c r="JYJ208"/>
      <c r="JYK208"/>
      <c r="JYL208"/>
      <c r="JYM208"/>
      <c r="JYN208"/>
      <c r="JYO208"/>
      <c r="JYP208"/>
      <c r="JYQ208"/>
      <c r="JYR208"/>
      <c r="JYS208"/>
      <c r="JYT208"/>
      <c r="JYU208"/>
      <c r="JYV208"/>
      <c r="JYW208"/>
      <c r="JYX208"/>
      <c r="JYY208"/>
      <c r="JYZ208"/>
      <c r="JZA208"/>
      <c r="JZB208"/>
      <c r="JZC208"/>
      <c r="JZD208"/>
      <c r="JZE208"/>
      <c r="JZF208"/>
      <c r="JZG208"/>
      <c r="JZH208"/>
      <c r="JZI208"/>
      <c r="JZJ208"/>
      <c r="JZK208"/>
      <c r="JZL208"/>
      <c r="JZM208"/>
      <c r="JZN208"/>
      <c r="JZO208"/>
      <c r="JZP208"/>
      <c r="JZQ208"/>
      <c r="JZR208"/>
      <c r="JZS208"/>
      <c r="JZT208"/>
      <c r="JZU208"/>
      <c r="JZV208"/>
      <c r="JZW208"/>
      <c r="JZX208"/>
      <c r="JZY208"/>
      <c r="JZZ208"/>
      <c r="KAA208"/>
      <c r="KAB208"/>
      <c r="KAC208"/>
      <c r="KAD208"/>
      <c r="KAE208"/>
      <c r="KAF208"/>
      <c r="KAG208"/>
      <c r="KAH208"/>
      <c r="KAI208"/>
      <c r="KAJ208"/>
      <c r="KAK208"/>
      <c r="KAL208"/>
      <c r="KAM208"/>
      <c r="KAN208"/>
      <c r="KAO208"/>
      <c r="KAP208"/>
      <c r="KAQ208"/>
      <c r="KAR208"/>
      <c r="KAS208"/>
      <c r="KAT208"/>
      <c r="KAU208"/>
      <c r="KAV208"/>
      <c r="KAW208"/>
      <c r="KAX208"/>
      <c r="KAY208"/>
      <c r="KAZ208"/>
      <c r="KBA208"/>
      <c r="KBB208"/>
      <c r="KBC208"/>
      <c r="KBD208"/>
      <c r="KBE208"/>
      <c r="KBF208"/>
      <c r="KBG208"/>
      <c r="KBH208"/>
      <c r="KBI208"/>
      <c r="KBJ208"/>
      <c r="KBK208"/>
      <c r="KBL208"/>
      <c r="KBM208"/>
      <c r="KBN208"/>
      <c r="KBO208"/>
      <c r="KBP208"/>
      <c r="KBQ208"/>
      <c r="KBR208"/>
      <c r="KBS208"/>
      <c r="KBT208"/>
      <c r="KBU208"/>
      <c r="KBV208"/>
      <c r="KBW208"/>
      <c r="KBX208"/>
      <c r="KBY208"/>
      <c r="KBZ208"/>
      <c r="KCA208"/>
      <c r="KCB208"/>
      <c r="KCC208"/>
      <c r="KCD208"/>
      <c r="KCE208"/>
      <c r="KCF208"/>
      <c r="KCG208"/>
      <c r="KCH208"/>
      <c r="KCI208"/>
      <c r="KCJ208"/>
      <c r="KCK208"/>
      <c r="KCL208"/>
      <c r="KCM208"/>
      <c r="KCN208"/>
      <c r="KCO208"/>
      <c r="KCP208"/>
      <c r="KCQ208"/>
      <c r="KCR208"/>
      <c r="KCS208"/>
      <c r="KCT208"/>
      <c r="KCU208"/>
      <c r="KCV208"/>
      <c r="KCW208"/>
      <c r="KCX208"/>
      <c r="KCY208"/>
      <c r="KCZ208"/>
      <c r="KDA208"/>
      <c r="KDB208"/>
      <c r="KDC208"/>
      <c r="KDD208"/>
      <c r="KDE208"/>
      <c r="KDF208"/>
      <c r="KDG208"/>
      <c r="KDH208"/>
      <c r="KDI208"/>
      <c r="KDJ208"/>
      <c r="KDK208"/>
      <c r="KDL208"/>
      <c r="KDM208"/>
      <c r="KDN208"/>
      <c r="KDO208"/>
      <c r="KDP208"/>
      <c r="KDQ208"/>
      <c r="KDR208"/>
      <c r="KDS208"/>
      <c r="KDT208"/>
      <c r="KDU208"/>
      <c r="KDV208"/>
      <c r="KDW208"/>
      <c r="KDX208"/>
      <c r="KDY208"/>
      <c r="KDZ208"/>
      <c r="KEA208"/>
      <c r="KEB208"/>
      <c r="KEC208"/>
      <c r="KED208"/>
      <c r="KEE208"/>
      <c r="KEF208"/>
      <c r="KEG208"/>
      <c r="KEH208"/>
      <c r="KEI208"/>
      <c r="KEJ208"/>
      <c r="KEK208"/>
      <c r="KEL208"/>
      <c r="KEM208"/>
      <c r="KEN208"/>
      <c r="KEO208"/>
      <c r="KEP208"/>
      <c r="KEQ208"/>
      <c r="KER208"/>
      <c r="KES208"/>
      <c r="KET208"/>
      <c r="KEU208"/>
      <c r="KEV208"/>
      <c r="KEW208"/>
      <c r="KEX208"/>
      <c r="KEY208"/>
      <c r="KEZ208"/>
      <c r="KFA208"/>
      <c r="KFB208"/>
      <c r="KFC208"/>
      <c r="KFD208"/>
      <c r="KFE208"/>
      <c r="KFF208"/>
      <c r="KFG208"/>
      <c r="KFH208"/>
      <c r="KFI208"/>
      <c r="KFJ208"/>
      <c r="KFK208"/>
      <c r="KFL208"/>
      <c r="KFM208"/>
      <c r="KFN208"/>
      <c r="KFO208"/>
      <c r="KFP208"/>
      <c r="KFQ208"/>
      <c r="KFR208"/>
      <c r="KFS208"/>
      <c r="KFT208"/>
      <c r="KFU208"/>
      <c r="KFV208"/>
      <c r="KFW208"/>
      <c r="KFX208"/>
      <c r="KFY208"/>
      <c r="KFZ208"/>
      <c r="KGA208"/>
      <c r="KGB208"/>
      <c r="KGC208"/>
      <c r="KGD208"/>
      <c r="KGE208"/>
      <c r="KGF208"/>
      <c r="KGG208"/>
      <c r="KGH208"/>
      <c r="KGI208"/>
      <c r="KGJ208"/>
      <c r="KGK208"/>
      <c r="KGL208"/>
      <c r="KGM208"/>
      <c r="KGN208"/>
      <c r="KGO208"/>
      <c r="KGP208"/>
      <c r="KGQ208"/>
      <c r="KGR208"/>
      <c r="KGS208"/>
      <c r="KGT208"/>
      <c r="KGU208"/>
      <c r="KGV208"/>
      <c r="KGW208"/>
      <c r="KGX208"/>
      <c r="KGY208"/>
      <c r="KGZ208"/>
      <c r="KHA208"/>
      <c r="KHB208"/>
      <c r="KHC208"/>
      <c r="KHD208"/>
      <c r="KHE208"/>
      <c r="KHF208"/>
      <c r="KHG208"/>
      <c r="KHH208"/>
      <c r="KHI208"/>
      <c r="KHJ208"/>
      <c r="KHK208"/>
      <c r="KHL208"/>
      <c r="KHM208"/>
      <c r="KHN208"/>
      <c r="KHO208"/>
      <c r="KHP208"/>
      <c r="KHQ208"/>
      <c r="KHR208"/>
      <c r="KHS208"/>
      <c r="KHT208"/>
      <c r="KHU208"/>
      <c r="KHV208"/>
      <c r="KHW208"/>
      <c r="KHX208"/>
      <c r="KHY208"/>
      <c r="KHZ208"/>
      <c r="KIA208"/>
      <c r="KIB208"/>
      <c r="KIC208"/>
      <c r="KID208"/>
      <c r="KIE208"/>
      <c r="KIF208"/>
      <c r="KIG208"/>
      <c r="KIH208"/>
      <c r="KII208"/>
      <c r="KIJ208"/>
      <c r="KIK208"/>
      <c r="KIL208"/>
      <c r="KIM208"/>
      <c r="KIN208"/>
      <c r="KIO208"/>
      <c r="KIP208"/>
      <c r="KIQ208"/>
      <c r="KIR208"/>
      <c r="KIS208"/>
      <c r="KIT208"/>
      <c r="KIU208"/>
      <c r="KIV208"/>
      <c r="KIW208"/>
      <c r="KIX208"/>
      <c r="KIY208"/>
      <c r="KIZ208"/>
      <c r="KJA208"/>
      <c r="KJB208"/>
      <c r="KJC208"/>
      <c r="KJD208"/>
      <c r="KJE208"/>
      <c r="KJF208"/>
      <c r="KJG208"/>
      <c r="KJH208"/>
      <c r="KJI208"/>
      <c r="KJJ208"/>
      <c r="KJK208"/>
      <c r="KJL208"/>
      <c r="KJM208"/>
      <c r="KJN208"/>
      <c r="KJO208"/>
      <c r="KJP208"/>
      <c r="KJQ208"/>
      <c r="KJR208"/>
      <c r="KJS208"/>
      <c r="KJT208"/>
      <c r="KJU208"/>
      <c r="KJV208"/>
      <c r="KJW208"/>
      <c r="KJX208"/>
      <c r="KJY208"/>
      <c r="KJZ208"/>
      <c r="KKA208"/>
      <c r="KKB208"/>
      <c r="KKC208"/>
      <c r="KKD208"/>
      <c r="KKE208"/>
      <c r="KKF208"/>
      <c r="KKG208"/>
      <c r="KKH208"/>
      <c r="KKI208"/>
      <c r="KKJ208"/>
      <c r="KKK208"/>
      <c r="KKL208"/>
      <c r="KKM208"/>
      <c r="KKN208"/>
      <c r="KKO208"/>
      <c r="KKP208"/>
      <c r="KKQ208"/>
      <c r="KKR208"/>
      <c r="KKS208"/>
      <c r="KKT208"/>
      <c r="KKU208"/>
      <c r="KKV208"/>
      <c r="KKW208"/>
      <c r="KKX208"/>
      <c r="KKY208"/>
      <c r="KKZ208"/>
      <c r="KLA208"/>
      <c r="KLB208"/>
      <c r="KLC208"/>
      <c r="KLD208"/>
      <c r="KLE208"/>
      <c r="KLF208"/>
      <c r="KLG208"/>
      <c r="KLH208"/>
      <c r="KLI208"/>
      <c r="KLJ208"/>
      <c r="KLK208"/>
      <c r="KLL208"/>
      <c r="KLM208"/>
      <c r="KLN208"/>
      <c r="KLO208"/>
      <c r="KLP208"/>
      <c r="KLQ208"/>
      <c r="KLR208"/>
      <c r="KLS208"/>
      <c r="KLT208"/>
      <c r="KLU208"/>
      <c r="KLV208"/>
      <c r="KLW208"/>
      <c r="KLX208"/>
      <c r="KLY208"/>
      <c r="KLZ208"/>
      <c r="KMA208"/>
      <c r="KMB208"/>
      <c r="KMC208"/>
      <c r="KMD208"/>
      <c r="KME208"/>
      <c r="KMF208"/>
      <c r="KMG208"/>
      <c r="KMH208"/>
      <c r="KMI208"/>
      <c r="KMJ208"/>
      <c r="KMK208"/>
      <c r="KML208"/>
      <c r="KMM208"/>
      <c r="KMN208"/>
      <c r="KMO208"/>
      <c r="KMP208"/>
      <c r="KMQ208"/>
      <c r="KMR208"/>
      <c r="KMS208"/>
      <c r="KMT208"/>
      <c r="KMU208"/>
      <c r="KMV208"/>
      <c r="KMW208"/>
      <c r="KMX208"/>
      <c r="KMY208"/>
      <c r="KMZ208"/>
      <c r="KNA208"/>
      <c r="KNB208"/>
      <c r="KNC208"/>
      <c r="KND208"/>
      <c r="KNE208"/>
      <c r="KNF208"/>
      <c r="KNG208"/>
      <c r="KNH208"/>
      <c r="KNI208"/>
      <c r="KNJ208"/>
      <c r="KNK208"/>
      <c r="KNL208"/>
      <c r="KNM208"/>
      <c r="KNN208"/>
      <c r="KNO208"/>
      <c r="KNP208"/>
      <c r="KNQ208"/>
      <c r="KNR208"/>
      <c r="KNS208"/>
      <c r="KNT208"/>
      <c r="KNU208"/>
      <c r="KNV208"/>
      <c r="KNW208"/>
      <c r="KNX208"/>
      <c r="KNY208"/>
      <c r="KNZ208"/>
      <c r="KOA208"/>
      <c r="KOB208"/>
      <c r="KOC208"/>
      <c r="KOD208"/>
      <c r="KOE208"/>
      <c r="KOF208"/>
      <c r="KOG208"/>
      <c r="KOH208"/>
      <c r="KOI208"/>
      <c r="KOJ208"/>
      <c r="KOK208"/>
      <c r="KOL208"/>
      <c r="KOM208"/>
      <c r="KON208"/>
      <c r="KOO208"/>
      <c r="KOP208"/>
      <c r="KOQ208"/>
      <c r="KOR208"/>
      <c r="KOS208"/>
      <c r="KOT208"/>
      <c r="KOU208"/>
      <c r="KOV208"/>
      <c r="KOW208"/>
      <c r="KOX208"/>
      <c r="KOY208"/>
      <c r="KOZ208"/>
      <c r="KPA208"/>
      <c r="KPB208"/>
      <c r="KPC208"/>
      <c r="KPD208"/>
      <c r="KPE208"/>
      <c r="KPF208"/>
      <c r="KPG208"/>
      <c r="KPH208"/>
      <c r="KPI208"/>
      <c r="KPJ208"/>
      <c r="KPK208"/>
      <c r="KPL208"/>
      <c r="KPM208"/>
      <c r="KPN208"/>
      <c r="KPO208"/>
      <c r="KPP208"/>
      <c r="KPQ208"/>
      <c r="KPR208"/>
      <c r="KPS208"/>
      <c r="KPT208"/>
      <c r="KPU208"/>
      <c r="KPV208"/>
      <c r="KPW208"/>
      <c r="KPX208"/>
      <c r="KPY208"/>
      <c r="KPZ208"/>
      <c r="KQA208"/>
      <c r="KQB208"/>
      <c r="KQC208"/>
      <c r="KQD208"/>
      <c r="KQE208"/>
      <c r="KQF208"/>
      <c r="KQG208"/>
      <c r="KQH208"/>
      <c r="KQI208"/>
      <c r="KQJ208"/>
      <c r="KQK208"/>
      <c r="KQL208"/>
      <c r="KQM208"/>
      <c r="KQN208"/>
      <c r="KQO208"/>
      <c r="KQP208"/>
      <c r="KQQ208"/>
      <c r="KQR208"/>
      <c r="KQS208"/>
      <c r="KQT208"/>
      <c r="KQU208"/>
      <c r="KQV208"/>
      <c r="KQW208"/>
      <c r="KQX208"/>
      <c r="KQY208"/>
      <c r="KQZ208"/>
      <c r="KRA208"/>
      <c r="KRB208"/>
      <c r="KRC208"/>
      <c r="KRD208"/>
      <c r="KRE208"/>
      <c r="KRF208"/>
      <c r="KRG208"/>
      <c r="KRH208"/>
      <c r="KRI208"/>
      <c r="KRJ208"/>
      <c r="KRK208"/>
      <c r="KRL208"/>
      <c r="KRM208"/>
      <c r="KRN208"/>
      <c r="KRO208"/>
      <c r="KRP208"/>
      <c r="KRQ208"/>
      <c r="KRR208"/>
      <c r="KRS208"/>
      <c r="KRT208"/>
      <c r="KRU208"/>
      <c r="KRV208"/>
      <c r="KRW208"/>
      <c r="KRX208"/>
      <c r="KRY208"/>
      <c r="KRZ208"/>
      <c r="KSA208"/>
      <c r="KSB208"/>
      <c r="KSC208"/>
      <c r="KSD208"/>
      <c r="KSE208"/>
      <c r="KSF208"/>
      <c r="KSG208"/>
      <c r="KSH208"/>
      <c r="KSI208"/>
      <c r="KSJ208"/>
      <c r="KSK208"/>
      <c r="KSL208"/>
      <c r="KSM208"/>
      <c r="KSN208"/>
      <c r="KSO208"/>
      <c r="KSP208"/>
      <c r="KSQ208"/>
      <c r="KSR208"/>
      <c r="KSS208"/>
      <c r="KST208"/>
      <c r="KSU208"/>
      <c r="KSV208"/>
      <c r="KSW208"/>
      <c r="KSX208"/>
      <c r="KSY208"/>
      <c r="KSZ208"/>
      <c r="KTA208"/>
      <c r="KTB208"/>
      <c r="KTC208"/>
      <c r="KTD208"/>
      <c r="KTE208"/>
      <c r="KTF208"/>
      <c r="KTG208"/>
      <c r="KTH208"/>
      <c r="KTI208"/>
      <c r="KTJ208"/>
      <c r="KTK208"/>
      <c r="KTL208"/>
      <c r="KTM208"/>
      <c r="KTN208"/>
      <c r="KTO208"/>
      <c r="KTP208"/>
      <c r="KTQ208"/>
      <c r="KTR208"/>
      <c r="KTS208"/>
      <c r="KTT208"/>
      <c r="KTU208"/>
      <c r="KTV208"/>
      <c r="KTW208"/>
      <c r="KTX208"/>
      <c r="KTY208"/>
      <c r="KTZ208"/>
      <c r="KUA208"/>
      <c r="KUB208"/>
      <c r="KUC208"/>
      <c r="KUD208"/>
      <c r="KUE208"/>
      <c r="KUF208"/>
      <c r="KUG208"/>
      <c r="KUH208"/>
      <c r="KUI208"/>
      <c r="KUJ208"/>
      <c r="KUK208"/>
      <c r="KUL208"/>
      <c r="KUM208"/>
      <c r="KUN208"/>
      <c r="KUO208"/>
      <c r="KUP208"/>
      <c r="KUQ208"/>
      <c r="KUR208"/>
      <c r="KUS208"/>
      <c r="KUT208"/>
      <c r="KUU208"/>
      <c r="KUV208"/>
      <c r="KUW208"/>
      <c r="KUX208"/>
      <c r="KUY208"/>
      <c r="KUZ208"/>
      <c r="KVA208"/>
      <c r="KVB208"/>
      <c r="KVC208"/>
      <c r="KVD208"/>
      <c r="KVE208"/>
      <c r="KVF208"/>
      <c r="KVG208"/>
      <c r="KVH208"/>
      <c r="KVI208"/>
      <c r="KVJ208"/>
      <c r="KVK208"/>
      <c r="KVL208"/>
      <c r="KVM208"/>
      <c r="KVN208"/>
      <c r="KVO208"/>
      <c r="KVP208"/>
      <c r="KVQ208"/>
      <c r="KVR208"/>
      <c r="KVS208"/>
      <c r="KVT208"/>
      <c r="KVU208"/>
      <c r="KVV208"/>
      <c r="KVW208"/>
      <c r="KVX208"/>
      <c r="KVY208"/>
      <c r="KVZ208"/>
      <c r="KWA208"/>
      <c r="KWB208"/>
      <c r="KWC208"/>
      <c r="KWD208"/>
      <c r="KWE208"/>
      <c r="KWF208"/>
      <c r="KWG208"/>
      <c r="KWH208"/>
      <c r="KWI208"/>
      <c r="KWJ208"/>
      <c r="KWK208"/>
      <c r="KWL208"/>
      <c r="KWM208"/>
      <c r="KWN208"/>
      <c r="KWO208"/>
      <c r="KWP208"/>
      <c r="KWQ208"/>
      <c r="KWR208"/>
      <c r="KWS208"/>
      <c r="KWT208"/>
      <c r="KWU208"/>
      <c r="KWV208"/>
      <c r="KWW208"/>
      <c r="KWX208"/>
      <c r="KWY208"/>
      <c r="KWZ208"/>
      <c r="KXA208"/>
      <c r="KXB208"/>
      <c r="KXC208"/>
      <c r="KXD208"/>
      <c r="KXE208"/>
      <c r="KXF208"/>
      <c r="KXG208"/>
      <c r="KXH208"/>
      <c r="KXI208"/>
      <c r="KXJ208"/>
      <c r="KXK208"/>
      <c r="KXL208"/>
      <c r="KXM208"/>
      <c r="KXN208"/>
      <c r="KXO208"/>
      <c r="KXP208"/>
      <c r="KXQ208"/>
      <c r="KXR208"/>
      <c r="KXS208"/>
      <c r="KXT208"/>
      <c r="KXU208"/>
      <c r="KXV208"/>
      <c r="KXW208"/>
      <c r="KXX208"/>
      <c r="KXY208"/>
      <c r="KXZ208"/>
      <c r="KYA208"/>
      <c r="KYB208"/>
      <c r="KYC208"/>
      <c r="KYD208"/>
      <c r="KYE208"/>
      <c r="KYF208"/>
      <c r="KYG208"/>
      <c r="KYH208"/>
      <c r="KYI208"/>
      <c r="KYJ208"/>
      <c r="KYK208"/>
      <c r="KYL208"/>
      <c r="KYM208"/>
      <c r="KYN208"/>
      <c r="KYO208"/>
      <c r="KYP208"/>
      <c r="KYQ208"/>
      <c r="KYR208"/>
      <c r="KYS208"/>
      <c r="KYT208"/>
      <c r="KYU208"/>
      <c r="KYV208"/>
      <c r="KYW208"/>
      <c r="KYX208"/>
      <c r="KYY208"/>
      <c r="KYZ208"/>
      <c r="KZA208"/>
      <c r="KZB208"/>
      <c r="KZC208"/>
      <c r="KZD208"/>
      <c r="KZE208"/>
      <c r="KZF208"/>
      <c r="KZG208"/>
      <c r="KZH208"/>
      <c r="KZI208"/>
      <c r="KZJ208"/>
      <c r="KZK208"/>
      <c r="KZL208"/>
      <c r="KZM208"/>
      <c r="KZN208"/>
      <c r="KZO208"/>
      <c r="KZP208"/>
      <c r="KZQ208"/>
      <c r="KZR208"/>
      <c r="KZS208"/>
      <c r="KZT208"/>
      <c r="KZU208"/>
      <c r="KZV208"/>
      <c r="KZW208"/>
      <c r="KZX208"/>
      <c r="KZY208"/>
      <c r="KZZ208"/>
      <c r="LAA208"/>
      <c r="LAB208"/>
      <c r="LAC208"/>
      <c r="LAD208"/>
      <c r="LAE208"/>
      <c r="LAF208"/>
      <c r="LAG208"/>
      <c r="LAH208"/>
      <c r="LAI208"/>
      <c r="LAJ208"/>
      <c r="LAK208"/>
      <c r="LAL208"/>
      <c r="LAM208"/>
      <c r="LAN208"/>
      <c r="LAO208"/>
      <c r="LAP208"/>
      <c r="LAQ208"/>
      <c r="LAR208"/>
      <c r="LAS208"/>
      <c r="LAT208"/>
      <c r="LAU208"/>
      <c r="LAV208"/>
      <c r="LAW208"/>
      <c r="LAX208"/>
      <c r="LAY208"/>
      <c r="LAZ208"/>
      <c r="LBA208"/>
      <c r="LBB208"/>
      <c r="LBC208"/>
      <c r="LBD208"/>
      <c r="LBE208"/>
      <c r="LBF208"/>
      <c r="LBG208"/>
      <c r="LBH208"/>
      <c r="LBI208"/>
      <c r="LBJ208"/>
      <c r="LBK208"/>
      <c r="LBL208"/>
      <c r="LBM208"/>
      <c r="LBN208"/>
      <c r="LBO208"/>
      <c r="LBP208"/>
      <c r="LBQ208"/>
      <c r="LBR208"/>
      <c r="LBS208"/>
      <c r="LBT208"/>
      <c r="LBU208"/>
      <c r="LBV208"/>
      <c r="LBW208"/>
      <c r="LBX208"/>
      <c r="LBY208"/>
      <c r="LBZ208"/>
      <c r="LCA208"/>
      <c r="LCB208"/>
      <c r="LCC208"/>
      <c r="LCD208"/>
      <c r="LCE208"/>
      <c r="LCF208"/>
      <c r="LCG208"/>
      <c r="LCH208"/>
      <c r="LCI208"/>
      <c r="LCJ208"/>
      <c r="LCK208"/>
      <c r="LCL208"/>
      <c r="LCM208"/>
      <c r="LCN208"/>
      <c r="LCO208"/>
      <c r="LCP208"/>
      <c r="LCQ208"/>
      <c r="LCR208"/>
      <c r="LCS208"/>
      <c r="LCT208"/>
      <c r="LCU208"/>
      <c r="LCV208"/>
      <c r="LCW208"/>
      <c r="LCX208"/>
      <c r="LCY208"/>
      <c r="LCZ208"/>
      <c r="LDA208"/>
      <c r="LDB208"/>
      <c r="LDC208"/>
      <c r="LDD208"/>
      <c r="LDE208"/>
      <c r="LDF208"/>
      <c r="LDG208"/>
      <c r="LDH208"/>
      <c r="LDI208"/>
      <c r="LDJ208"/>
      <c r="LDK208"/>
      <c r="LDL208"/>
      <c r="LDM208"/>
      <c r="LDN208"/>
      <c r="LDO208"/>
      <c r="LDP208"/>
      <c r="LDQ208"/>
      <c r="LDR208"/>
      <c r="LDS208"/>
      <c r="LDT208"/>
      <c r="LDU208"/>
      <c r="LDV208"/>
      <c r="LDW208"/>
      <c r="LDX208"/>
      <c r="LDY208"/>
      <c r="LDZ208"/>
      <c r="LEA208"/>
      <c r="LEB208"/>
      <c r="LEC208"/>
      <c r="LED208"/>
      <c r="LEE208"/>
      <c r="LEF208"/>
      <c r="LEG208"/>
      <c r="LEH208"/>
      <c r="LEI208"/>
      <c r="LEJ208"/>
      <c r="LEK208"/>
      <c r="LEL208"/>
      <c r="LEM208"/>
      <c r="LEN208"/>
      <c r="LEO208"/>
      <c r="LEP208"/>
      <c r="LEQ208"/>
      <c r="LER208"/>
      <c r="LES208"/>
      <c r="LET208"/>
      <c r="LEU208"/>
      <c r="LEV208"/>
      <c r="LEW208"/>
      <c r="LEX208"/>
      <c r="LEY208"/>
      <c r="LEZ208"/>
      <c r="LFA208"/>
      <c r="LFB208"/>
      <c r="LFC208"/>
      <c r="LFD208"/>
      <c r="LFE208"/>
      <c r="LFF208"/>
      <c r="LFG208"/>
      <c r="LFH208"/>
      <c r="LFI208"/>
      <c r="LFJ208"/>
      <c r="LFK208"/>
      <c r="LFL208"/>
      <c r="LFM208"/>
      <c r="LFN208"/>
      <c r="LFO208"/>
      <c r="LFP208"/>
      <c r="LFQ208"/>
      <c r="LFR208"/>
      <c r="LFS208"/>
      <c r="LFT208"/>
      <c r="LFU208"/>
      <c r="LFV208"/>
      <c r="LFW208"/>
      <c r="LFX208"/>
      <c r="LFY208"/>
      <c r="LFZ208"/>
      <c r="LGA208"/>
      <c r="LGB208"/>
      <c r="LGC208"/>
      <c r="LGD208"/>
      <c r="LGE208"/>
      <c r="LGF208"/>
      <c r="LGG208"/>
      <c r="LGH208"/>
      <c r="LGI208"/>
      <c r="LGJ208"/>
      <c r="LGK208"/>
      <c r="LGL208"/>
      <c r="LGM208"/>
      <c r="LGN208"/>
      <c r="LGO208"/>
      <c r="LGP208"/>
      <c r="LGQ208"/>
      <c r="LGR208"/>
      <c r="LGS208"/>
      <c r="LGT208"/>
      <c r="LGU208"/>
      <c r="LGV208"/>
      <c r="LGW208"/>
      <c r="LGX208"/>
      <c r="LGY208"/>
      <c r="LGZ208"/>
      <c r="LHA208"/>
      <c r="LHB208"/>
      <c r="LHC208"/>
      <c r="LHD208"/>
      <c r="LHE208"/>
      <c r="LHF208"/>
      <c r="LHG208"/>
      <c r="LHH208"/>
      <c r="LHI208"/>
      <c r="LHJ208"/>
      <c r="LHK208"/>
      <c r="LHL208"/>
      <c r="LHM208"/>
      <c r="LHN208"/>
      <c r="LHO208"/>
      <c r="LHP208"/>
      <c r="LHQ208"/>
      <c r="LHR208"/>
      <c r="LHS208"/>
      <c r="LHT208"/>
      <c r="LHU208"/>
      <c r="LHV208"/>
      <c r="LHW208"/>
      <c r="LHX208"/>
      <c r="LHY208"/>
      <c r="LHZ208"/>
      <c r="LIA208"/>
      <c r="LIB208"/>
      <c r="LIC208"/>
      <c r="LID208"/>
      <c r="LIE208"/>
      <c r="LIF208"/>
      <c r="LIG208"/>
      <c r="LIH208"/>
      <c r="LII208"/>
      <c r="LIJ208"/>
      <c r="LIK208"/>
      <c r="LIL208"/>
      <c r="LIM208"/>
      <c r="LIN208"/>
      <c r="LIO208"/>
      <c r="LIP208"/>
      <c r="LIQ208"/>
      <c r="LIR208"/>
      <c r="LIS208"/>
      <c r="LIT208"/>
      <c r="LIU208"/>
      <c r="LIV208"/>
      <c r="LIW208"/>
      <c r="LIX208"/>
      <c r="LIY208"/>
      <c r="LIZ208"/>
      <c r="LJA208"/>
      <c r="LJB208"/>
      <c r="LJC208"/>
      <c r="LJD208"/>
      <c r="LJE208"/>
      <c r="LJF208"/>
      <c r="LJG208"/>
      <c r="LJH208"/>
      <c r="LJI208"/>
      <c r="LJJ208"/>
      <c r="LJK208"/>
      <c r="LJL208"/>
      <c r="LJM208"/>
      <c r="LJN208"/>
      <c r="LJO208"/>
      <c r="LJP208"/>
      <c r="LJQ208"/>
      <c r="LJR208"/>
      <c r="LJS208"/>
      <c r="LJT208"/>
      <c r="LJU208"/>
      <c r="LJV208"/>
      <c r="LJW208"/>
      <c r="LJX208"/>
      <c r="LJY208"/>
      <c r="LJZ208"/>
      <c r="LKA208"/>
      <c r="LKB208"/>
      <c r="LKC208"/>
      <c r="LKD208"/>
      <c r="LKE208"/>
      <c r="LKF208"/>
      <c r="LKG208"/>
      <c r="LKH208"/>
      <c r="LKI208"/>
      <c r="LKJ208"/>
      <c r="LKK208"/>
      <c r="LKL208"/>
      <c r="LKM208"/>
      <c r="LKN208"/>
      <c r="LKO208"/>
      <c r="LKP208"/>
      <c r="LKQ208"/>
      <c r="LKR208"/>
      <c r="LKS208"/>
      <c r="LKT208"/>
      <c r="LKU208"/>
      <c r="LKV208"/>
      <c r="LKW208"/>
      <c r="LKX208"/>
      <c r="LKY208"/>
      <c r="LKZ208"/>
      <c r="LLA208"/>
      <c r="LLB208"/>
      <c r="LLC208"/>
      <c r="LLD208"/>
      <c r="LLE208"/>
      <c r="LLF208"/>
      <c r="LLG208"/>
      <c r="LLH208"/>
      <c r="LLI208"/>
      <c r="LLJ208"/>
      <c r="LLK208"/>
      <c r="LLL208"/>
      <c r="LLM208"/>
      <c r="LLN208"/>
      <c r="LLO208"/>
      <c r="LLP208"/>
      <c r="LLQ208"/>
      <c r="LLR208"/>
      <c r="LLS208"/>
      <c r="LLT208"/>
      <c r="LLU208"/>
      <c r="LLV208"/>
      <c r="LLW208"/>
      <c r="LLX208"/>
      <c r="LLY208"/>
      <c r="LLZ208"/>
      <c r="LMA208"/>
      <c r="LMB208"/>
      <c r="LMC208"/>
      <c r="LMD208"/>
      <c r="LME208"/>
      <c r="LMF208"/>
      <c r="LMG208"/>
      <c r="LMH208"/>
      <c r="LMI208"/>
      <c r="LMJ208"/>
      <c r="LMK208"/>
      <c r="LML208"/>
      <c r="LMM208"/>
      <c r="LMN208"/>
      <c r="LMO208"/>
      <c r="LMP208"/>
      <c r="LMQ208"/>
      <c r="LMR208"/>
      <c r="LMS208"/>
      <c r="LMT208"/>
      <c r="LMU208"/>
      <c r="LMV208"/>
      <c r="LMW208"/>
      <c r="LMX208"/>
      <c r="LMY208"/>
      <c r="LMZ208"/>
      <c r="LNA208"/>
      <c r="LNB208"/>
      <c r="LNC208"/>
      <c r="LND208"/>
      <c r="LNE208"/>
      <c r="LNF208"/>
      <c r="LNG208"/>
      <c r="LNH208"/>
      <c r="LNI208"/>
      <c r="LNJ208"/>
      <c r="LNK208"/>
      <c r="LNL208"/>
      <c r="LNM208"/>
      <c r="LNN208"/>
      <c r="LNO208"/>
      <c r="LNP208"/>
      <c r="LNQ208"/>
      <c r="LNR208"/>
      <c r="LNS208"/>
      <c r="LNT208"/>
      <c r="LNU208"/>
      <c r="LNV208"/>
      <c r="LNW208"/>
      <c r="LNX208"/>
      <c r="LNY208"/>
      <c r="LNZ208"/>
      <c r="LOA208"/>
      <c r="LOB208"/>
      <c r="LOC208"/>
      <c r="LOD208"/>
      <c r="LOE208"/>
      <c r="LOF208"/>
      <c r="LOG208"/>
      <c r="LOH208"/>
      <c r="LOI208"/>
      <c r="LOJ208"/>
      <c r="LOK208"/>
      <c r="LOL208"/>
      <c r="LOM208"/>
      <c r="LON208"/>
      <c r="LOO208"/>
      <c r="LOP208"/>
      <c r="LOQ208"/>
      <c r="LOR208"/>
      <c r="LOS208"/>
      <c r="LOT208"/>
      <c r="LOU208"/>
      <c r="LOV208"/>
      <c r="LOW208"/>
      <c r="LOX208"/>
      <c r="LOY208"/>
      <c r="LOZ208"/>
      <c r="LPA208"/>
      <c r="LPB208"/>
      <c r="LPC208"/>
      <c r="LPD208"/>
      <c r="LPE208"/>
      <c r="LPF208"/>
      <c r="LPG208"/>
      <c r="LPH208"/>
      <c r="LPI208"/>
      <c r="LPJ208"/>
      <c r="LPK208"/>
      <c r="LPL208"/>
      <c r="LPM208"/>
      <c r="LPN208"/>
      <c r="LPO208"/>
      <c r="LPP208"/>
      <c r="LPQ208"/>
      <c r="LPR208"/>
      <c r="LPS208"/>
      <c r="LPT208"/>
      <c r="LPU208"/>
      <c r="LPV208"/>
      <c r="LPW208"/>
      <c r="LPX208"/>
      <c r="LPY208"/>
      <c r="LPZ208"/>
      <c r="LQA208"/>
      <c r="LQB208"/>
      <c r="LQC208"/>
      <c r="LQD208"/>
      <c r="LQE208"/>
      <c r="LQF208"/>
      <c r="LQG208"/>
      <c r="LQH208"/>
      <c r="LQI208"/>
      <c r="LQJ208"/>
      <c r="LQK208"/>
      <c r="LQL208"/>
      <c r="LQM208"/>
      <c r="LQN208"/>
      <c r="LQO208"/>
      <c r="LQP208"/>
      <c r="LQQ208"/>
      <c r="LQR208"/>
      <c r="LQS208"/>
      <c r="LQT208"/>
      <c r="LQU208"/>
      <c r="LQV208"/>
      <c r="LQW208"/>
      <c r="LQX208"/>
      <c r="LQY208"/>
      <c r="LQZ208"/>
      <c r="LRA208"/>
      <c r="LRB208"/>
      <c r="LRC208"/>
      <c r="LRD208"/>
      <c r="LRE208"/>
      <c r="LRF208"/>
      <c r="LRG208"/>
      <c r="LRH208"/>
      <c r="LRI208"/>
      <c r="LRJ208"/>
      <c r="LRK208"/>
      <c r="LRL208"/>
      <c r="LRM208"/>
      <c r="LRN208"/>
      <c r="LRO208"/>
      <c r="LRP208"/>
      <c r="LRQ208"/>
      <c r="LRR208"/>
      <c r="LRS208"/>
      <c r="LRT208"/>
      <c r="LRU208"/>
      <c r="LRV208"/>
      <c r="LRW208"/>
      <c r="LRX208"/>
      <c r="LRY208"/>
      <c r="LRZ208"/>
      <c r="LSA208"/>
      <c r="LSB208"/>
      <c r="LSC208"/>
      <c r="LSD208"/>
      <c r="LSE208"/>
      <c r="LSF208"/>
      <c r="LSG208"/>
      <c r="LSH208"/>
      <c r="LSI208"/>
      <c r="LSJ208"/>
      <c r="LSK208"/>
      <c r="LSL208"/>
      <c r="LSM208"/>
      <c r="LSN208"/>
      <c r="LSO208"/>
      <c r="LSP208"/>
      <c r="LSQ208"/>
      <c r="LSR208"/>
      <c r="LSS208"/>
      <c r="LST208"/>
      <c r="LSU208"/>
      <c r="LSV208"/>
      <c r="LSW208"/>
      <c r="LSX208"/>
      <c r="LSY208"/>
      <c r="LSZ208"/>
      <c r="LTA208"/>
      <c r="LTB208"/>
      <c r="LTC208"/>
      <c r="LTD208"/>
      <c r="LTE208"/>
      <c r="LTF208"/>
      <c r="LTG208"/>
      <c r="LTH208"/>
      <c r="LTI208"/>
      <c r="LTJ208"/>
      <c r="LTK208"/>
      <c r="LTL208"/>
      <c r="LTM208"/>
      <c r="LTN208"/>
      <c r="LTO208"/>
      <c r="LTP208"/>
      <c r="LTQ208"/>
      <c r="LTR208"/>
      <c r="LTS208"/>
      <c r="LTT208"/>
      <c r="LTU208"/>
      <c r="LTV208"/>
      <c r="LTW208"/>
      <c r="LTX208"/>
      <c r="LTY208"/>
      <c r="LTZ208"/>
      <c r="LUA208"/>
      <c r="LUB208"/>
      <c r="LUC208"/>
      <c r="LUD208"/>
      <c r="LUE208"/>
      <c r="LUF208"/>
      <c r="LUG208"/>
      <c r="LUH208"/>
      <c r="LUI208"/>
      <c r="LUJ208"/>
      <c r="LUK208"/>
      <c r="LUL208"/>
      <c r="LUM208"/>
      <c r="LUN208"/>
      <c r="LUO208"/>
      <c r="LUP208"/>
      <c r="LUQ208"/>
      <c r="LUR208"/>
      <c r="LUS208"/>
      <c r="LUT208"/>
      <c r="LUU208"/>
      <c r="LUV208"/>
      <c r="LUW208"/>
      <c r="LUX208"/>
      <c r="LUY208"/>
      <c r="LUZ208"/>
      <c r="LVA208"/>
      <c r="LVB208"/>
      <c r="LVC208"/>
      <c r="LVD208"/>
      <c r="LVE208"/>
      <c r="LVF208"/>
      <c r="LVG208"/>
      <c r="LVH208"/>
      <c r="LVI208"/>
      <c r="LVJ208"/>
      <c r="LVK208"/>
      <c r="LVL208"/>
      <c r="LVM208"/>
      <c r="LVN208"/>
      <c r="LVO208"/>
      <c r="LVP208"/>
      <c r="LVQ208"/>
      <c r="LVR208"/>
      <c r="LVS208"/>
      <c r="LVT208"/>
      <c r="LVU208"/>
      <c r="LVV208"/>
      <c r="LVW208"/>
      <c r="LVX208"/>
      <c r="LVY208"/>
      <c r="LVZ208"/>
      <c r="LWA208"/>
      <c r="LWB208"/>
      <c r="LWC208"/>
      <c r="LWD208"/>
      <c r="LWE208"/>
      <c r="LWF208"/>
      <c r="LWG208"/>
      <c r="LWH208"/>
      <c r="LWI208"/>
      <c r="LWJ208"/>
      <c r="LWK208"/>
      <c r="LWL208"/>
      <c r="LWM208"/>
      <c r="LWN208"/>
      <c r="LWO208"/>
      <c r="LWP208"/>
      <c r="LWQ208"/>
      <c r="LWR208"/>
      <c r="LWS208"/>
      <c r="LWT208"/>
      <c r="LWU208"/>
      <c r="LWV208"/>
      <c r="LWW208"/>
      <c r="LWX208"/>
      <c r="LWY208"/>
      <c r="LWZ208"/>
      <c r="LXA208"/>
      <c r="LXB208"/>
      <c r="LXC208"/>
      <c r="LXD208"/>
      <c r="LXE208"/>
      <c r="LXF208"/>
      <c r="LXG208"/>
      <c r="LXH208"/>
      <c r="LXI208"/>
      <c r="LXJ208"/>
      <c r="LXK208"/>
      <c r="LXL208"/>
      <c r="LXM208"/>
      <c r="LXN208"/>
      <c r="LXO208"/>
      <c r="LXP208"/>
      <c r="LXQ208"/>
      <c r="LXR208"/>
      <c r="LXS208"/>
      <c r="LXT208"/>
      <c r="LXU208"/>
      <c r="LXV208"/>
      <c r="LXW208"/>
      <c r="LXX208"/>
      <c r="LXY208"/>
      <c r="LXZ208"/>
      <c r="LYA208"/>
      <c r="LYB208"/>
      <c r="LYC208"/>
      <c r="LYD208"/>
      <c r="LYE208"/>
      <c r="LYF208"/>
      <c r="LYG208"/>
      <c r="LYH208"/>
      <c r="LYI208"/>
      <c r="LYJ208"/>
      <c r="LYK208"/>
      <c r="LYL208"/>
      <c r="LYM208"/>
      <c r="LYN208"/>
      <c r="LYO208"/>
      <c r="LYP208"/>
      <c r="LYQ208"/>
      <c r="LYR208"/>
      <c r="LYS208"/>
      <c r="LYT208"/>
      <c r="LYU208"/>
      <c r="LYV208"/>
      <c r="LYW208"/>
      <c r="LYX208"/>
      <c r="LYY208"/>
      <c r="LYZ208"/>
      <c r="LZA208"/>
      <c r="LZB208"/>
      <c r="LZC208"/>
      <c r="LZD208"/>
      <c r="LZE208"/>
      <c r="LZF208"/>
      <c r="LZG208"/>
      <c r="LZH208"/>
      <c r="LZI208"/>
      <c r="LZJ208"/>
      <c r="LZK208"/>
      <c r="LZL208"/>
      <c r="LZM208"/>
      <c r="LZN208"/>
      <c r="LZO208"/>
      <c r="LZP208"/>
      <c r="LZQ208"/>
      <c r="LZR208"/>
      <c r="LZS208"/>
      <c r="LZT208"/>
      <c r="LZU208"/>
      <c r="LZV208"/>
      <c r="LZW208"/>
      <c r="LZX208"/>
      <c r="LZY208"/>
      <c r="LZZ208"/>
      <c r="MAA208"/>
      <c r="MAB208"/>
      <c r="MAC208"/>
      <c r="MAD208"/>
      <c r="MAE208"/>
      <c r="MAF208"/>
      <c r="MAG208"/>
      <c r="MAH208"/>
      <c r="MAI208"/>
      <c r="MAJ208"/>
      <c r="MAK208"/>
      <c r="MAL208"/>
      <c r="MAM208"/>
      <c r="MAN208"/>
      <c r="MAO208"/>
      <c r="MAP208"/>
      <c r="MAQ208"/>
      <c r="MAR208"/>
      <c r="MAS208"/>
      <c r="MAT208"/>
      <c r="MAU208"/>
      <c r="MAV208"/>
      <c r="MAW208"/>
      <c r="MAX208"/>
      <c r="MAY208"/>
      <c r="MAZ208"/>
      <c r="MBA208"/>
      <c r="MBB208"/>
      <c r="MBC208"/>
      <c r="MBD208"/>
      <c r="MBE208"/>
      <c r="MBF208"/>
      <c r="MBG208"/>
      <c r="MBH208"/>
      <c r="MBI208"/>
      <c r="MBJ208"/>
      <c r="MBK208"/>
      <c r="MBL208"/>
      <c r="MBM208"/>
      <c r="MBN208"/>
      <c r="MBO208"/>
      <c r="MBP208"/>
      <c r="MBQ208"/>
      <c r="MBR208"/>
      <c r="MBS208"/>
      <c r="MBT208"/>
      <c r="MBU208"/>
      <c r="MBV208"/>
      <c r="MBW208"/>
      <c r="MBX208"/>
      <c r="MBY208"/>
      <c r="MBZ208"/>
      <c r="MCA208"/>
      <c r="MCB208"/>
      <c r="MCC208"/>
      <c r="MCD208"/>
      <c r="MCE208"/>
      <c r="MCF208"/>
      <c r="MCG208"/>
      <c r="MCH208"/>
      <c r="MCI208"/>
      <c r="MCJ208"/>
      <c r="MCK208"/>
      <c r="MCL208"/>
      <c r="MCM208"/>
      <c r="MCN208"/>
      <c r="MCO208"/>
      <c r="MCP208"/>
      <c r="MCQ208"/>
      <c r="MCR208"/>
      <c r="MCS208"/>
      <c r="MCT208"/>
      <c r="MCU208"/>
      <c r="MCV208"/>
      <c r="MCW208"/>
      <c r="MCX208"/>
      <c r="MCY208"/>
      <c r="MCZ208"/>
      <c r="MDA208"/>
      <c r="MDB208"/>
      <c r="MDC208"/>
      <c r="MDD208"/>
      <c r="MDE208"/>
      <c r="MDF208"/>
      <c r="MDG208"/>
      <c r="MDH208"/>
      <c r="MDI208"/>
      <c r="MDJ208"/>
      <c r="MDK208"/>
      <c r="MDL208"/>
      <c r="MDM208"/>
      <c r="MDN208"/>
      <c r="MDO208"/>
      <c r="MDP208"/>
      <c r="MDQ208"/>
      <c r="MDR208"/>
      <c r="MDS208"/>
      <c r="MDT208"/>
      <c r="MDU208"/>
      <c r="MDV208"/>
      <c r="MDW208"/>
      <c r="MDX208"/>
      <c r="MDY208"/>
      <c r="MDZ208"/>
      <c r="MEA208"/>
      <c r="MEB208"/>
      <c r="MEC208"/>
      <c r="MED208"/>
      <c r="MEE208"/>
      <c r="MEF208"/>
      <c r="MEG208"/>
      <c r="MEH208"/>
      <c r="MEI208"/>
      <c r="MEJ208"/>
      <c r="MEK208"/>
      <c r="MEL208"/>
      <c r="MEM208"/>
      <c r="MEN208"/>
      <c r="MEO208"/>
      <c r="MEP208"/>
      <c r="MEQ208"/>
      <c r="MER208"/>
      <c r="MES208"/>
      <c r="MET208"/>
      <c r="MEU208"/>
      <c r="MEV208"/>
      <c r="MEW208"/>
      <c r="MEX208"/>
      <c r="MEY208"/>
      <c r="MEZ208"/>
      <c r="MFA208"/>
      <c r="MFB208"/>
      <c r="MFC208"/>
      <c r="MFD208"/>
      <c r="MFE208"/>
      <c r="MFF208"/>
      <c r="MFG208"/>
      <c r="MFH208"/>
      <c r="MFI208"/>
      <c r="MFJ208"/>
      <c r="MFK208"/>
      <c r="MFL208"/>
      <c r="MFM208"/>
      <c r="MFN208"/>
      <c r="MFO208"/>
      <c r="MFP208"/>
      <c r="MFQ208"/>
      <c r="MFR208"/>
      <c r="MFS208"/>
      <c r="MFT208"/>
      <c r="MFU208"/>
      <c r="MFV208"/>
      <c r="MFW208"/>
      <c r="MFX208"/>
      <c r="MFY208"/>
      <c r="MFZ208"/>
      <c r="MGA208"/>
      <c r="MGB208"/>
      <c r="MGC208"/>
      <c r="MGD208"/>
      <c r="MGE208"/>
      <c r="MGF208"/>
      <c r="MGG208"/>
      <c r="MGH208"/>
      <c r="MGI208"/>
      <c r="MGJ208"/>
      <c r="MGK208"/>
      <c r="MGL208"/>
      <c r="MGM208"/>
      <c r="MGN208"/>
      <c r="MGO208"/>
      <c r="MGP208"/>
      <c r="MGQ208"/>
      <c r="MGR208"/>
      <c r="MGS208"/>
      <c r="MGT208"/>
      <c r="MGU208"/>
      <c r="MGV208"/>
      <c r="MGW208"/>
      <c r="MGX208"/>
      <c r="MGY208"/>
      <c r="MGZ208"/>
      <c r="MHA208"/>
      <c r="MHB208"/>
      <c r="MHC208"/>
      <c r="MHD208"/>
      <c r="MHE208"/>
      <c r="MHF208"/>
      <c r="MHG208"/>
      <c r="MHH208"/>
      <c r="MHI208"/>
      <c r="MHJ208"/>
      <c r="MHK208"/>
      <c r="MHL208"/>
      <c r="MHM208"/>
      <c r="MHN208"/>
      <c r="MHO208"/>
      <c r="MHP208"/>
      <c r="MHQ208"/>
      <c r="MHR208"/>
      <c r="MHS208"/>
      <c r="MHT208"/>
      <c r="MHU208"/>
      <c r="MHV208"/>
      <c r="MHW208"/>
      <c r="MHX208"/>
      <c r="MHY208"/>
      <c r="MHZ208"/>
      <c r="MIA208"/>
      <c r="MIB208"/>
      <c r="MIC208"/>
      <c r="MID208"/>
      <c r="MIE208"/>
      <c r="MIF208"/>
      <c r="MIG208"/>
      <c r="MIH208"/>
      <c r="MII208"/>
      <c r="MIJ208"/>
      <c r="MIK208"/>
      <c r="MIL208"/>
      <c r="MIM208"/>
      <c r="MIN208"/>
      <c r="MIO208"/>
      <c r="MIP208"/>
      <c r="MIQ208"/>
      <c r="MIR208"/>
      <c r="MIS208"/>
      <c r="MIT208"/>
      <c r="MIU208"/>
      <c r="MIV208"/>
      <c r="MIW208"/>
      <c r="MIX208"/>
      <c r="MIY208"/>
      <c r="MIZ208"/>
      <c r="MJA208"/>
      <c r="MJB208"/>
      <c r="MJC208"/>
      <c r="MJD208"/>
      <c r="MJE208"/>
      <c r="MJF208"/>
      <c r="MJG208"/>
      <c r="MJH208"/>
      <c r="MJI208"/>
      <c r="MJJ208"/>
      <c r="MJK208"/>
      <c r="MJL208"/>
      <c r="MJM208"/>
      <c r="MJN208"/>
      <c r="MJO208"/>
      <c r="MJP208"/>
      <c r="MJQ208"/>
      <c r="MJR208"/>
      <c r="MJS208"/>
      <c r="MJT208"/>
      <c r="MJU208"/>
      <c r="MJV208"/>
      <c r="MJW208"/>
      <c r="MJX208"/>
      <c r="MJY208"/>
      <c r="MJZ208"/>
      <c r="MKA208"/>
      <c r="MKB208"/>
      <c r="MKC208"/>
      <c r="MKD208"/>
      <c r="MKE208"/>
      <c r="MKF208"/>
      <c r="MKG208"/>
      <c r="MKH208"/>
      <c r="MKI208"/>
      <c r="MKJ208"/>
      <c r="MKK208"/>
      <c r="MKL208"/>
      <c r="MKM208"/>
      <c r="MKN208"/>
      <c r="MKO208"/>
      <c r="MKP208"/>
      <c r="MKQ208"/>
      <c r="MKR208"/>
      <c r="MKS208"/>
      <c r="MKT208"/>
      <c r="MKU208"/>
      <c r="MKV208"/>
      <c r="MKW208"/>
      <c r="MKX208"/>
      <c r="MKY208"/>
      <c r="MKZ208"/>
      <c r="MLA208"/>
      <c r="MLB208"/>
      <c r="MLC208"/>
      <c r="MLD208"/>
      <c r="MLE208"/>
      <c r="MLF208"/>
      <c r="MLG208"/>
      <c r="MLH208"/>
      <c r="MLI208"/>
      <c r="MLJ208"/>
      <c r="MLK208"/>
      <c r="MLL208"/>
      <c r="MLM208"/>
      <c r="MLN208"/>
      <c r="MLO208"/>
      <c r="MLP208"/>
      <c r="MLQ208"/>
      <c r="MLR208"/>
      <c r="MLS208"/>
      <c r="MLT208"/>
      <c r="MLU208"/>
      <c r="MLV208"/>
      <c r="MLW208"/>
      <c r="MLX208"/>
      <c r="MLY208"/>
      <c r="MLZ208"/>
      <c r="MMA208"/>
      <c r="MMB208"/>
      <c r="MMC208"/>
      <c r="MMD208"/>
      <c r="MME208"/>
      <c r="MMF208"/>
      <c r="MMG208"/>
      <c r="MMH208"/>
      <c r="MMI208"/>
      <c r="MMJ208"/>
      <c r="MMK208"/>
      <c r="MML208"/>
      <c r="MMM208"/>
      <c r="MMN208"/>
      <c r="MMO208"/>
      <c r="MMP208"/>
      <c r="MMQ208"/>
      <c r="MMR208"/>
      <c r="MMS208"/>
      <c r="MMT208"/>
      <c r="MMU208"/>
      <c r="MMV208"/>
      <c r="MMW208"/>
      <c r="MMX208"/>
      <c r="MMY208"/>
      <c r="MMZ208"/>
      <c r="MNA208"/>
      <c r="MNB208"/>
      <c r="MNC208"/>
      <c r="MND208"/>
      <c r="MNE208"/>
      <c r="MNF208"/>
      <c r="MNG208"/>
      <c r="MNH208"/>
      <c r="MNI208"/>
      <c r="MNJ208"/>
      <c r="MNK208"/>
      <c r="MNL208"/>
      <c r="MNM208"/>
      <c r="MNN208"/>
      <c r="MNO208"/>
      <c r="MNP208"/>
      <c r="MNQ208"/>
      <c r="MNR208"/>
      <c r="MNS208"/>
      <c r="MNT208"/>
      <c r="MNU208"/>
      <c r="MNV208"/>
      <c r="MNW208"/>
      <c r="MNX208"/>
      <c r="MNY208"/>
      <c r="MNZ208"/>
      <c r="MOA208"/>
      <c r="MOB208"/>
      <c r="MOC208"/>
      <c r="MOD208"/>
      <c r="MOE208"/>
      <c r="MOF208"/>
      <c r="MOG208"/>
      <c r="MOH208"/>
      <c r="MOI208"/>
      <c r="MOJ208"/>
      <c r="MOK208"/>
      <c r="MOL208"/>
      <c r="MOM208"/>
      <c r="MON208"/>
      <c r="MOO208"/>
      <c r="MOP208"/>
      <c r="MOQ208"/>
      <c r="MOR208"/>
      <c r="MOS208"/>
      <c r="MOT208"/>
      <c r="MOU208"/>
      <c r="MOV208"/>
      <c r="MOW208"/>
      <c r="MOX208"/>
      <c r="MOY208"/>
      <c r="MOZ208"/>
      <c r="MPA208"/>
      <c r="MPB208"/>
      <c r="MPC208"/>
      <c r="MPD208"/>
      <c r="MPE208"/>
      <c r="MPF208"/>
      <c r="MPG208"/>
      <c r="MPH208"/>
      <c r="MPI208"/>
      <c r="MPJ208"/>
      <c r="MPK208"/>
      <c r="MPL208"/>
      <c r="MPM208"/>
      <c r="MPN208"/>
      <c r="MPO208"/>
      <c r="MPP208"/>
      <c r="MPQ208"/>
      <c r="MPR208"/>
      <c r="MPS208"/>
      <c r="MPT208"/>
      <c r="MPU208"/>
      <c r="MPV208"/>
      <c r="MPW208"/>
      <c r="MPX208"/>
      <c r="MPY208"/>
      <c r="MPZ208"/>
      <c r="MQA208"/>
      <c r="MQB208"/>
      <c r="MQC208"/>
      <c r="MQD208"/>
      <c r="MQE208"/>
      <c r="MQF208"/>
      <c r="MQG208"/>
      <c r="MQH208"/>
      <c r="MQI208"/>
      <c r="MQJ208"/>
      <c r="MQK208"/>
      <c r="MQL208"/>
      <c r="MQM208"/>
      <c r="MQN208"/>
      <c r="MQO208"/>
      <c r="MQP208"/>
      <c r="MQQ208"/>
      <c r="MQR208"/>
      <c r="MQS208"/>
      <c r="MQT208"/>
      <c r="MQU208"/>
      <c r="MQV208"/>
      <c r="MQW208"/>
      <c r="MQX208"/>
      <c r="MQY208"/>
      <c r="MQZ208"/>
      <c r="MRA208"/>
      <c r="MRB208"/>
      <c r="MRC208"/>
      <c r="MRD208"/>
      <c r="MRE208"/>
      <c r="MRF208"/>
      <c r="MRG208"/>
      <c r="MRH208"/>
      <c r="MRI208"/>
      <c r="MRJ208"/>
      <c r="MRK208"/>
      <c r="MRL208"/>
      <c r="MRM208"/>
      <c r="MRN208"/>
      <c r="MRO208"/>
      <c r="MRP208"/>
      <c r="MRQ208"/>
      <c r="MRR208"/>
      <c r="MRS208"/>
      <c r="MRT208"/>
      <c r="MRU208"/>
      <c r="MRV208"/>
      <c r="MRW208"/>
      <c r="MRX208"/>
      <c r="MRY208"/>
      <c r="MRZ208"/>
      <c r="MSA208"/>
      <c r="MSB208"/>
      <c r="MSC208"/>
      <c r="MSD208"/>
      <c r="MSE208"/>
      <c r="MSF208"/>
      <c r="MSG208"/>
      <c r="MSH208"/>
      <c r="MSI208"/>
      <c r="MSJ208"/>
      <c r="MSK208"/>
      <c r="MSL208"/>
      <c r="MSM208"/>
      <c r="MSN208"/>
      <c r="MSO208"/>
      <c r="MSP208"/>
      <c r="MSQ208"/>
      <c r="MSR208"/>
      <c r="MSS208"/>
      <c r="MST208"/>
      <c r="MSU208"/>
      <c r="MSV208"/>
      <c r="MSW208"/>
      <c r="MSX208"/>
      <c r="MSY208"/>
      <c r="MSZ208"/>
      <c r="MTA208"/>
      <c r="MTB208"/>
      <c r="MTC208"/>
      <c r="MTD208"/>
      <c r="MTE208"/>
      <c r="MTF208"/>
      <c r="MTG208"/>
      <c r="MTH208"/>
      <c r="MTI208"/>
      <c r="MTJ208"/>
      <c r="MTK208"/>
      <c r="MTL208"/>
      <c r="MTM208"/>
      <c r="MTN208"/>
      <c r="MTO208"/>
      <c r="MTP208"/>
      <c r="MTQ208"/>
      <c r="MTR208"/>
      <c r="MTS208"/>
      <c r="MTT208"/>
      <c r="MTU208"/>
      <c r="MTV208"/>
      <c r="MTW208"/>
      <c r="MTX208"/>
      <c r="MTY208"/>
      <c r="MTZ208"/>
      <c r="MUA208"/>
      <c r="MUB208"/>
      <c r="MUC208"/>
      <c r="MUD208"/>
      <c r="MUE208"/>
      <c r="MUF208"/>
      <c r="MUG208"/>
      <c r="MUH208"/>
      <c r="MUI208"/>
      <c r="MUJ208"/>
      <c r="MUK208"/>
      <c r="MUL208"/>
      <c r="MUM208"/>
      <c r="MUN208"/>
      <c r="MUO208"/>
      <c r="MUP208"/>
      <c r="MUQ208"/>
      <c r="MUR208"/>
      <c r="MUS208"/>
      <c r="MUT208"/>
      <c r="MUU208"/>
      <c r="MUV208"/>
      <c r="MUW208"/>
      <c r="MUX208"/>
      <c r="MUY208"/>
      <c r="MUZ208"/>
      <c r="MVA208"/>
      <c r="MVB208"/>
      <c r="MVC208"/>
      <c r="MVD208"/>
      <c r="MVE208"/>
      <c r="MVF208"/>
      <c r="MVG208"/>
      <c r="MVH208"/>
      <c r="MVI208"/>
      <c r="MVJ208"/>
      <c r="MVK208"/>
      <c r="MVL208"/>
      <c r="MVM208"/>
      <c r="MVN208"/>
      <c r="MVO208"/>
      <c r="MVP208"/>
      <c r="MVQ208"/>
      <c r="MVR208"/>
      <c r="MVS208"/>
      <c r="MVT208"/>
      <c r="MVU208"/>
      <c r="MVV208"/>
      <c r="MVW208"/>
      <c r="MVX208"/>
      <c r="MVY208"/>
      <c r="MVZ208"/>
      <c r="MWA208"/>
      <c r="MWB208"/>
      <c r="MWC208"/>
      <c r="MWD208"/>
      <c r="MWE208"/>
      <c r="MWF208"/>
      <c r="MWG208"/>
      <c r="MWH208"/>
      <c r="MWI208"/>
      <c r="MWJ208"/>
      <c r="MWK208"/>
      <c r="MWL208"/>
      <c r="MWM208"/>
      <c r="MWN208"/>
      <c r="MWO208"/>
      <c r="MWP208"/>
      <c r="MWQ208"/>
      <c r="MWR208"/>
      <c r="MWS208"/>
      <c r="MWT208"/>
      <c r="MWU208"/>
      <c r="MWV208"/>
      <c r="MWW208"/>
      <c r="MWX208"/>
      <c r="MWY208"/>
      <c r="MWZ208"/>
      <c r="MXA208"/>
      <c r="MXB208"/>
      <c r="MXC208"/>
      <c r="MXD208"/>
      <c r="MXE208"/>
      <c r="MXF208"/>
      <c r="MXG208"/>
      <c r="MXH208"/>
      <c r="MXI208"/>
      <c r="MXJ208"/>
      <c r="MXK208"/>
      <c r="MXL208"/>
      <c r="MXM208"/>
      <c r="MXN208"/>
      <c r="MXO208"/>
      <c r="MXP208"/>
      <c r="MXQ208"/>
      <c r="MXR208"/>
      <c r="MXS208"/>
      <c r="MXT208"/>
      <c r="MXU208"/>
      <c r="MXV208"/>
      <c r="MXW208"/>
      <c r="MXX208"/>
      <c r="MXY208"/>
      <c r="MXZ208"/>
      <c r="MYA208"/>
      <c r="MYB208"/>
      <c r="MYC208"/>
      <c r="MYD208"/>
      <c r="MYE208"/>
      <c r="MYF208"/>
      <c r="MYG208"/>
      <c r="MYH208"/>
      <c r="MYI208"/>
      <c r="MYJ208"/>
      <c r="MYK208"/>
      <c r="MYL208"/>
      <c r="MYM208"/>
      <c r="MYN208"/>
      <c r="MYO208"/>
      <c r="MYP208"/>
      <c r="MYQ208"/>
      <c r="MYR208"/>
      <c r="MYS208"/>
      <c r="MYT208"/>
      <c r="MYU208"/>
      <c r="MYV208"/>
      <c r="MYW208"/>
      <c r="MYX208"/>
      <c r="MYY208"/>
      <c r="MYZ208"/>
      <c r="MZA208"/>
      <c r="MZB208"/>
      <c r="MZC208"/>
      <c r="MZD208"/>
      <c r="MZE208"/>
      <c r="MZF208"/>
      <c r="MZG208"/>
      <c r="MZH208"/>
      <c r="MZI208"/>
      <c r="MZJ208"/>
      <c r="MZK208"/>
      <c r="MZL208"/>
      <c r="MZM208"/>
      <c r="MZN208"/>
      <c r="MZO208"/>
      <c r="MZP208"/>
      <c r="MZQ208"/>
      <c r="MZR208"/>
      <c r="MZS208"/>
      <c r="MZT208"/>
      <c r="MZU208"/>
      <c r="MZV208"/>
      <c r="MZW208"/>
      <c r="MZX208"/>
      <c r="MZY208"/>
      <c r="MZZ208"/>
      <c r="NAA208"/>
      <c r="NAB208"/>
      <c r="NAC208"/>
      <c r="NAD208"/>
      <c r="NAE208"/>
      <c r="NAF208"/>
      <c r="NAG208"/>
      <c r="NAH208"/>
      <c r="NAI208"/>
      <c r="NAJ208"/>
      <c r="NAK208"/>
      <c r="NAL208"/>
      <c r="NAM208"/>
      <c r="NAN208"/>
      <c r="NAO208"/>
      <c r="NAP208"/>
      <c r="NAQ208"/>
      <c r="NAR208"/>
      <c r="NAS208"/>
      <c r="NAT208"/>
      <c r="NAU208"/>
      <c r="NAV208"/>
      <c r="NAW208"/>
      <c r="NAX208"/>
      <c r="NAY208"/>
      <c r="NAZ208"/>
      <c r="NBA208"/>
      <c r="NBB208"/>
      <c r="NBC208"/>
      <c r="NBD208"/>
      <c r="NBE208"/>
      <c r="NBF208"/>
      <c r="NBG208"/>
      <c r="NBH208"/>
      <c r="NBI208"/>
      <c r="NBJ208"/>
      <c r="NBK208"/>
      <c r="NBL208"/>
      <c r="NBM208"/>
      <c r="NBN208"/>
      <c r="NBO208"/>
      <c r="NBP208"/>
      <c r="NBQ208"/>
      <c r="NBR208"/>
      <c r="NBS208"/>
      <c r="NBT208"/>
      <c r="NBU208"/>
      <c r="NBV208"/>
      <c r="NBW208"/>
      <c r="NBX208"/>
      <c r="NBY208"/>
      <c r="NBZ208"/>
      <c r="NCA208"/>
      <c r="NCB208"/>
      <c r="NCC208"/>
      <c r="NCD208"/>
      <c r="NCE208"/>
      <c r="NCF208"/>
      <c r="NCG208"/>
      <c r="NCH208"/>
      <c r="NCI208"/>
      <c r="NCJ208"/>
      <c r="NCK208"/>
      <c r="NCL208"/>
      <c r="NCM208"/>
      <c r="NCN208"/>
      <c r="NCO208"/>
      <c r="NCP208"/>
      <c r="NCQ208"/>
      <c r="NCR208"/>
      <c r="NCS208"/>
      <c r="NCT208"/>
      <c r="NCU208"/>
      <c r="NCV208"/>
      <c r="NCW208"/>
      <c r="NCX208"/>
      <c r="NCY208"/>
      <c r="NCZ208"/>
      <c r="NDA208"/>
      <c r="NDB208"/>
      <c r="NDC208"/>
      <c r="NDD208"/>
      <c r="NDE208"/>
      <c r="NDF208"/>
      <c r="NDG208"/>
      <c r="NDH208"/>
      <c r="NDI208"/>
      <c r="NDJ208"/>
      <c r="NDK208"/>
      <c r="NDL208"/>
      <c r="NDM208"/>
      <c r="NDN208"/>
      <c r="NDO208"/>
      <c r="NDP208"/>
      <c r="NDQ208"/>
      <c r="NDR208"/>
      <c r="NDS208"/>
      <c r="NDT208"/>
      <c r="NDU208"/>
      <c r="NDV208"/>
      <c r="NDW208"/>
      <c r="NDX208"/>
      <c r="NDY208"/>
      <c r="NDZ208"/>
      <c r="NEA208"/>
      <c r="NEB208"/>
      <c r="NEC208"/>
      <c r="NED208"/>
      <c r="NEE208"/>
      <c r="NEF208"/>
      <c r="NEG208"/>
      <c r="NEH208"/>
      <c r="NEI208"/>
      <c r="NEJ208"/>
      <c r="NEK208"/>
      <c r="NEL208"/>
      <c r="NEM208"/>
      <c r="NEN208"/>
      <c r="NEO208"/>
      <c r="NEP208"/>
      <c r="NEQ208"/>
      <c r="NER208"/>
      <c r="NES208"/>
      <c r="NET208"/>
      <c r="NEU208"/>
      <c r="NEV208"/>
      <c r="NEW208"/>
      <c r="NEX208"/>
      <c r="NEY208"/>
      <c r="NEZ208"/>
      <c r="NFA208"/>
      <c r="NFB208"/>
      <c r="NFC208"/>
      <c r="NFD208"/>
      <c r="NFE208"/>
      <c r="NFF208"/>
      <c r="NFG208"/>
      <c r="NFH208"/>
      <c r="NFI208"/>
      <c r="NFJ208"/>
      <c r="NFK208"/>
      <c r="NFL208"/>
      <c r="NFM208"/>
      <c r="NFN208"/>
      <c r="NFO208"/>
      <c r="NFP208"/>
      <c r="NFQ208"/>
      <c r="NFR208"/>
      <c r="NFS208"/>
      <c r="NFT208"/>
      <c r="NFU208"/>
      <c r="NFV208"/>
      <c r="NFW208"/>
      <c r="NFX208"/>
      <c r="NFY208"/>
      <c r="NFZ208"/>
      <c r="NGA208"/>
      <c r="NGB208"/>
      <c r="NGC208"/>
      <c r="NGD208"/>
      <c r="NGE208"/>
      <c r="NGF208"/>
      <c r="NGG208"/>
      <c r="NGH208"/>
      <c r="NGI208"/>
      <c r="NGJ208"/>
      <c r="NGK208"/>
      <c r="NGL208"/>
      <c r="NGM208"/>
      <c r="NGN208"/>
      <c r="NGO208"/>
      <c r="NGP208"/>
      <c r="NGQ208"/>
      <c r="NGR208"/>
      <c r="NGS208"/>
      <c r="NGT208"/>
      <c r="NGU208"/>
      <c r="NGV208"/>
      <c r="NGW208"/>
      <c r="NGX208"/>
      <c r="NGY208"/>
      <c r="NGZ208"/>
      <c r="NHA208"/>
      <c r="NHB208"/>
      <c r="NHC208"/>
      <c r="NHD208"/>
      <c r="NHE208"/>
      <c r="NHF208"/>
      <c r="NHG208"/>
      <c r="NHH208"/>
      <c r="NHI208"/>
      <c r="NHJ208"/>
      <c r="NHK208"/>
      <c r="NHL208"/>
      <c r="NHM208"/>
      <c r="NHN208"/>
      <c r="NHO208"/>
      <c r="NHP208"/>
      <c r="NHQ208"/>
      <c r="NHR208"/>
      <c r="NHS208"/>
      <c r="NHT208"/>
      <c r="NHU208"/>
      <c r="NHV208"/>
      <c r="NHW208"/>
      <c r="NHX208"/>
      <c r="NHY208"/>
      <c r="NHZ208"/>
      <c r="NIA208"/>
      <c r="NIB208"/>
      <c r="NIC208"/>
      <c r="NID208"/>
      <c r="NIE208"/>
      <c r="NIF208"/>
      <c r="NIG208"/>
      <c r="NIH208"/>
      <c r="NII208"/>
      <c r="NIJ208"/>
      <c r="NIK208"/>
      <c r="NIL208"/>
      <c r="NIM208"/>
      <c r="NIN208"/>
      <c r="NIO208"/>
      <c r="NIP208"/>
      <c r="NIQ208"/>
      <c r="NIR208"/>
      <c r="NIS208"/>
      <c r="NIT208"/>
      <c r="NIU208"/>
      <c r="NIV208"/>
      <c r="NIW208"/>
      <c r="NIX208"/>
      <c r="NIY208"/>
      <c r="NIZ208"/>
      <c r="NJA208"/>
      <c r="NJB208"/>
      <c r="NJC208"/>
      <c r="NJD208"/>
      <c r="NJE208"/>
      <c r="NJF208"/>
      <c r="NJG208"/>
      <c r="NJH208"/>
      <c r="NJI208"/>
      <c r="NJJ208"/>
      <c r="NJK208"/>
      <c r="NJL208"/>
      <c r="NJM208"/>
      <c r="NJN208"/>
      <c r="NJO208"/>
      <c r="NJP208"/>
      <c r="NJQ208"/>
      <c r="NJR208"/>
      <c r="NJS208"/>
      <c r="NJT208"/>
      <c r="NJU208"/>
      <c r="NJV208"/>
      <c r="NJW208"/>
      <c r="NJX208"/>
      <c r="NJY208"/>
      <c r="NJZ208"/>
      <c r="NKA208"/>
      <c r="NKB208"/>
      <c r="NKC208"/>
      <c r="NKD208"/>
      <c r="NKE208"/>
      <c r="NKF208"/>
      <c r="NKG208"/>
      <c r="NKH208"/>
      <c r="NKI208"/>
      <c r="NKJ208"/>
      <c r="NKK208"/>
      <c r="NKL208"/>
      <c r="NKM208"/>
      <c r="NKN208"/>
      <c r="NKO208"/>
      <c r="NKP208"/>
      <c r="NKQ208"/>
      <c r="NKR208"/>
      <c r="NKS208"/>
      <c r="NKT208"/>
      <c r="NKU208"/>
      <c r="NKV208"/>
      <c r="NKW208"/>
      <c r="NKX208"/>
      <c r="NKY208"/>
      <c r="NKZ208"/>
      <c r="NLA208"/>
      <c r="NLB208"/>
      <c r="NLC208"/>
      <c r="NLD208"/>
      <c r="NLE208"/>
      <c r="NLF208"/>
      <c r="NLG208"/>
      <c r="NLH208"/>
      <c r="NLI208"/>
      <c r="NLJ208"/>
      <c r="NLK208"/>
      <c r="NLL208"/>
      <c r="NLM208"/>
      <c r="NLN208"/>
      <c r="NLO208"/>
      <c r="NLP208"/>
      <c r="NLQ208"/>
      <c r="NLR208"/>
      <c r="NLS208"/>
      <c r="NLT208"/>
      <c r="NLU208"/>
      <c r="NLV208"/>
      <c r="NLW208"/>
      <c r="NLX208"/>
      <c r="NLY208"/>
      <c r="NLZ208"/>
      <c r="NMA208"/>
      <c r="NMB208"/>
      <c r="NMC208"/>
      <c r="NMD208"/>
      <c r="NME208"/>
      <c r="NMF208"/>
      <c r="NMG208"/>
      <c r="NMH208"/>
      <c r="NMI208"/>
      <c r="NMJ208"/>
      <c r="NMK208"/>
      <c r="NML208"/>
      <c r="NMM208"/>
      <c r="NMN208"/>
      <c r="NMO208"/>
      <c r="NMP208"/>
      <c r="NMQ208"/>
      <c r="NMR208"/>
      <c r="NMS208"/>
      <c r="NMT208"/>
      <c r="NMU208"/>
      <c r="NMV208"/>
      <c r="NMW208"/>
      <c r="NMX208"/>
      <c r="NMY208"/>
      <c r="NMZ208"/>
      <c r="NNA208"/>
      <c r="NNB208"/>
      <c r="NNC208"/>
      <c r="NND208"/>
      <c r="NNE208"/>
      <c r="NNF208"/>
      <c r="NNG208"/>
      <c r="NNH208"/>
      <c r="NNI208"/>
      <c r="NNJ208"/>
      <c r="NNK208"/>
      <c r="NNL208"/>
      <c r="NNM208"/>
      <c r="NNN208"/>
      <c r="NNO208"/>
      <c r="NNP208"/>
      <c r="NNQ208"/>
      <c r="NNR208"/>
      <c r="NNS208"/>
      <c r="NNT208"/>
      <c r="NNU208"/>
      <c r="NNV208"/>
      <c r="NNW208"/>
      <c r="NNX208"/>
      <c r="NNY208"/>
      <c r="NNZ208"/>
      <c r="NOA208"/>
      <c r="NOB208"/>
      <c r="NOC208"/>
      <c r="NOD208"/>
      <c r="NOE208"/>
      <c r="NOF208"/>
      <c r="NOG208"/>
      <c r="NOH208"/>
      <c r="NOI208"/>
      <c r="NOJ208"/>
      <c r="NOK208"/>
      <c r="NOL208"/>
      <c r="NOM208"/>
      <c r="NON208"/>
      <c r="NOO208"/>
      <c r="NOP208"/>
      <c r="NOQ208"/>
      <c r="NOR208"/>
      <c r="NOS208"/>
      <c r="NOT208"/>
      <c r="NOU208"/>
      <c r="NOV208"/>
      <c r="NOW208"/>
      <c r="NOX208"/>
      <c r="NOY208"/>
      <c r="NOZ208"/>
      <c r="NPA208"/>
      <c r="NPB208"/>
      <c r="NPC208"/>
      <c r="NPD208"/>
      <c r="NPE208"/>
      <c r="NPF208"/>
      <c r="NPG208"/>
      <c r="NPH208"/>
      <c r="NPI208"/>
      <c r="NPJ208"/>
      <c r="NPK208"/>
      <c r="NPL208"/>
      <c r="NPM208"/>
      <c r="NPN208"/>
      <c r="NPO208"/>
      <c r="NPP208"/>
      <c r="NPQ208"/>
      <c r="NPR208"/>
      <c r="NPS208"/>
      <c r="NPT208"/>
      <c r="NPU208"/>
      <c r="NPV208"/>
      <c r="NPW208"/>
      <c r="NPX208"/>
      <c r="NPY208"/>
      <c r="NPZ208"/>
      <c r="NQA208"/>
      <c r="NQB208"/>
      <c r="NQC208"/>
      <c r="NQD208"/>
      <c r="NQE208"/>
      <c r="NQF208"/>
      <c r="NQG208"/>
      <c r="NQH208"/>
      <c r="NQI208"/>
      <c r="NQJ208"/>
      <c r="NQK208"/>
      <c r="NQL208"/>
      <c r="NQM208"/>
      <c r="NQN208"/>
      <c r="NQO208"/>
      <c r="NQP208"/>
      <c r="NQQ208"/>
      <c r="NQR208"/>
      <c r="NQS208"/>
      <c r="NQT208"/>
      <c r="NQU208"/>
      <c r="NQV208"/>
      <c r="NQW208"/>
      <c r="NQX208"/>
      <c r="NQY208"/>
      <c r="NQZ208"/>
      <c r="NRA208"/>
      <c r="NRB208"/>
      <c r="NRC208"/>
      <c r="NRD208"/>
      <c r="NRE208"/>
      <c r="NRF208"/>
      <c r="NRG208"/>
      <c r="NRH208"/>
      <c r="NRI208"/>
      <c r="NRJ208"/>
      <c r="NRK208"/>
      <c r="NRL208"/>
      <c r="NRM208"/>
      <c r="NRN208"/>
      <c r="NRO208"/>
      <c r="NRP208"/>
      <c r="NRQ208"/>
      <c r="NRR208"/>
      <c r="NRS208"/>
      <c r="NRT208"/>
      <c r="NRU208"/>
      <c r="NRV208"/>
      <c r="NRW208"/>
      <c r="NRX208"/>
      <c r="NRY208"/>
      <c r="NRZ208"/>
      <c r="NSA208"/>
      <c r="NSB208"/>
      <c r="NSC208"/>
      <c r="NSD208"/>
      <c r="NSE208"/>
      <c r="NSF208"/>
      <c r="NSG208"/>
      <c r="NSH208"/>
      <c r="NSI208"/>
      <c r="NSJ208"/>
      <c r="NSK208"/>
      <c r="NSL208"/>
      <c r="NSM208"/>
      <c r="NSN208"/>
      <c r="NSO208"/>
      <c r="NSP208"/>
      <c r="NSQ208"/>
      <c r="NSR208"/>
      <c r="NSS208"/>
      <c r="NST208"/>
      <c r="NSU208"/>
      <c r="NSV208"/>
      <c r="NSW208"/>
      <c r="NSX208"/>
      <c r="NSY208"/>
      <c r="NSZ208"/>
      <c r="NTA208"/>
      <c r="NTB208"/>
      <c r="NTC208"/>
      <c r="NTD208"/>
      <c r="NTE208"/>
      <c r="NTF208"/>
      <c r="NTG208"/>
      <c r="NTH208"/>
      <c r="NTI208"/>
      <c r="NTJ208"/>
      <c r="NTK208"/>
      <c r="NTL208"/>
      <c r="NTM208"/>
      <c r="NTN208"/>
      <c r="NTO208"/>
      <c r="NTP208"/>
      <c r="NTQ208"/>
      <c r="NTR208"/>
      <c r="NTS208"/>
      <c r="NTT208"/>
      <c r="NTU208"/>
      <c r="NTV208"/>
      <c r="NTW208"/>
      <c r="NTX208"/>
      <c r="NTY208"/>
      <c r="NTZ208"/>
      <c r="NUA208"/>
      <c r="NUB208"/>
      <c r="NUC208"/>
      <c r="NUD208"/>
      <c r="NUE208"/>
      <c r="NUF208"/>
      <c r="NUG208"/>
      <c r="NUH208"/>
      <c r="NUI208"/>
      <c r="NUJ208"/>
      <c r="NUK208"/>
      <c r="NUL208"/>
      <c r="NUM208"/>
      <c r="NUN208"/>
      <c r="NUO208"/>
      <c r="NUP208"/>
      <c r="NUQ208"/>
      <c r="NUR208"/>
      <c r="NUS208"/>
      <c r="NUT208"/>
      <c r="NUU208"/>
      <c r="NUV208"/>
      <c r="NUW208"/>
      <c r="NUX208"/>
      <c r="NUY208"/>
      <c r="NUZ208"/>
      <c r="NVA208"/>
      <c r="NVB208"/>
      <c r="NVC208"/>
      <c r="NVD208"/>
      <c r="NVE208"/>
      <c r="NVF208"/>
      <c r="NVG208"/>
      <c r="NVH208"/>
      <c r="NVI208"/>
      <c r="NVJ208"/>
      <c r="NVK208"/>
      <c r="NVL208"/>
      <c r="NVM208"/>
      <c r="NVN208"/>
      <c r="NVO208"/>
      <c r="NVP208"/>
      <c r="NVQ208"/>
      <c r="NVR208"/>
      <c r="NVS208"/>
      <c r="NVT208"/>
      <c r="NVU208"/>
      <c r="NVV208"/>
      <c r="NVW208"/>
      <c r="NVX208"/>
      <c r="NVY208"/>
      <c r="NVZ208"/>
      <c r="NWA208"/>
      <c r="NWB208"/>
      <c r="NWC208"/>
      <c r="NWD208"/>
      <c r="NWE208"/>
      <c r="NWF208"/>
      <c r="NWG208"/>
      <c r="NWH208"/>
      <c r="NWI208"/>
      <c r="NWJ208"/>
      <c r="NWK208"/>
      <c r="NWL208"/>
      <c r="NWM208"/>
      <c r="NWN208"/>
      <c r="NWO208"/>
      <c r="NWP208"/>
      <c r="NWQ208"/>
      <c r="NWR208"/>
      <c r="NWS208"/>
      <c r="NWT208"/>
      <c r="NWU208"/>
      <c r="NWV208"/>
      <c r="NWW208"/>
      <c r="NWX208"/>
      <c r="NWY208"/>
      <c r="NWZ208"/>
      <c r="NXA208"/>
      <c r="NXB208"/>
      <c r="NXC208"/>
      <c r="NXD208"/>
      <c r="NXE208"/>
      <c r="NXF208"/>
      <c r="NXG208"/>
      <c r="NXH208"/>
      <c r="NXI208"/>
      <c r="NXJ208"/>
      <c r="NXK208"/>
      <c r="NXL208"/>
      <c r="NXM208"/>
      <c r="NXN208"/>
      <c r="NXO208"/>
      <c r="NXP208"/>
      <c r="NXQ208"/>
      <c r="NXR208"/>
      <c r="NXS208"/>
      <c r="NXT208"/>
      <c r="NXU208"/>
      <c r="NXV208"/>
      <c r="NXW208"/>
      <c r="NXX208"/>
      <c r="NXY208"/>
      <c r="NXZ208"/>
      <c r="NYA208"/>
      <c r="NYB208"/>
      <c r="NYC208"/>
      <c r="NYD208"/>
      <c r="NYE208"/>
      <c r="NYF208"/>
      <c r="NYG208"/>
      <c r="NYH208"/>
      <c r="NYI208"/>
      <c r="NYJ208"/>
      <c r="NYK208"/>
      <c r="NYL208"/>
      <c r="NYM208"/>
      <c r="NYN208"/>
      <c r="NYO208"/>
      <c r="NYP208"/>
      <c r="NYQ208"/>
      <c r="NYR208"/>
      <c r="NYS208"/>
      <c r="NYT208"/>
      <c r="NYU208"/>
      <c r="NYV208"/>
      <c r="NYW208"/>
      <c r="NYX208"/>
      <c r="NYY208"/>
      <c r="NYZ208"/>
      <c r="NZA208"/>
      <c r="NZB208"/>
      <c r="NZC208"/>
      <c r="NZD208"/>
      <c r="NZE208"/>
      <c r="NZF208"/>
      <c r="NZG208"/>
      <c r="NZH208"/>
      <c r="NZI208"/>
      <c r="NZJ208"/>
      <c r="NZK208"/>
      <c r="NZL208"/>
      <c r="NZM208"/>
      <c r="NZN208"/>
      <c r="NZO208"/>
      <c r="NZP208"/>
      <c r="NZQ208"/>
      <c r="NZR208"/>
      <c r="NZS208"/>
      <c r="NZT208"/>
      <c r="NZU208"/>
      <c r="NZV208"/>
      <c r="NZW208"/>
      <c r="NZX208"/>
      <c r="NZY208"/>
      <c r="NZZ208"/>
      <c r="OAA208"/>
      <c r="OAB208"/>
      <c r="OAC208"/>
      <c r="OAD208"/>
      <c r="OAE208"/>
      <c r="OAF208"/>
      <c r="OAG208"/>
      <c r="OAH208"/>
      <c r="OAI208"/>
      <c r="OAJ208"/>
      <c r="OAK208"/>
      <c r="OAL208"/>
      <c r="OAM208"/>
      <c r="OAN208"/>
      <c r="OAO208"/>
      <c r="OAP208"/>
      <c r="OAQ208"/>
      <c r="OAR208"/>
      <c r="OAS208"/>
      <c r="OAT208"/>
      <c r="OAU208"/>
      <c r="OAV208"/>
      <c r="OAW208"/>
      <c r="OAX208"/>
      <c r="OAY208"/>
      <c r="OAZ208"/>
      <c r="OBA208"/>
      <c r="OBB208"/>
      <c r="OBC208"/>
      <c r="OBD208"/>
      <c r="OBE208"/>
      <c r="OBF208"/>
      <c r="OBG208"/>
      <c r="OBH208"/>
      <c r="OBI208"/>
      <c r="OBJ208"/>
      <c r="OBK208"/>
      <c r="OBL208"/>
      <c r="OBM208"/>
      <c r="OBN208"/>
      <c r="OBO208"/>
      <c r="OBP208"/>
      <c r="OBQ208"/>
      <c r="OBR208"/>
      <c r="OBS208"/>
      <c r="OBT208"/>
      <c r="OBU208"/>
      <c r="OBV208"/>
      <c r="OBW208"/>
      <c r="OBX208"/>
      <c r="OBY208"/>
      <c r="OBZ208"/>
      <c r="OCA208"/>
      <c r="OCB208"/>
      <c r="OCC208"/>
      <c r="OCD208"/>
      <c r="OCE208"/>
      <c r="OCF208"/>
      <c r="OCG208"/>
      <c r="OCH208"/>
      <c r="OCI208"/>
      <c r="OCJ208"/>
      <c r="OCK208"/>
      <c r="OCL208"/>
      <c r="OCM208"/>
      <c r="OCN208"/>
      <c r="OCO208"/>
      <c r="OCP208"/>
      <c r="OCQ208"/>
      <c r="OCR208"/>
      <c r="OCS208"/>
      <c r="OCT208"/>
      <c r="OCU208"/>
      <c r="OCV208"/>
      <c r="OCW208"/>
      <c r="OCX208"/>
      <c r="OCY208"/>
      <c r="OCZ208"/>
      <c r="ODA208"/>
      <c r="ODB208"/>
      <c r="ODC208"/>
      <c r="ODD208"/>
      <c r="ODE208"/>
      <c r="ODF208"/>
      <c r="ODG208"/>
      <c r="ODH208"/>
      <c r="ODI208"/>
      <c r="ODJ208"/>
      <c r="ODK208"/>
      <c r="ODL208"/>
      <c r="ODM208"/>
      <c r="ODN208"/>
      <c r="ODO208"/>
      <c r="ODP208"/>
      <c r="ODQ208"/>
      <c r="ODR208"/>
      <c r="ODS208"/>
      <c r="ODT208"/>
      <c r="ODU208"/>
      <c r="ODV208"/>
      <c r="ODW208"/>
      <c r="ODX208"/>
      <c r="ODY208"/>
      <c r="ODZ208"/>
      <c r="OEA208"/>
      <c r="OEB208"/>
      <c r="OEC208"/>
      <c r="OED208"/>
      <c r="OEE208"/>
      <c r="OEF208"/>
      <c r="OEG208"/>
      <c r="OEH208"/>
      <c r="OEI208"/>
      <c r="OEJ208"/>
      <c r="OEK208"/>
      <c r="OEL208"/>
      <c r="OEM208"/>
      <c r="OEN208"/>
      <c r="OEO208"/>
      <c r="OEP208"/>
      <c r="OEQ208"/>
      <c r="OER208"/>
      <c r="OES208"/>
      <c r="OET208"/>
      <c r="OEU208"/>
      <c r="OEV208"/>
      <c r="OEW208"/>
      <c r="OEX208"/>
      <c r="OEY208"/>
      <c r="OEZ208"/>
      <c r="OFA208"/>
      <c r="OFB208"/>
      <c r="OFC208"/>
      <c r="OFD208"/>
      <c r="OFE208"/>
      <c r="OFF208"/>
      <c r="OFG208"/>
      <c r="OFH208"/>
      <c r="OFI208"/>
      <c r="OFJ208"/>
      <c r="OFK208"/>
      <c r="OFL208"/>
      <c r="OFM208"/>
      <c r="OFN208"/>
      <c r="OFO208"/>
      <c r="OFP208"/>
      <c r="OFQ208"/>
      <c r="OFR208"/>
      <c r="OFS208"/>
      <c r="OFT208"/>
      <c r="OFU208"/>
      <c r="OFV208"/>
      <c r="OFW208"/>
      <c r="OFX208"/>
      <c r="OFY208"/>
      <c r="OFZ208"/>
      <c r="OGA208"/>
      <c r="OGB208"/>
      <c r="OGC208"/>
      <c r="OGD208"/>
      <c r="OGE208"/>
      <c r="OGF208"/>
      <c r="OGG208"/>
      <c r="OGH208"/>
      <c r="OGI208"/>
      <c r="OGJ208"/>
      <c r="OGK208"/>
      <c r="OGL208"/>
      <c r="OGM208"/>
      <c r="OGN208"/>
      <c r="OGO208"/>
      <c r="OGP208"/>
      <c r="OGQ208"/>
      <c r="OGR208"/>
      <c r="OGS208"/>
      <c r="OGT208"/>
      <c r="OGU208"/>
      <c r="OGV208"/>
      <c r="OGW208"/>
      <c r="OGX208"/>
      <c r="OGY208"/>
      <c r="OGZ208"/>
      <c r="OHA208"/>
      <c r="OHB208"/>
      <c r="OHC208"/>
      <c r="OHD208"/>
      <c r="OHE208"/>
      <c r="OHF208"/>
      <c r="OHG208"/>
      <c r="OHH208"/>
      <c r="OHI208"/>
      <c r="OHJ208"/>
      <c r="OHK208"/>
      <c r="OHL208"/>
      <c r="OHM208"/>
      <c r="OHN208"/>
      <c r="OHO208"/>
      <c r="OHP208"/>
      <c r="OHQ208"/>
      <c r="OHR208"/>
      <c r="OHS208"/>
      <c r="OHT208"/>
      <c r="OHU208"/>
      <c r="OHV208"/>
      <c r="OHW208"/>
      <c r="OHX208"/>
      <c r="OHY208"/>
      <c r="OHZ208"/>
      <c r="OIA208"/>
      <c r="OIB208"/>
      <c r="OIC208"/>
      <c r="OID208"/>
      <c r="OIE208"/>
      <c r="OIF208"/>
      <c r="OIG208"/>
      <c r="OIH208"/>
      <c r="OII208"/>
      <c r="OIJ208"/>
      <c r="OIK208"/>
      <c r="OIL208"/>
      <c r="OIM208"/>
      <c r="OIN208"/>
      <c r="OIO208"/>
      <c r="OIP208"/>
      <c r="OIQ208"/>
      <c r="OIR208"/>
      <c r="OIS208"/>
      <c r="OIT208"/>
      <c r="OIU208"/>
      <c r="OIV208"/>
      <c r="OIW208"/>
      <c r="OIX208"/>
      <c r="OIY208"/>
      <c r="OIZ208"/>
      <c r="OJA208"/>
      <c r="OJB208"/>
      <c r="OJC208"/>
      <c r="OJD208"/>
      <c r="OJE208"/>
      <c r="OJF208"/>
      <c r="OJG208"/>
      <c r="OJH208"/>
      <c r="OJI208"/>
      <c r="OJJ208"/>
      <c r="OJK208"/>
      <c r="OJL208"/>
      <c r="OJM208"/>
      <c r="OJN208"/>
      <c r="OJO208"/>
      <c r="OJP208"/>
      <c r="OJQ208"/>
      <c r="OJR208"/>
      <c r="OJS208"/>
      <c r="OJT208"/>
      <c r="OJU208"/>
      <c r="OJV208"/>
      <c r="OJW208"/>
      <c r="OJX208"/>
      <c r="OJY208"/>
      <c r="OJZ208"/>
      <c r="OKA208"/>
      <c r="OKB208"/>
      <c r="OKC208"/>
      <c r="OKD208"/>
      <c r="OKE208"/>
      <c r="OKF208"/>
      <c r="OKG208"/>
      <c r="OKH208"/>
      <c r="OKI208"/>
      <c r="OKJ208"/>
      <c r="OKK208"/>
      <c r="OKL208"/>
      <c r="OKM208"/>
      <c r="OKN208"/>
      <c r="OKO208"/>
      <c r="OKP208"/>
      <c r="OKQ208"/>
      <c r="OKR208"/>
      <c r="OKS208"/>
      <c r="OKT208"/>
      <c r="OKU208"/>
      <c r="OKV208"/>
      <c r="OKW208"/>
      <c r="OKX208"/>
      <c r="OKY208"/>
      <c r="OKZ208"/>
      <c r="OLA208"/>
      <c r="OLB208"/>
      <c r="OLC208"/>
      <c r="OLD208"/>
      <c r="OLE208"/>
      <c r="OLF208"/>
      <c r="OLG208"/>
      <c r="OLH208"/>
      <c r="OLI208"/>
      <c r="OLJ208"/>
      <c r="OLK208"/>
      <c r="OLL208"/>
      <c r="OLM208"/>
      <c r="OLN208"/>
      <c r="OLO208"/>
      <c r="OLP208"/>
      <c r="OLQ208"/>
      <c r="OLR208"/>
      <c r="OLS208"/>
      <c r="OLT208"/>
      <c r="OLU208"/>
      <c r="OLV208"/>
      <c r="OLW208"/>
      <c r="OLX208"/>
      <c r="OLY208"/>
      <c r="OLZ208"/>
      <c r="OMA208"/>
      <c r="OMB208"/>
      <c r="OMC208"/>
      <c r="OMD208"/>
      <c r="OME208"/>
      <c r="OMF208"/>
      <c r="OMG208"/>
      <c r="OMH208"/>
      <c r="OMI208"/>
      <c r="OMJ208"/>
      <c r="OMK208"/>
      <c r="OML208"/>
      <c r="OMM208"/>
      <c r="OMN208"/>
      <c r="OMO208"/>
      <c r="OMP208"/>
      <c r="OMQ208"/>
      <c r="OMR208"/>
      <c r="OMS208"/>
      <c r="OMT208"/>
      <c r="OMU208"/>
      <c r="OMV208"/>
      <c r="OMW208"/>
      <c r="OMX208"/>
      <c r="OMY208"/>
      <c r="OMZ208"/>
      <c r="ONA208"/>
      <c r="ONB208"/>
      <c r="ONC208"/>
      <c r="OND208"/>
      <c r="ONE208"/>
      <c r="ONF208"/>
      <c r="ONG208"/>
      <c r="ONH208"/>
      <c r="ONI208"/>
      <c r="ONJ208"/>
      <c r="ONK208"/>
      <c r="ONL208"/>
      <c r="ONM208"/>
      <c r="ONN208"/>
      <c r="ONO208"/>
      <c r="ONP208"/>
      <c r="ONQ208"/>
      <c r="ONR208"/>
      <c r="ONS208"/>
      <c r="ONT208"/>
      <c r="ONU208"/>
      <c r="ONV208"/>
      <c r="ONW208"/>
      <c r="ONX208"/>
      <c r="ONY208"/>
      <c r="ONZ208"/>
      <c r="OOA208"/>
      <c r="OOB208"/>
      <c r="OOC208"/>
      <c r="OOD208"/>
      <c r="OOE208"/>
      <c r="OOF208"/>
      <c r="OOG208"/>
      <c r="OOH208"/>
      <c r="OOI208"/>
      <c r="OOJ208"/>
      <c r="OOK208"/>
      <c r="OOL208"/>
      <c r="OOM208"/>
      <c r="OON208"/>
      <c r="OOO208"/>
      <c r="OOP208"/>
      <c r="OOQ208"/>
      <c r="OOR208"/>
      <c r="OOS208"/>
      <c r="OOT208"/>
      <c r="OOU208"/>
      <c r="OOV208"/>
      <c r="OOW208"/>
      <c r="OOX208"/>
      <c r="OOY208"/>
      <c r="OOZ208"/>
      <c r="OPA208"/>
      <c r="OPB208"/>
      <c r="OPC208"/>
      <c r="OPD208"/>
      <c r="OPE208"/>
      <c r="OPF208"/>
      <c r="OPG208"/>
      <c r="OPH208"/>
      <c r="OPI208"/>
      <c r="OPJ208"/>
      <c r="OPK208"/>
      <c r="OPL208"/>
      <c r="OPM208"/>
      <c r="OPN208"/>
      <c r="OPO208"/>
      <c r="OPP208"/>
      <c r="OPQ208"/>
      <c r="OPR208"/>
      <c r="OPS208"/>
      <c r="OPT208"/>
      <c r="OPU208"/>
      <c r="OPV208"/>
      <c r="OPW208"/>
      <c r="OPX208"/>
      <c r="OPY208"/>
      <c r="OPZ208"/>
      <c r="OQA208"/>
      <c r="OQB208"/>
      <c r="OQC208"/>
      <c r="OQD208"/>
      <c r="OQE208"/>
      <c r="OQF208"/>
      <c r="OQG208"/>
      <c r="OQH208"/>
      <c r="OQI208"/>
      <c r="OQJ208"/>
      <c r="OQK208"/>
      <c r="OQL208"/>
      <c r="OQM208"/>
      <c r="OQN208"/>
      <c r="OQO208"/>
      <c r="OQP208"/>
      <c r="OQQ208"/>
      <c r="OQR208"/>
      <c r="OQS208"/>
      <c r="OQT208"/>
      <c r="OQU208"/>
      <c r="OQV208"/>
      <c r="OQW208"/>
      <c r="OQX208"/>
      <c r="OQY208"/>
      <c r="OQZ208"/>
      <c r="ORA208"/>
      <c r="ORB208"/>
      <c r="ORC208"/>
      <c r="ORD208"/>
      <c r="ORE208"/>
      <c r="ORF208"/>
      <c r="ORG208"/>
      <c r="ORH208"/>
      <c r="ORI208"/>
      <c r="ORJ208"/>
      <c r="ORK208"/>
      <c r="ORL208"/>
      <c r="ORM208"/>
      <c r="ORN208"/>
      <c r="ORO208"/>
      <c r="ORP208"/>
      <c r="ORQ208"/>
      <c r="ORR208"/>
      <c r="ORS208"/>
      <c r="ORT208"/>
      <c r="ORU208"/>
      <c r="ORV208"/>
      <c r="ORW208"/>
      <c r="ORX208"/>
      <c r="ORY208"/>
      <c r="ORZ208"/>
      <c r="OSA208"/>
      <c r="OSB208"/>
      <c r="OSC208"/>
      <c r="OSD208"/>
      <c r="OSE208"/>
      <c r="OSF208"/>
      <c r="OSG208"/>
      <c r="OSH208"/>
      <c r="OSI208"/>
      <c r="OSJ208"/>
      <c r="OSK208"/>
      <c r="OSL208"/>
      <c r="OSM208"/>
      <c r="OSN208"/>
      <c r="OSO208"/>
      <c r="OSP208"/>
      <c r="OSQ208"/>
      <c r="OSR208"/>
      <c r="OSS208"/>
      <c r="OST208"/>
      <c r="OSU208"/>
      <c r="OSV208"/>
      <c r="OSW208"/>
      <c r="OSX208"/>
      <c r="OSY208"/>
      <c r="OSZ208"/>
      <c r="OTA208"/>
      <c r="OTB208"/>
      <c r="OTC208"/>
      <c r="OTD208"/>
      <c r="OTE208"/>
      <c r="OTF208"/>
      <c r="OTG208"/>
      <c r="OTH208"/>
      <c r="OTI208"/>
      <c r="OTJ208"/>
      <c r="OTK208"/>
      <c r="OTL208"/>
      <c r="OTM208"/>
      <c r="OTN208"/>
      <c r="OTO208"/>
      <c r="OTP208"/>
      <c r="OTQ208"/>
      <c r="OTR208"/>
      <c r="OTS208"/>
      <c r="OTT208"/>
      <c r="OTU208"/>
      <c r="OTV208"/>
      <c r="OTW208"/>
      <c r="OTX208"/>
      <c r="OTY208"/>
      <c r="OTZ208"/>
      <c r="OUA208"/>
      <c r="OUB208"/>
      <c r="OUC208"/>
      <c r="OUD208"/>
      <c r="OUE208"/>
      <c r="OUF208"/>
      <c r="OUG208"/>
      <c r="OUH208"/>
      <c r="OUI208"/>
      <c r="OUJ208"/>
      <c r="OUK208"/>
      <c r="OUL208"/>
      <c r="OUM208"/>
      <c r="OUN208"/>
      <c r="OUO208"/>
      <c r="OUP208"/>
      <c r="OUQ208"/>
      <c r="OUR208"/>
      <c r="OUS208"/>
      <c r="OUT208"/>
      <c r="OUU208"/>
      <c r="OUV208"/>
      <c r="OUW208"/>
      <c r="OUX208"/>
      <c r="OUY208"/>
      <c r="OUZ208"/>
      <c r="OVA208"/>
      <c r="OVB208"/>
      <c r="OVC208"/>
      <c r="OVD208"/>
      <c r="OVE208"/>
      <c r="OVF208"/>
      <c r="OVG208"/>
      <c r="OVH208"/>
      <c r="OVI208"/>
      <c r="OVJ208"/>
      <c r="OVK208"/>
      <c r="OVL208"/>
      <c r="OVM208"/>
      <c r="OVN208"/>
      <c r="OVO208"/>
      <c r="OVP208"/>
      <c r="OVQ208"/>
      <c r="OVR208"/>
      <c r="OVS208"/>
      <c r="OVT208"/>
      <c r="OVU208"/>
      <c r="OVV208"/>
      <c r="OVW208"/>
      <c r="OVX208"/>
      <c r="OVY208"/>
      <c r="OVZ208"/>
      <c r="OWA208"/>
      <c r="OWB208"/>
      <c r="OWC208"/>
      <c r="OWD208"/>
      <c r="OWE208"/>
      <c r="OWF208"/>
      <c r="OWG208"/>
      <c r="OWH208"/>
      <c r="OWI208"/>
      <c r="OWJ208"/>
      <c r="OWK208"/>
      <c r="OWL208"/>
      <c r="OWM208"/>
      <c r="OWN208"/>
      <c r="OWO208"/>
      <c r="OWP208"/>
      <c r="OWQ208"/>
      <c r="OWR208"/>
      <c r="OWS208"/>
      <c r="OWT208"/>
      <c r="OWU208"/>
      <c r="OWV208"/>
      <c r="OWW208"/>
      <c r="OWX208"/>
      <c r="OWY208"/>
      <c r="OWZ208"/>
      <c r="OXA208"/>
      <c r="OXB208"/>
      <c r="OXC208"/>
      <c r="OXD208"/>
      <c r="OXE208"/>
      <c r="OXF208"/>
      <c r="OXG208"/>
      <c r="OXH208"/>
      <c r="OXI208"/>
      <c r="OXJ208"/>
      <c r="OXK208"/>
      <c r="OXL208"/>
      <c r="OXM208"/>
      <c r="OXN208"/>
      <c r="OXO208"/>
      <c r="OXP208"/>
      <c r="OXQ208"/>
      <c r="OXR208"/>
      <c r="OXS208"/>
      <c r="OXT208"/>
      <c r="OXU208"/>
      <c r="OXV208"/>
      <c r="OXW208"/>
      <c r="OXX208"/>
      <c r="OXY208"/>
      <c r="OXZ208"/>
      <c r="OYA208"/>
      <c r="OYB208"/>
      <c r="OYC208"/>
      <c r="OYD208"/>
      <c r="OYE208"/>
      <c r="OYF208"/>
      <c r="OYG208"/>
      <c r="OYH208"/>
      <c r="OYI208"/>
      <c r="OYJ208"/>
      <c r="OYK208"/>
      <c r="OYL208"/>
      <c r="OYM208"/>
      <c r="OYN208"/>
      <c r="OYO208"/>
      <c r="OYP208"/>
      <c r="OYQ208"/>
      <c r="OYR208"/>
      <c r="OYS208"/>
      <c r="OYT208"/>
      <c r="OYU208"/>
      <c r="OYV208"/>
      <c r="OYW208"/>
      <c r="OYX208"/>
      <c r="OYY208"/>
      <c r="OYZ208"/>
      <c r="OZA208"/>
      <c r="OZB208"/>
      <c r="OZC208"/>
      <c r="OZD208"/>
      <c r="OZE208"/>
      <c r="OZF208"/>
      <c r="OZG208"/>
      <c r="OZH208"/>
      <c r="OZI208"/>
      <c r="OZJ208"/>
      <c r="OZK208"/>
      <c r="OZL208"/>
      <c r="OZM208"/>
      <c r="OZN208"/>
      <c r="OZO208"/>
      <c r="OZP208"/>
      <c r="OZQ208"/>
      <c r="OZR208"/>
      <c r="OZS208"/>
      <c r="OZT208"/>
      <c r="OZU208"/>
      <c r="OZV208"/>
      <c r="OZW208"/>
      <c r="OZX208"/>
      <c r="OZY208"/>
      <c r="OZZ208"/>
      <c r="PAA208"/>
      <c r="PAB208"/>
      <c r="PAC208"/>
      <c r="PAD208"/>
      <c r="PAE208"/>
      <c r="PAF208"/>
      <c r="PAG208"/>
      <c r="PAH208"/>
      <c r="PAI208"/>
      <c r="PAJ208"/>
      <c r="PAK208"/>
      <c r="PAL208"/>
      <c r="PAM208"/>
      <c r="PAN208"/>
      <c r="PAO208"/>
      <c r="PAP208"/>
      <c r="PAQ208"/>
      <c r="PAR208"/>
      <c r="PAS208"/>
      <c r="PAT208"/>
      <c r="PAU208"/>
      <c r="PAV208"/>
      <c r="PAW208"/>
      <c r="PAX208"/>
      <c r="PAY208"/>
      <c r="PAZ208"/>
      <c r="PBA208"/>
      <c r="PBB208"/>
      <c r="PBC208"/>
      <c r="PBD208"/>
      <c r="PBE208"/>
      <c r="PBF208"/>
      <c r="PBG208"/>
      <c r="PBH208"/>
      <c r="PBI208"/>
      <c r="PBJ208"/>
      <c r="PBK208"/>
      <c r="PBL208"/>
      <c r="PBM208"/>
      <c r="PBN208"/>
      <c r="PBO208"/>
      <c r="PBP208"/>
      <c r="PBQ208"/>
      <c r="PBR208"/>
      <c r="PBS208"/>
      <c r="PBT208"/>
      <c r="PBU208"/>
      <c r="PBV208"/>
      <c r="PBW208"/>
      <c r="PBX208"/>
      <c r="PBY208"/>
      <c r="PBZ208"/>
      <c r="PCA208"/>
      <c r="PCB208"/>
      <c r="PCC208"/>
      <c r="PCD208"/>
      <c r="PCE208"/>
      <c r="PCF208"/>
      <c r="PCG208"/>
      <c r="PCH208"/>
      <c r="PCI208"/>
      <c r="PCJ208"/>
      <c r="PCK208"/>
      <c r="PCL208"/>
      <c r="PCM208"/>
      <c r="PCN208"/>
      <c r="PCO208"/>
      <c r="PCP208"/>
      <c r="PCQ208"/>
      <c r="PCR208"/>
      <c r="PCS208"/>
      <c r="PCT208"/>
      <c r="PCU208"/>
      <c r="PCV208"/>
      <c r="PCW208"/>
      <c r="PCX208"/>
      <c r="PCY208"/>
      <c r="PCZ208"/>
      <c r="PDA208"/>
      <c r="PDB208"/>
      <c r="PDC208"/>
      <c r="PDD208"/>
      <c r="PDE208"/>
      <c r="PDF208"/>
      <c r="PDG208"/>
      <c r="PDH208"/>
      <c r="PDI208"/>
      <c r="PDJ208"/>
      <c r="PDK208"/>
      <c r="PDL208"/>
      <c r="PDM208"/>
      <c r="PDN208"/>
      <c r="PDO208"/>
      <c r="PDP208"/>
      <c r="PDQ208"/>
      <c r="PDR208"/>
      <c r="PDS208"/>
      <c r="PDT208"/>
      <c r="PDU208"/>
      <c r="PDV208"/>
      <c r="PDW208"/>
      <c r="PDX208"/>
      <c r="PDY208"/>
      <c r="PDZ208"/>
      <c r="PEA208"/>
      <c r="PEB208"/>
      <c r="PEC208"/>
      <c r="PED208"/>
      <c r="PEE208"/>
      <c r="PEF208"/>
      <c r="PEG208"/>
      <c r="PEH208"/>
      <c r="PEI208"/>
      <c r="PEJ208"/>
      <c r="PEK208"/>
      <c r="PEL208"/>
      <c r="PEM208"/>
      <c r="PEN208"/>
      <c r="PEO208"/>
      <c r="PEP208"/>
      <c r="PEQ208"/>
      <c r="PER208"/>
      <c r="PES208"/>
      <c r="PET208"/>
      <c r="PEU208"/>
      <c r="PEV208"/>
      <c r="PEW208"/>
      <c r="PEX208"/>
      <c r="PEY208"/>
      <c r="PEZ208"/>
      <c r="PFA208"/>
      <c r="PFB208"/>
      <c r="PFC208"/>
      <c r="PFD208"/>
      <c r="PFE208"/>
      <c r="PFF208"/>
      <c r="PFG208"/>
      <c r="PFH208"/>
      <c r="PFI208"/>
      <c r="PFJ208"/>
      <c r="PFK208"/>
      <c r="PFL208"/>
      <c r="PFM208"/>
      <c r="PFN208"/>
      <c r="PFO208"/>
      <c r="PFP208"/>
      <c r="PFQ208"/>
      <c r="PFR208"/>
      <c r="PFS208"/>
      <c r="PFT208"/>
      <c r="PFU208"/>
      <c r="PFV208"/>
      <c r="PFW208"/>
      <c r="PFX208"/>
      <c r="PFY208"/>
      <c r="PFZ208"/>
      <c r="PGA208"/>
      <c r="PGB208"/>
      <c r="PGC208"/>
      <c r="PGD208"/>
      <c r="PGE208"/>
      <c r="PGF208"/>
      <c r="PGG208"/>
      <c r="PGH208"/>
      <c r="PGI208"/>
      <c r="PGJ208"/>
      <c r="PGK208"/>
      <c r="PGL208"/>
      <c r="PGM208"/>
      <c r="PGN208"/>
      <c r="PGO208"/>
      <c r="PGP208"/>
      <c r="PGQ208"/>
      <c r="PGR208"/>
      <c r="PGS208"/>
      <c r="PGT208"/>
      <c r="PGU208"/>
      <c r="PGV208"/>
      <c r="PGW208"/>
      <c r="PGX208"/>
      <c r="PGY208"/>
      <c r="PGZ208"/>
      <c r="PHA208"/>
      <c r="PHB208"/>
      <c r="PHC208"/>
      <c r="PHD208"/>
      <c r="PHE208"/>
      <c r="PHF208"/>
      <c r="PHG208"/>
      <c r="PHH208"/>
      <c r="PHI208"/>
      <c r="PHJ208"/>
      <c r="PHK208"/>
      <c r="PHL208"/>
      <c r="PHM208"/>
      <c r="PHN208"/>
      <c r="PHO208"/>
      <c r="PHP208"/>
      <c r="PHQ208"/>
      <c r="PHR208"/>
      <c r="PHS208"/>
      <c r="PHT208"/>
      <c r="PHU208"/>
      <c r="PHV208"/>
      <c r="PHW208"/>
      <c r="PHX208"/>
      <c r="PHY208"/>
      <c r="PHZ208"/>
      <c r="PIA208"/>
      <c r="PIB208"/>
      <c r="PIC208"/>
      <c r="PID208"/>
      <c r="PIE208"/>
      <c r="PIF208"/>
      <c r="PIG208"/>
      <c r="PIH208"/>
      <c r="PII208"/>
      <c r="PIJ208"/>
      <c r="PIK208"/>
      <c r="PIL208"/>
      <c r="PIM208"/>
      <c r="PIN208"/>
      <c r="PIO208"/>
      <c r="PIP208"/>
      <c r="PIQ208"/>
      <c r="PIR208"/>
      <c r="PIS208"/>
      <c r="PIT208"/>
      <c r="PIU208"/>
      <c r="PIV208"/>
      <c r="PIW208"/>
      <c r="PIX208"/>
      <c r="PIY208"/>
      <c r="PIZ208"/>
      <c r="PJA208"/>
      <c r="PJB208"/>
      <c r="PJC208"/>
      <c r="PJD208"/>
      <c r="PJE208"/>
      <c r="PJF208"/>
      <c r="PJG208"/>
      <c r="PJH208"/>
      <c r="PJI208"/>
      <c r="PJJ208"/>
      <c r="PJK208"/>
      <c r="PJL208"/>
      <c r="PJM208"/>
      <c r="PJN208"/>
      <c r="PJO208"/>
      <c r="PJP208"/>
      <c r="PJQ208"/>
      <c r="PJR208"/>
      <c r="PJS208"/>
      <c r="PJT208"/>
      <c r="PJU208"/>
      <c r="PJV208"/>
      <c r="PJW208"/>
      <c r="PJX208"/>
      <c r="PJY208"/>
      <c r="PJZ208"/>
      <c r="PKA208"/>
      <c r="PKB208"/>
      <c r="PKC208"/>
      <c r="PKD208"/>
      <c r="PKE208"/>
      <c r="PKF208"/>
      <c r="PKG208"/>
      <c r="PKH208"/>
      <c r="PKI208"/>
      <c r="PKJ208"/>
      <c r="PKK208"/>
      <c r="PKL208"/>
      <c r="PKM208"/>
      <c r="PKN208"/>
      <c r="PKO208"/>
      <c r="PKP208"/>
      <c r="PKQ208"/>
      <c r="PKR208"/>
      <c r="PKS208"/>
      <c r="PKT208"/>
      <c r="PKU208"/>
      <c r="PKV208"/>
      <c r="PKW208"/>
      <c r="PKX208"/>
      <c r="PKY208"/>
      <c r="PKZ208"/>
      <c r="PLA208"/>
      <c r="PLB208"/>
      <c r="PLC208"/>
      <c r="PLD208"/>
      <c r="PLE208"/>
      <c r="PLF208"/>
      <c r="PLG208"/>
      <c r="PLH208"/>
      <c r="PLI208"/>
      <c r="PLJ208"/>
      <c r="PLK208"/>
      <c r="PLL208"/>
      <c r="PLM208"/>
      <c r="PLN208"/>
      <c r="PLO208"/>
      <c r="PLP208"/>
      <c r="PLQ208"/>
      <c r="PLR208"/>
      <c r="PLS208"/>
      <c r="PLT208"/>
      <c r="PLU208"/>
      <c r="PLV208"/>
      <c r="PLW208"/>
      <c r="PLX208"/>
      <c r="PLY208"/>
      <c r="PLZ208"/>
      <c r="PMA208"/>
      <c r="PMB208"/>
      <c r="PMC208"/>
      <c r="PMD208"/>
      <c r="PME208"/>
      <c r="PMF208"/>
      <c r="PMG208"/>
      <c r="PMH208"/>
      <c r="PMI208"/>
      <c r="PMJ208"/>
      <c r="PMK208"/>
      <c r="PML208"/>
      <c r="PMM208"/>
      <c r="PMN208"/>
      <c r="PMO208"/>
      <c r="PMP208"/>
      <c r="PMQ208"/>
      <c r="PMR208"/>
      <c r="PMS208"/>
      <c r="PMT208"/>
      <c r="PMU208"/>
      <c r="PMV208"/>
      <c r="PMW208"/>
      <c r="PMX208"/>
      <c r="PMY208"/>
      <c r="PMZ208"/>
      <c r="PNA208"/>
      <c r="PNB208"/>
      <c r="PNC208"/>
      <c r="PND208"/>
      <c r="PNE208"/>
      <c r="PNF208"/>
      <c r="PNG208"/>
      <c r="PNH208"/>
      <c r="PNI208"/>
      <c r="PNJ208"/>
      <c r="PNK208"/>
      <c r="PNL208"/>
      <c r="PNM208"/>
      <c r="PNN208"/>
      <c r="PNO208"/>
      <c r="PNP208"/>
      <c r="PNQ208"/>
      <c r="PNR208"/>
      <c r="PNS208"/>
      <c r="PNT208"/>
      <c r="PNU208"/>
      <c r="PNV208"/>
      <c r="PNW208"/>
      <c r="PNX208"/>
      <c r="PNY208"/>
      <c r="PNZ208"/>
      <c r="POA208"/>
      <c r="POB208"/>
      <c r="POC208"/>
      <c r="POD208"/>
      <c r="POE208"/>
      <c r="POF208"/>
      <c r="POG208"/>
      <c r="POH208"/>
      <c r="POI208"/>
      <c r="POJ208"/>
      <c r="POK208"/>
      <c r="POL208"/>
      <c r="POM208"/>
      <c r="PON208"/>
      <c r="POO208"/>
      <c r="POP208"/>
      <c r="POQ208"/>
      <c r="POR208"/>
      <c r="POS208"/>
      <c r="POT208"/>
      <c r="POU208"/>
      <c r="POV208"/>
      <c r="POW208"/>
      <c r="POX208"/>
      <c r="POY208"/>
      <c r="POZ208"/>
      <c r="PPA208"/>
      <c r="PPB208"/>
      <c r="PPC208"/>
      <c r="PPD208"/>
      <c r="PPE208"/>
      <c r="PPF208"/>
      <c r="PPG208"/>
      <c r="PPH208"/>
      <c r="PPI208"/>
      <c r="PPJ208"/>
      <c r="PPK208"/>
      <c r="PPL208"/>
      <c r="PPM208"/>
      <c r="PPN208"/>
      <c r="PPO208"/>
      <c r="PPP208"/>
      <c r="PPQ208"/>
      <c r="PPR208"/>
      <c r="PPS208"/>
      <c r="PPT208"/>
      <c r="PPU208"/>
      <c r="PPV208"/>
      <c r="PPW208"/>
      <c r="PPX208"/>
      <c r="PPY208"/>
      <c r="PPZ208"/>
      <c r="PQA208"/>
      <c r="PQB208"/>
      <c r="PQC208"/>
      <c r="PQD208"/>
      <c r="PQE208"/>
      <c r="PQF208"/>
      <c r="PQG208"/>
      <c r="PQH208"/>
      <c r="PQI208"/>
      <c r="PQJ208"/>
      <c r="PQK208"/>
      <c r="PQL208"/>
      <c r="PQM208"/>
      <c r="PQN208"/>
      <c r="PQO208"/>
      <c r="PQP208"/>
      <c r="PQQ208"/>
      <c r="PQR208"/>
      <c r="PQS208"/>
      <c r="PQT208"/>
      <c r="PQU208"/>
      <c r="PQV208"/>
      <c r="PQW208"/>
      <c r="PQX208"/>
      <c r="PQY208"/>
      <c r="PQZ208"/>
      <c r="PRA208"/>
      <c r="PRB208"/>
      <c r="PRC208"/>
      <c r="PRD208"/>
      <c r="PRE208"/>
      <c r="PRF208"/>
      <c r="PRG208"/>
      <c r="PRH208"/>
      <c r="PRI208"/>
      <c r="PRJ208"/>
      <c r="PRK208"/>
      <c r="PRL208"/>
      <c r="PRM208"/>
      <c r="PRN208"/>
      <c r="PRO208"/>
      <c r="PRP208"/>
      <c r="PRQ208"/>
      <c r="PRR208"/>
      <c r="PRS208"/>
      <c r="PRT208"/>
      <c r="PRU208"/>
      <c r="PRV208"/>
      <c r="PRW208"/>
      <c r="PRX208"/>
      <c r="PRY208"/>
      <c r="PRZ208"/>
      <c r="PSA208"/>
      <c r="PSB208"/>
      <c r="PSC208"/>
      <c r="PSD208"/>
      <c r="PSE208"/>
      <c r="PSF208"/>
      <c r="PSG208"/>
      <c r="PSH208"/>
      <c r="PSI208"/>
      <c r="PSJ208"/>
      <c r="PSK208"/>
      <c r="PSL208"/>
      <c r="PSM208"/>
      <c r="PSN208"/>
      <c r="PSO208"/>
      <c r="PSP208"/>
      <c r="PSQ208"/>
      <c r="PSR208"/>
      <c r="PSS208"/>
      <c r="PST208"/>
      <c r="PSU208"/>
      <c r="PSV208"/>
      <c r="PSW208"/>
      <c r="PSX208"/>
      <c r="PSY208"/>
      <c r="PSZ208"/>
      <c r="PTA208"/>
      <c r="PTB208"/>
      <c r="PTC208"/>
      <c r="PTD208"/>
      <c r="PTE208"/>
      <c r="PTF208"/>
      <c r="PTG208"/>
      <c r="PTH208"/>
      <c r="PTI208"/>
      <c r="PTJ208"/>
      <c r="PTK208"/>
      <c r="PTL208"/>
      <c r="PTM208"/>
      <c r="PTN208"/>
      <c r="PTO208"/>
      <c r="PTP208"/>
      <c r="PTQ208"/>
      <c r="PTR208"/>
      <c r="PTS208"/>
      <c r="PTT208"/>
      <c r="PTU208"/>
      <c r="PTV208"/>
      <c r="PTW208"/>
      <c r="PTX208"/>
      <c r="PTY208"/>
      <c r="PTZ208"/>
      <c r="PUA208"/>
      <c r="PUB208"/>
      <c r="PUC208"/>
      <c r="PUD208"/>
      <c r="PUE208"/>
      <c r="PUF208"/>
      <c r="PUG208"/>
      <c r="PUH208"/>
      <c r="PUI208"/>
      <c r="PUJ208"/>
      <c r="PUK208"/>
      <c r="PUL208"/>
      <c r="PUM208"/>
      <c r="PUN208"/>
      <c r="PUO208"/>
      <c r="PUP208"/>
      <c r="PUQ208"/>
      <c r="PUR208"/>
      <c r="PUS208"/>
      <c r="PUT208"/>
      <c r="PUU208"/>
      <c r="PUV208"/>
      <c r="PUW208"/>
      <c r="PUX208"/>
      <c r="PUY208"/>
      <c r="PUZ208"/>
      <c r="PVA208"/>
      <c r="PVB208"/>
      <c r="PVC208"/>
      <c r="PVD208"/>
      <c r="PVE208"/>
      <c r="PVF208"/>
      <c r="PVG208"/>
      <c r="PVH208"/>
      <c r="PVI208"/>
      <c r="PVJ208"/>
      <c r="PVK208"/>
      <c r="PVL208"/>
      <c r="PVM208"/>
      <c r="PVN208"/>
      <c r="PVO208"/>
      <c r="PVP208"/>
      <c r="PVQ208"/>
      <c r="PVR208"/>
      <c r="PVS208"/>
      <c r="PVT208"/>
      <c r="PVU208"/>
      <c r="PVV208"/>
      <c r="PVW208"/>
      <c r="PVX208"/>
      <c r="PVY208"/>
      <c r="PVZ208"/>
      <c r="PWA208"/>
      <c r="PWB208"/>
      <c r="PWC208"/>
      <c r="PWD208"/>
      <c r="PWE208"/>
      <c r="PWF208"/>
      <c r="PWG208"/>
      <c r="PWH208"/>
      <c r="PWI208"/>
      <c r="PWJ208"/>
      <c r="PWK208"/>
      <c r="PWL208"/>
      <c r="PWM208"/>
      <c r="PWN208"/>
      <c r="PWO208"/>
      <c r="PWP208"/>
      <c r="PWQ208"/>
      <c r="PWR208"/>
      <c r="PWS208"/>
      <c r="PWT208"/>
      <c r="PWU208"/>
      <c r="PWV208"/>
      <c r="PWW208"/>
      <c r="PWX208"/>
      <c r="PWY208"/>
      <c r="PWZ208"/>
      <c r="PXA208"/>
      <c r="PXB208"/>
      <c r="PXC208"/>
      <c r="PXD208"/>
      <c r="PXE208"/>
      <c r="PXF208"/>
      <c r="PXG208"/>
      <c r="PXH208"/>
      <c r="PXI208"/>
      <c r="PXJ208"/>
      <c r="PXK208"/>
      <c r="PXL208"/>
      <c r="PXM208"/>
      <c r="PXN208"/>
      <c r="PXO208"/>
      <c r="PXP208"/>
      <c r="PXQ208"/>
      <c r="PXR208"/>
      <c r="PXS208"/>
      <c r="PXT208"/>
      <c r="PXU208"/>
      <c r="PXV208"/>
      <c r="PXW208"/>
      <c r="PXX208"/>
      <c r="PXY208"/>
      <c r="PXZ208"/>
      <c r="PYA208"/>
      <c r="PYB208"/>
      <c r="PYC208"/>
      <c r="PYD208"/>
      <c r="PYE208"/>
      <c r="PYF208"/>
      <c r="PYG208"/>
      <c r="PYH208"/>
      <c r="PYI208"/>
      <c r="PYJ208"/>
      <c r="PYK208"/>
      <c r="PYL208"/>
      <c r="PYM208"/>
      <c r="PYN208"/>
      <c r="PYO208"/>
      <c r="PYP208"/>
      <c r="PYQ208"/>
      <c r="PYR208"/>
      <c r="PYS208"/>
      <c r="PYT208"/>
      <c r="PYU208"/>
      <c r="PYV208"/>
      <c r="PYW208"/>
      <c r="PYX208"/>
      <c r="PYY208"/>
      <c r="PYZ208"/>
      <c r="PZA208"/>
      <c r="PZB208"/>
      <c r="PZC208"/>
      <c r="PZD208"/>
      <c r="PZE208"/>
      <c r="PZF208"/>
      <c r="PZG208"/>
      <c r="PZH208"/>
      <c r="PZI208"/>
      <c r="PZJ208"/>
      <c r="PZK208"/>
      <c r="PZL208"/>
      <c r="PZM208"/>
      <c r="PZN208"/>
      <c r="PZO208"/>
      <c r="PZP208"/>
      <c r="PZQ208"/>
      <c r="PZR208"/>
      <c r="PZS208"/>
      <c r="PZT208"/>
      <c r="PZU208"/>
      <c r="PZV208"/>
      <c r="PZW208"/>
      <c r="PZX208"/>
      <c r="PZY208"/>
      <c r="PZZ208"/>
      <c r="QAA208"/>
      <c r="QAB208"/>
      <c r="QAC208"/>
      <c r="QAD208"/>
      <c r="QAE208"/>
      <c r="QAF208"/>
      <c r="QAG208"/>
      <c r="QAH208"/>
      <c r="QAI208"/>
      <c r="QAJ208"/>
      <c r="QAK208"/>
      <c r="QAL208"/>
      <c r="QAM208"/>
      <c r="QAN208"/>
      <c r="QAO208"/>
      <c r="QAP208"/>
      <c r="QAQ208"/>
      <c r="QAR208"/>
      <c r="QAS208"/>
      <c r="QAT208"/>
      <c r="QAU208"/>
      <c r="QAV208"/>
      <c r="QAW208"/>
      <c r="QAX208"/>
      <c r="QAY208"/>
      <c r="QAZ208"/>
      <c r="QBA208"/>
      <c r="QBB208"/>
      <c r="QBC208"/>
      <c r="QBD208"/>
      <c r="QBE208"/>
      <c r="QBF208"/>
      <c r="QBG208"/>
      <c r="QBH208"/>
      <c r="QBI208"/>
      <c r="QBJ208"/>
      <c r="QBK208"/>
      <c r="QBL208"/>
      <c r="QBM208"/>
      <c r="QBN208"/>
      <c r="QBO208"/>
      <c r="QBP208"/>
      <c r="QBQ208"/>
      <c r="QBR208"/>
      <c r="QBS208"/>
      <c r="QBT208"/>
      <c r="QBU208"/>
      <c r="QBV208"/>
      <c r="QBW208"/>
      <c r="QBX208"/>
      <c r="QBY208"/>
      <c r="QBZ208"/>
      <c r="QCA208"/>
      <c r="QCB208"/>
      <c r="QCC208"/>
      <c r="QCD208"/>
      <c r="QCE208"/>
      <c r="QCF208"/>
      <c r="QCG208"/>
      <c r="QCH208"/>
      <c r="QCI208"/>
      <c r="QCJ208"/>
      <c r="QCK208"/>
      <c r="QCL208"/>
      <c r="QCM208"/>
      <c r="QCN208"/>
      <c r="QCO208"/>
      <c r="QCP208"/>
      <c r="QCQ208"/>
      <c r="QCR208"/>
      <c r="QCS208"/>
      <c r="QCT208"/>
      <c r="QCU208"/>
      <c r="QCV208"/>
      <c r="QCW208"/>
      <c r="QCX208"/>
      <c r="QCY208"/>
      <c r="QCZ208"/>
      <c r="QDA208"/>
      <c r="QDB208"/>
      <c r="QDC208"/>
      <c r="QDD208"/>
      <c r="QDE208"/>
      <c r="QDF208"/>
      <c r="QDG208"/>
      <c r="QDH208"/>
      <c r="QDI208"/>
      <c r="QDJ208"/>
      <c r="QDK208"/>
      <c r="QDL208"/>
      <c r="QDM208"/>
      <c r="QDN208"/>
      <c r="QDO208"/>
      <c r="QDP208"/>
      <c r="QDQ208"/>
      <c r="QDR208"/>
      <c r="QDS208"/>
      <c r="QDT208"/>
      <c r="QDU208"/>
      <c r="QDV208"/>
      <c r="QDW208"/>
      <c r="QDX208"/>
      <c r="QDY208"/>
      <c r="QDZ208"/>
      <c r="QEA208"/>
      <c r="QEB208"/>
      <c r="QEC208"/>
      <c r="QED208"/>
      <c r="QEE208"/>
      <c r="QEF208"/>
      <c r="QEG208"/>
      <c r="QEH208"/>
      <c r="QEI208"/>
      <c r="QEJ208"/>
      <c r="QEK208"/>
      <c r="QEL208"/>
      <c r="QEM208"/>
      <c r="QEN208"/>
      <c r="QEO208"/>
      <c r="QEP208"/>
      <c r="QEQ208"/>
      <c r="QER208"/>
      <c r="QES208"/>
      <c r="QET208"/>
      <c r="QEU208"/>
      <c r="QEV208"/>
      <c r="QEW208"/>
      <c r="QEX208"/>
      <c r="QEY208"/>
      <c r="QEZ208"/>
      <c r="QFA208"/>
      <c r="QFB208"/>
      <c r="QFC208"/>
      <c r="QFD208"/>
      <c r="QFE208"/>
      <c r="QFF208"/>
      <c r="QFG208"/>
      <c r="QFH208"/>
      <c r="QFI208"/>
      <c r="QFJ208"/>
      <c r="QFK208"/>
      <c r="QFL208"/>
      <c r="QFM208"/>
      <c r="QFN208"/>
      <c r="QFO208"/>
      <c r="QFP208"/>
      <c r="QFQ208"/>
      <c r="QFR208"/>
      <c r="QFS208"/>
      <c r="QFT208"/>
      <c r="QFU208"/>
      <c r="QFV208"/>
      <c r="QFW208"/>
      <c r="QFX208"/>
      <c r="QFY208"/>
      <c r="QFZ208"/>
      <c r="QGA208"/>
      <c r="QGB208"/>
      <c r="QGC208"/>
      <c r="QGD208"/>
      <c r="QGE208"/>
      <c r="QGF208"/>
      <c r="QGG208"/>
      <c r="QGH208"/>
      <c r="QGI208"/>
      <c r="QGJ208"/>
      <c r="QGK208"/>
      <c r="QGL208"/>
      <c r="QGM208"/>
      <c r="QGN208"/>
      <c r="QGO208"/>
      <c r="QGP208"/>
      <c r="QGQ208"/>
      <c r="QGR208"/>
      <c r="QGS208"/>
      <c r="QGT208"/>
      <c r="QGU208"/>
      <c r="QGV208"/>
      <c r="QGW208"/>
      <c r="QGX208"/>
      <c r="QGY208"/>
      <c r="QGZ208"/>
      <c r="QHA208"/>
      <c r="QHB208"/>
      <c r="QHC208"/>
      <c r="QHD208"/>
      <c r="QHE208"/>
      <c r="QHF208"/>
      <c r="QHG208"/>
      <c r="QHH208"/>
      <c r="QHI208"/>
      <c r="QHJ208"/>
      <c r="QHK208"/>
      <c r="QHL208"/>
      <c r="QHM208"/>
      <c r="QHN208"/>
      <c r="QHO208"/>
      <c r="QHP208"/>
      <c r="QHQ208"/>
      <c r="QHR208"/>
      <c r="QHS208"/>
      <c r="QHT208"/>
      <c r="QHU208"/>
      <c r="QHV208"/>
      <c r="QHW208"/>
      <c r="QHX208"/>
      <c r="QHY208"/>
      <c r="QHZ208"/>
      <c r="QIA208"/>
      <c r="QIB208"/>
      <c r="QIC208"/>
      <c r="QID208"/>
      <c r="QIE208"/>
      <c r="QIF208"/>
      <c r="QIG208"/>
      <c r="QIH208"/>
      <c r="QII208"/>
      <c r="QIJ208"/>
      <c r="QIK208"/>
      <c r="QIL208"/>
      <c r="QIM208"/>
      <c r="QIN208"/>
      <c r="QIO208"/>
      <c r="QIP208"/>
      <c r="QIQ208"/>
      <c r="QIR208"/>
      <c r="QIS208"/>
      <c r="QIT208"/>
      <c r="QIU208"/>
      <c r="QIV208"/>
      <c r="QIW208"/>
      <c r="QIX208"/>
      <c r="QIY208"/>
      <c r="QIZ208"/>
      <c r="QJA208"/>
      <c r="QJB208"/>
      <c r="QJC208"/>
      <c r="QJD208"/>
      <c r="QJE208"/>
      <c r="QJF208"/>
      <c r="QJG208"/>
      <c r="QJH208"/>
      <c r="QJI208"/>
      <c r="QJJ208"/>
      <c r="QJK208"/>
      <c r="QJL208"/>
      <c r="QJM208"/>
      <c r="QJN208"/>
      <c r="QJO208"/>
      <c r="QJP208"/>
      <c r="QJQ208"/>
      <c r="QJR208"/>
      <c r="QJS208"/>
      <c r="QJT208"/>
      <c r="QJU208"/>
      <c r="QJV208"/>
      <c r="QJW208"/>
      <c r="QJX208"/>
      <c r="QJY208"/>
      <c r="QJZ208"/>
      <c r="QKA208"/>
      <c r="QKB208"/>
      <c r="QKC208"/>
      <c r="QKD208"/>
      <c r="QKE208"/>
      <c r="QKF208"/>
      <c r="QKG208"/>
      <c r="QKH208"/>
      <c r="QKI208"/>
      <c r="QKJ208"/>
      <c r="QKK208"/>
      <c r="QKL208"/>
      <c r="QKM208"/>
      <c r="QKN208"/>
      <c r="QKO208"/>
      <c r="QKP208"/>
      <c r="QKQ208"/>
      <c r="QKR208"/>
      <c r="QKS208"/>
      <c r="QKT208"/>
      <c r="QKU208"/>
      <c r="QKV208"/>
      <c r="QKW208"/>
      <c r="QKX208"/>
      <c r="QKY208"/>
      <c r="QKZ208"/>
      <c r="QLA208"/>
      <c r="QLB208"/>
      <c r="QLC208"/>
      <c r="QLD208"/>
      <c r="QLE208"/>
      <c r="QLF208"/>
      <c r="QLG208"/>
      <c r="QLH208"/>
      <c r="QLI208"/>
      <c r="QLJ208"/>
      <c r="QLK208"/>
      <c r="QLL208"/>
      <c r="QLM208"/>
      <c r="QLN208"/>
      <c r="QLO208"/>
      <c r="QLP208"/>
      <c r="QLQ208"/>
      <c r="QLR208"/>
      <c r="QLS208"/>
      <c r="QLT208"/>
      <c r="QLU208"/>
      <c r="QLV208"/>
      <c r="QLW208"/>
      <c r="QLX208"/>
      <c r="QLY208"/>
      <c r="QLZ208"/>
      <c r="QMA208"/>
      <c r="QMB208"/>
      <c r="QMC208"/>
      <c r="QMD208"/>
      <c r="QME208"/>
      <c r="QMF208"/>
      <c r="QMG208"/>
      <c r="QMH208"/>
      <c r="QMI208"/>
      <c r="QMJ208"/>
      <c r="QMK208"/>
      <c r="QML208"/>
      <c r="QMM208"/>
      <c r="QMN208"/>
      <c r="QMO208"/>
      <c r="QMP208"/>
      <c r="QMQ208"/>
      <c r="QMR208"/>
      <c r="QMS208"/>
      <c r="QMT208"/>
      <c r="QMU208"/>
      <c r="QMV208"/>
      <c r="QMW208"/>
      <c r="QMX208"/>
      <c r="QMY208"/>
      <c r="QMZ208"/>
      <c r="QNA208"/>
      <c r="QNB208"/>
      <c r="QNC208"/>
      <c r="QND208"/>
      <c r="QNE208"/>
      <c r="QNF208"/>
      <c r="QNG208"/>
      <c r="QNH208"/>
      <c r="QNI208"/>
      <c r="QNJ208"/>
      <c r="QNK208"/>
      <c r="QNL208"/>
      <c r="QNM208"/>
      <c r="QNN208"/>
      <c r="QNO208"/>
      <c r="QNP208"/>
      <c r="QNQ208"/>
      <c r="QNR208"/>
      <c r="QNS208"/>
      <c r="QNT208"/>
      <c r="QNU208"/>
      <c r="QNV208"/>
      <c r="QNW208"/>
      <c r="QNX208"/>
      <c r="QNY208"/>
      <c r="QNZ208"/>
      <c r="QOA208"/>
      <c r="QOB208"/>
      <c r="QOC208"/>
      <c r="QOD208"/>
      <c r="QOE208"/>
      <c r="QOF208"/>
      <c r="QOG208"/>
      <c r="QOH208"/>
      <c r="QOI208"/>
      <c r="QOJ208"/>
      <c r="QOK208"/>
      <c r="QOL208"/>
      <c r="QOM208"/>
      <c r="QON208"/>
      <c r="QOO208"/>
      <c r="QOP208"/>
      <c r="QOQ208"/>
      <c r="QOR208"/>
      <c r="QOS208"/>
      <c r="QOT208"/>
      <c r="QOU208"/>
      <c r="QOV208"/>
      <c r="QOW208"/>
      <c r="QOX208"/>
      <c r="QOY208"/>
      <c r="QOZ208"/>
      <c r="QPA208"/>
      <c r="QPB208"/>
      <c r="QPC208"/>
      <c r="QPD208"/>
      <c r="QPE208"/>
      <c r="QPF208"/>
      <c r="QPG208"/>
      <c r="QPH208"/>
      <c r="QPI208"/>
      <c r="QPJ208"/>
      <c r="QPK208"/>
      <c r="QPL208"/>
      <c r="QPM208"/>
      <c r="QPN208"/>
      <c r="QPO208"/>
      <c r="QPP208"/>
      <c r="QPQ208"/>
      <c r="QPR208"/>
      <c r="QPS208"/>
      <c r="QPT208"/>
      <c r="QPU208"/>
      <c r="QPV208"/>
      <c r="QPW208"/>
      <c r="QPX208"/>
      <c r="QPY208"/>
      <c r="QPZ208"/>
      <c r="QQA208"/>
      <c r="QQB208"/>
      <c r="QQC208"/>
      <c r="QQD208"/>
      <c r="QQE208"/>
      <c r="QQF208"/>
      <c r="QQG208"/>
      <c r="QQH208"/>
      <c r="QQI208"/>
      <c r="QQJ208"/>
      <c r="QQK208"/>
      <c r="QQL208"/>
      <c r="QQM208"/>
      <c r="QQN208"/>
      <c r="QQO208"/>
      <c r="QQP208"/>
      <c r="QQQ208"/>
      <c r="QQR208"/>
      <c r="QQS208"/>
      <c r="QQT208"/>
      <c r="QQU208"/>
      <c r="QQV208"/>
      <c r="QQW208"/>
      <c r="QQX208"/>
      <c r="QQY208"/>
      <c r="QQZ208"/>
      <c r="QRA208"/>
      <c r="QRB208"/>
      <c r="QRC208"/>
      <c r="QRD208"/>
      <c r="QRE208"/>
      <c r="QRF208"/>
      <c r="QRG208"/>
      <c r="QRH208"/>
      <c r="QRI208"/>
      <c r="QRJ208"/>
      <c r="QRK208"/>
      <c r="QRL208"/>
      <c r="QRM208"/>
      <c r="QRN208"/>
      <c r="QRO208"/>
      <c r="QRP208"/>
      <c r="QRQ208"/>
      <c r="QRR208"/>
      <c r="QRS208"/>
      <c r="QRT208"/>
      <c r="QRU208"/>
      <c r="QRV208"/>
      <c r="QRW208"/>
      <c r="QRX208"/>
      <c r="QRY208"/>
      <c r="QRZ208"/>
      <c r="QSA208"/>
      <c r="QSB208"/>
      <c r="QSC208"/>
      <c r="QSD208"/>
      <c r="QSE208"/>
      <c r="QSF208"/>
      <c r="QSG208"/>
      <c r="QSH208"/>
      <c r="QSI208"/>
      <c r="QSJ208"/>
      <c r="QSK208"/>
      <c r="QSL208"/>
      <c r="QSM208"/>
      <c r="QSN208"/>
      <c r="QSO208"/>
      <c r="QSP208"/>
      <c r="QSQ208"/>
      <c r="QSR208"/>
      <c r="QSS208"/>
      <c r="QST208"/>
      <c r="QSU208"/>
      <c r="QSV208"/>
      <c r="QSW208"/>
      <c r="QSX208"/>
      <c r="QSY208"/>
      <c r="QSZ208"/>
      <c r="QTA208"/>
      <c r="QTB208"/>
      <c r="QTC208"/>
      <c r="QTD208"/>
      <c r="QTE208"/>
      <c r="QTF208"/>
      <c r="QTG208"/>
      <c r="QTH208"/>
      <c r="QTI208"/>
      <c r="QTJ208"/>
      <c r="QTK208"/>
      <c r="QTL208"/>
      <c r="QTM208"/>
      <c r="QTN208"/>
      <c r="QTO208"/>
      <c r="QTP208"/>
      <c r="QTQ208"/>
      <c r="QTR208"/>
      <c r="QTS208"/>
      <c r="QTT208"/>
      <c r="QTU208"/>
      <c r="QTV208"/>
      <c r="QTW208"/>
      <c r="QTX208"/>
      <c r="QTY208"/>
      <c r="QTZ208"/>
      <c r="QUA208"/>
      <c r="QUB208"/>
      <c r="QUC208"/>
      <c r="QUD208"/>
      <c r="QUE208"/>
      <c r="QUF208"/>
      <c r="QUG208"/>
      <c r="QUH208"/>
      <c r="QUI208"/>
      <c r="QUJ208"/>
      <c r="QUK208"/>
      <c r="QUL208"/>
      <c r="QUM208"/>
      <c r="QUN208"/>
      <c r="QUO208"/>
      <c r="QUP208"/>
      <c r="QUQ208"/>
      <c r="QUR208"/>
      <c r="QUS208"/>
      <c r="QUT208"/>
      <c r="QUU208"/>
      <c r="QUV208"/>
      <c r="QUW208"/>
      <c r="QUX208"/>
      <c r="QUY208"/>
      <c r="QUZ208"/>
      <c r="QVA208"/>
      <c r="QVB208"/>
      <c r="QVC208"/>
      <c r="QVD208"/>
      <c r="QVE208"/>
      <c r="QVF208"/>
      <c r="QVG208"/>
      <c r="QVH208"/>
      <c r="QVI208"/>
      <c r="QVJ208"/>
      <c r="QVK208"/>
      <c r="QVL208"/>
      <c r="QVM208"/>
      <c r="QVN208"/>
      <c r="QVO208"/>
      <c r="QVP208"/>
      <c r="QVQ208"/>
      <c r="QVR208"/>
      <c r="QVS208"/>
      <c r="QVT208"/>
      <c r="QVU208"/>
      <c r="QVV208"/>
      <c r="QVW208"/>
      <c r="QVX208"/>
      <c r="QVY208"/>
      <c r="QVZ208"/>
      <c r="QWA208"/>
      <c r="QWB208"/>
      <c r="QWC208"/>
      <c r="QWD208"/>
      <c r="QWE208"/>
      <c r="QWF208"/>
      <c r="QWG208"/>
      <c r="QWH208"/>
      <c r="QWI208"/>
      <c r="QWJ208"/>
      <c r="QWK208"/>
      <c r="QWL208"/>
      <c r="QWM208"/>
      <c r="QWN208"/>
      <c r="QWO208"/>
      <c r="QWP208"/>
      <c r="QWQ208"/>
      <c r="QWR208"/>
      <c r="QWS208"/>
      <c r="QWT208"/>
      <c r="QWU208"/>
      <c r="QWV208"/>
      <c r="QWW208"/>
      <c r="QWX208"/>
      <c r="QWY208"/>
      <c r="QWZ208"/>
      <c r="QXA208"/>
      <c r="QXB208"/>
      <c r="QXC208"/>
      <c r="QXD208"/>
      <c r="QXE208"/>
      <c r="QXF208"/>
      <c r="QXG208"/>
      <c r="QXH208"/>
      <c r="QXI208"/>
      <c r="QXJ208"/>
      <c r="QXK208"/>
      <c r="QXL208"/>
      <c r="QXM208"/>
      <c r="QXN208"/>
      <c r="QXO208"/>
      <c r="QXP208"/>
      <c r="QXQ208"/>
      <c r="QXR208"/>
      <c r="QXS208"/>
      <c r="QXT208"/>
      <c r="QXU208"/>
      <c r="QXV208"/>
      <c r="QXW208"/>
      <c r="QXX208"/>
      <c r="QXY208"/>
      <c r="QXZ208"/>
      <c r="QYA208"/>
      <c r="QYB208"/>
      <c r="QYC208"/>
      <c r="QYD208"/>
      <c r="QYE208"/>
      <c r="QYF208"/>
      <c r="QYG208"/>
      <c r="QYH208"/>
      <c r="QYI208"/>
      <c r="QYJ208"/>
      <c r="QYK208"/>
      <c r="QYL208"/>
      <c r="QYM208"/>
      <c r="QYN208"/>
      <c r="QYO208"/>
      <c r="QYP208"/>
      <c r="QYQ208"/>
      <c r="QYR208"/>
      <c r="QYS208"/>
      <c r="QYT208"/>
      <c r="QYU208"/>
      <c r="QYV208"/>
      <c r="QYW208"/>
      <c r="QYX208"/>
      <c r="QYY208"/>
      <c r="QYZ208"/>
      <c r="QZA208"/>
      <c r="QZB208"/>
      <c r="QZC208"/>
      <c r="QZD208"/>
      <c r="QZE208"/>
      <c r="QZF208"/>
      <c r="QZG208"/>
      <c r="QZH208"/>
      <c r="QZI208"/>
      <c r="QZJ208"/>
      <c r="QZK208"/>
      <c r="QZL208"/>
      <c r="QZM208"/>
      <c r="QZN208"/>
      <c r="QZO208"/>
      <c r="QZP208"/>
      <c r="QZQ208"/>
      <c r="QZR208"/>
      <c r="QZS208"/>
      <c r="QZT208"/>
      <c r="QZU208"/>
      <c r="QZV208"/>
      <c r="QZW208"/>
      <c r="QZX208"/>
      <c r="QZY208"/>
      <c r="QZZ208"/>
      <c r="RAA208"/>
      <c r="RAB208"/>
      <c r="RAC208"/>
      <c r="RAD208"/>
      <c r="RAE208"/>
      <c r="RAF208"/>
      <c r="RAG208"/>
      <c r="RAH208"/>
      <c r="RAI208"/>
      <c r="RAJ208"/>
      <c r="RAK208"/>
      <c r="RAL208"/>
      <c r="RAM208"/>
      <c r="RAN208"/>
      <c r="RAO208"/>
      <c r="RAP208"/>
      <c r="RAQ208"/>
      <c r="RAR208"/>
      <c r="RAS208"/>
      <c r="RAT208"/>
      <c r="RAU208"/>
      <c r="RAV208"/>
      <c r="RAW208"/>
      <c r="RAX208"/>
      <c r="RAY208"/>
      <c r="RAZ208"/>
      <c r="RBA208"/>
      <c r="RBB208"/>
      <c r="RBC208"/>
      <c r="RBD208"/>
      <c r="RBE208"/>
      <c r="RBF208"/>
      <c r="RBG208"/>
      <c r="RBH208"/>
      <c r="RBI208"/>
      <c r="RBJ208"/>
      <c r="RBK208"/>
      <c r="RBL208"/>
      <c r="RBM208"/>
      <c r="RBN208"/>
      <c r="RBO208"/>
      <c r="RBP208"/>
      <c r="RBQ208"/>
      <c r="RBR208"/>
      <c r="RBS208"/>
      <c r="RBT208"/>
      <c r="RBU208"/>
      <c r="RBV208"/>
      <c r="RBW208"/>
      <c r="RBX208"/>
      <c r="RBY208"/>
      <c r="RBZ208"/>
      <c r="RCA208"/>
      <c r="RCB208"/>
      <c r="RCC208"/>
      <c r="RCD208"/>
      <c r="RCE208"/>
      <c r="RCF208"/>
      <c r="RCG208"/>
      <c r="RCH208"/>
      <c r="RCI208"/>
      <c r="RCJ208"/>
      <c r="RCK208"/>
      <c r="RCL208"/>
      <c r="RCM208"/>
      <c r="RCN208"/>
      <c r="RCO208"/>
      <c r="RCP208"/>
      <c r="RCQ208"/>
      <c r="RCR208"/>
      <c r="RCS208"/>
      <c r="RCT208"/>
      <c r="RCU208"/>
      <c r="RCV208"/>
      <c r="RCW208"/>
      <c r="RCX208"/>
      <c r="RCY208"/>
      <c r="RCZ208"/>
      <c r="RDA208"/>
      <c r="RDB208"/>
      <c r="RDC208"/>
      <c r="RDD208"/>
      <c r="RDE208"/>
      <c r="RDF208"/>
      <c r="RDG208"/>
      <c r="RDH208"/>
      <c r="RDI208"/>
      <c r="RDJ208"/>
      <c r="RDK208"/>
      <c r="RDL208"/>
      <c r="RDM208"/>
      <c r="RDN208"/>
      <c r="RDO208"/>
      <c r="RDP208"/>
      <c r="RDQ208"/>
      <c r="RDR208"/>
      <c r="RDS208"/>
      <c r="RDT208"/>
      <c r="RDU208"/>
      <c r="RDV208"/>
      <c r="RDW208"/>
      <c r="RDX208"/>
      <c r="RDY208"/>
      <c r="RDZ208"/>
      <c r="REA208"/>
      <c r="REB208"/>
      <c r="REC208"/>
      <c r="RED208"/>
      <c r="REE208"/>
      <c r="REF208"/>
      <c r="REG208"/>
      <c r="REH208"/>
      <c r="REI208"/>
      <c r="REJ208"/>
      <c r="REK208"/>
      <c r="REL208"/>
      <c r="REM208"/>
      <c r="REN208"/>
      <c r="REO208"/>
      <c r="REP208"/>
      <c r="REQ208"/>
      <c r="RER208"/>
      <c r="RES208"/>
      <c r="RET208"/>
      <c r="REU208"/>
      <c r="REV208"/>
      <c r="REW208"/>
      <c r="REX208"/>
      <c r="REY208"/>
      <c r="REZ208"/>
      <c r="RFA208"/>
      <c r="RFB208"/>
      <c r="RFC208"/>
      <c r="RFD208"/>
      <c r="RFE208"/>
      <c r="RFF208"/>
      <c r="RFG208"/>
      <c r="RFH208"/>
      <c r="RFI208"/>
      <c r="RFJ208"/>
      <c r="RFK208"/>
      <c r="RFL208"/>
      <c r="RFM208"/>
      <c r="RFN208"/>
      <c r="RFO208"/>
      <c r="RFP208"/>
      <c r="RFQ208"/>
      <c r="RFR208"/>
      <c r="RFS208"/>
      <c r="RFT208"/>
      <c r="RFU208"/>
      <c r="RFV208"/>
      <c r="RFW208"/>
      <c r="RFX208"/>
      <c r="RFY208"/>
      <c r="RFZ208"/>
      <c r="RGA208"/>
      <c r="RGB208"/>
      <c r="RGC208"/>
      <c r="RGD208"/>
      <c r="RGE208"/>
      <c r="RGF208"/>
      <c r="RGG208"/>
      <c r="RGH208"/>
      <c r="RGI208"/>
      <c r="RGJ208"/>
      <c r="RGK208"/>
      <c r="RGL208"/>
      <c r="RGM208"/>
      <c r="RGN208"/>
      <c r="RGO208"/>
      <c r="RGP208"/>
      <c r="RGQ208"/>
      <c r="RGR208"/>
      <c r="RGS208"/>
      <c r="RGT208"/>
      <c r="RGU208"/>
      <c r="RGV208"/>
      <c r="RGW208"/>
      <c r="RGX208"/>
      <c r="RGY208"/>
      <c r="RGZ208"/>
      <c r="RHA208"/>
      <c r="RHB208"/>
      <c r="RHC208"/>
      <c r="RHD208"/>
      <c r="RHE208"/>
      <c r="RHF208"/>
      <c r="RHG208"/>
      <c r="RHH208"/>
      <c r="RHI208"/>
      <c r="RHJ208"/>
      <c r="RHK208"/>
      <c r="RHL208"/>
      <c r="RHM208"/>
      <c r="RHN208"/>
      <c r="RHO208"/>
      <c r="RHP208"/>
      <c r="RHQ208"/>
      <c r="RHR208"/>
      <c r="RHS208"/>
      <c r="RHT208"/>
      <c r="RHU208"/>
      <c r="RHV208"/>
      <c r="RHW208"/>
      <c r="RHX208"/>
      <c r="RHY208"/>
      <c r="RHZ208"/>
      <c r="RIA208"/>
      <c r="RIB208"/>
      <c r="RIC208"/>
      <c r="RID208"/>
      <c r="RIE208"/>
      <c r="RIF208"/>
      <c r="RIG208"/>
      <c r="RIH208"/>
      <c r="RII208"/>
      <c r="RIJ208"/>
      <c r="RIK208"/>
      <c r="RIL208"/>
      <c r="RIM208"/>
      <c r="RIN208"/>
      <c r="RIO208"/>
      <c r="RIP208"/>
      <c r="RIQ208"/>
      <c r="RIR208"/>
      <c r="RIS208"/>
      <c r="RIT208"/>
      <c r="RIU208"/>
      <c r="RIV208"/>
      <c r="RIW208"/>
      <c r="RIX208"/>
      <c r="RIY208"/>
      <c r="RIZ208"/>
      <c r="RJA208"/>
      <c r="RJB208"/>
      <c r="RJC208"/>
      <c r="RJD208"/>
      <c r="RJE208"/>
      <c r="RJF208"/>
      <c r="RJG208"/>
      <c r="RJH208"/>
      <c r="RJI208"/>
      <c r="RJJ208"/>
      <c r="RJK208"/>
      <c r="RJL208"/>
      <c r="RJM208"/>
      <c r="RJN208"/>
      <c r="RJO208"/>
      <c r="RJP208"/>
      <c r="RJQ208"/>
      <c r="RJR208"/>
      <c r="RJS208"/>
      <c r="RJT208"/>
      <c r="RJU208"/>
      <c r="RJV208"/>
      <c r="RJW208"/>
      <c r="RJX208"/>
      <c r="RJY208"/>
      <c r="RJZ208"/>
      <c r="RKA208"/>
      <c r="RKB208"/>
      <c r="RKC208"/>
      <c r="RKD208"/>
      <c r="RKE208"/>
      <c r="RKF208"/>
      <c r="RKG208"/>
      <c r="RKH208"/>
      <c r="RKI208"/>
      <c r="RKJ208"/>
      <c r="RKK208"/>
      <c r="RKL208"/>
      <c r="RKM208"/>
      <c r="RKN208"/>
      <c r="RKO208"/>
      <c r="RKP208"/>
      <c r="RKQ208"/>
      <c r="RKR208"/>
      <c r="RKS208"/>
      <c r="RKT208"/>
      <c r="RKU208"/>
      <c r="RKV208"/>
      <c r="RKW208"/>
      <c r="RKX208"/>
      <c r="RKY208"/>
      <c r="RKZ208"/>
      <c r="RLA208"/>
      <c r="RLB208"/>
      <c r="RLC208"/>
      <c r="RLD208"/>
      <c r="RLE208"/>
      <c r="RLF208"/>
      <c r="RLG208"/>
      <c r="RLH208"/>
      <c r="RLI208"/>
      <c r="RLJ208"/>
      <c r="RLK208"/>
      <c r="RLL208"/>
      <c r="RLM208"/>
      <c r="RLN208"/>
      <c r="RLO208"/>
      <c r="RLP208"/>
      <c r="RLQ208"/>
      <c r="RLR208"/>
      <c r="RLS208"/>
      <c r="RLT208"/>
      <c r="RLU208"/>
      <c r="RLV208"/>
      <c r="RLW208"/>
      <c r="RLX208"/>
      <c r="RLY208"/>
      <c r="RLZ208"/>
      <c r="RMA208"/>
      <c r="RMB208"/>
      <c r="RMC208"/>
      <c r="RMD208"/>
      <c r="RME208"/>
      <c r="RMF208"/>
      <c r="RMG208"/>
      <c r="RMH208"/>
      <c r="RMI208"/>
      <c r="RMJ208"/>
      <c r="RMK208"/>
      <c r="RML208"/>
      <c r="RMM208"/>
      <c r="RMN208"/>
      <c r="RMO208"/>
      <c r="RMP208"/>
      <c r="RMQ208"/>
      <c r="RMR208"/>
      <c r="RMS208"/>
      <c r="RMT208"/>
      <c r="RMU208"/>
      <c r="RMV208"/>
      <c r="RMW208"/>
      <c r="RMX208"/>
      <c r="RMY208"/>
      <c r="RMZ208"/>
      <c r="RNA208"/>
      <c r="RNB208"/>
      <c r="RNC208"/>
      <c r="RND208"/>
      <c r="RNE208"/>
      <c r="RNF208"/>
      <c r="RNG208"/>
      <c r="RNH208"/>
      <c r="RNI208"/>
      <c r="RNJ208"/>
      <c r="RNK208"/>
      <c r="RNL208"/>
      <c r="RNM208"/>
      <c r="RNN208"/>
      <c r="RNO208"/>
      <c r="RNP208"/>
      <c r="RNQ208"/>
      <c r="RNR208"/>
      <c r="RNS208"/>
      <c r="RNT208"/>
      <c r="RNU208"/>
      <c r="RNV208"/>
      <c r="RNW208"/>
      <c r="RNX208"/>
      <c r="RNY208"/>
      <c r="RNZ208"/>
      <c r="ROA208"/>
      <c r="ROB208"/>
      <c r="ROC208"/>
      <c r="ROD208"/>
      <c r="ROE208"/>
      <c r="ROF208"/>
      <c r="ROG208"/>
      <c r="ROH208"/>
      <c r="ROI208"/>
      <c r="ROJ208"/>
      <c r="ROK208"/>
      <c r="ROL208"/>
      <c r="ROM208"/>
      <c r="RON208"/>
      <c r="ROO208"/>
      <c r="ROP208"/>
      <c r="ROQ208"/>
      <c r="ROR208"/>
      <c r="ROS208"/>
      <c r="ROT208"/>
      <c r="ROU208"/>
      <c r="ROV208"/>
      <c r="ROW208"/>
      <c r="ROX208"/>
      <c r="ROY208"/>
      <c r="ROZ208"/>
      <c r="RPA208"/>
      <c r="RPB208"/>
      <c r="RPC208"/>
      <c r="RPD208"/>
      <c r="RPE208"/>
      <c r="RPF208"/>
      <c r="RPG208"/>
      <c r="RPH208"/>
      <c r="RPI208"/>
      <c r="RPJ208"/>
      <c r="RPK208"/>
      <c r="RPL208"/>
      <c r="RPM208"/>
      <c r="RPN208"/>
      <c r="RPO208"/>
      <c r="RPP208"/>
      <c r="RPQ208"/>
      <c r="RPR208"/>
      <c r="RPS208"/>
      <c r="RPT208"/>
      <c r="RPU208"/>
      <c r="RPV208"/>
      <c r="RPW208"/>
      <c r="RPX208"/>
      <c r="RPY208"/>
      <c r="RPZ208"/>
      <c r="RQA208"/>
      <c r="RQB208"/>
      <c r="RQC208"/>
      <c r="RQD208"/>
      <c r="RQE208"/>
      <c r="RQF208"/>
      <c r="RQG208"/>
      <c r="RQH208"/>
      <c r="RQI208"/>
      <c r="RQJ208"/>
      <c r="RQK208"/>
      <c r="RQL208"/>
      <c r="RQM208"/>
      <c r="RQN208"/>
      <c r="RQO208"/>
      <c r="RQP208"/>
      <c r="RQQ208"/>
      <c r="RQR208"/>
      <c r="RQS208"/>
      <c r="RQT208"/>
      <c r="RQU208"/>
      <c r="RQV208"/>
      <c r="RQW208"/>
      <c r="RQX208"/>
      <c r="RQY208"/>
      <c r="RQZ208"/>
      <c r="RRA208"/>
      <c r="RRB208"/>
      <c r="RRC208"/>
      <c r="RRD208"/>
      <c r="RRE208"/>
      <c r="RRF208"/>
      <c r="RRG208"/>
      <c r="RRH208"/>
      <c r="RRI208"/>
      <c r="RRJ208"/>
      <c r="RRK208"/>
      <c r="RRL208"/>
      <c r="RRM208"/>
      <c r="RRN208"/>
      <c r="RRO208"/>
      <c r="RRP208"/>
      <c r="RRQ208"/>
      <c r="RRR208"/>
      <c r="RRS208"/>
      <c r="RRT208"/>
      <c r="RRU208"/>
      <c r="RRV208"/>
      <c r="RRW208"/>
      <c r="RRX208"/>
      <c r="RRY208"/>
      <c r="RRZ208"/>
      <c r="RSA208"/>
      <c r="RSB208"/>
      <c r="RSC208"/>
      <c r="RSD208"/>
      <c r="RSE208"/>
      <c r="RSF208"/>
      <c r="RSG208"/>
      <c r="RSH208"/>
      <c r="RSI208"/>
      <c r="RSJ208"/>
      <c r="RSK208"/>
      <c r="RSL208"/>
      <c r="RSM208"/>
      <c r="RSN208"/>
      <c r="RSO208"/>
      <c r="RSP208"/>
      <c r="RSQ208"/>
      <c r="RSR208"/>
      <c r="RSS208"/>
      <c r="RST208"/>
      <c r="RSU208"/>
      <c r="RSV208"/>
      <c r="RSW208"/>
      <c r="RSX208"/>
      <c r="RSY208"/>
      <c r="RSZ208"/>
      <c r="RTA208"/>
      <c r="RTB208"/>
      <c r="RTC208"/>
      <c r="RTD208"/>
      <c r="RTE208"/>
      <c r="RTF208"/>
      <c r="RTG208"/>
      <c r="RTH208"/>
      <c r="RTI208"/>
      <c r="RTJ208"/>
      <c r="RTK208"/>
      <c r="RTL208"/>
      <c r="RTM208"/>
      <c r="RTN208"/>
      <c r="RTO208"/>
      <c r="RTP208"/>
      <c r="RTQ208"/>
      <c r="RTR208"/>
      <c r="RTS208"/>
      <c r="RTT208"/>
      <c r="RTU208"/>
      <c r="RTV208"/>
      <c r="RTW208"/>
      <c r="RTX208"/>
      <c r="RTY208"/>
      <c r="RTZ208"/>
      <c r="RUA208"/>
      <c r="RUB208"/>
      <c r="RUC208"/>
      <c r="RUD208"/>
      <c r="RUE208"/>
      <c r="RUF208"/>
      <c r="RUG208"/>
      <c r="RUH208"/>
      <c r="RUI208"/>
      <c r="RUJ208"/>
      <c r="RUK208"/>
      <c r="RUL208"/>
      <c r="RUM208"/>
      <c r="RUN208"/>
      <c r="RUO208"/>
      <c r="RUP208"/>
      <c r="RUQ208"/>
      <c r="RUR208"/>
      <c r="RUS208"/>
      <c r="RUT208"/>
      <c r="RUU208"/>
      <c r="RUV208"/>
      <c r="RUW208"/>
      <c r="RUX208"/>
      <c r="RUY208"/>
      <c r="RUZ208"/>
      <c r="RVA208"/>
      <c r="RVB208"/>
      <c r="RVC208"/>
      <c r="RVD208"/>
      <c r="RVE208"/>
      <c r="RVF208"/>
      <c r="RVG208"/>
      <c r="RVH208"/>
      <c r="RVI208"/>
      <c r="RVJ208"/>
      <c r="RVK208"/>
      <c r="RVL208"/>
      <c r="RVM208"/>
      <c r="RVN208"/>
      <c r="RVO208"/>
      <c r="RVP208"/>
      <c r="RVQ208"/>
      <c r="RVR208"/>
      <c r="RVS208"/>
      <c r="RVT208"/>
      <c r="RVU208"/>
      <c r="RVV208"/>
      <c r="RVW208"/>
      <c r="RVX208"/>
      <c r="RVY208"/>
      <c r="RVZ208"/>
      <c r="RWA208"/>
      <c r="RWB208"/>
      <c r="RWC208"/>
      <c r="RWD208"/>
      <c r="RWE208"/>
      <c r="RWF208"/>
      <c r="RWG208"/>
      <c r="RWH208"/>
      <c r="RWI208"/>
      <c r="RWJ208"/>
      <c r="RWK208"/>
      <c r="RWL208"/>
      <c r="RWM208"/>
      <c r="RWN208"/>
      <c r="RWO208"/>
      <c r="RWP208"/>
      <c r="RWQ208"/>
      <c r="RWR208"/>
      <c r="RWS208"/>
      <c r="RWT208"/>
      <c r="RWU208"/>
      <c r="RWV208"/>
      <c r="RWW208"/>
      <c r="RWX208"/>
      <c r="RWY208"/>
      <c r="RWZ208"/>
      <c r="RXA208"/>
      <c r="RXB208"/>
      <c r="RXC208"/>
      <c r="RXD208"/>
      <c r="RXE208"/>
      <c r="RXF208"/>
      <c r="RXG208"/>
      <c r="RXH208"/>
      <c r="RXI208"/>
      <c r="RXJ208"/>
      <c r="RXK208"/>
      <c r="RXL208"/>
      <c r="RXM208"/>
      <c r="RXN208"/>
      <c r="RXO208"/>
      <c r="RXP208"/>
      <c r="RXQ208"/>
      <c r="RXR208"/>
      <c r="RXS208"/>
      <c r="RXT208"/>
      <c r="RXU208"/>
      <c r="RXV208"/>
      <c r="RXW208"/>
      <c r="RXX208"/>
      <c r="RXY208"/>
      <c r="RXZ208"/>
      <c r="RYA208"/>
      <c r="RYB208"/>
      <c r="RYC208"/>
      <c r="RYD208"/>
      <c r="RYE208"/>
      <c r="RYF208"/>
      <c r="RYG208"/>
      <c r="RYH208"/>
      <c r="RYI208"/>
      <c r="RYJ208"/>
      <c r="RYK208"/>
      <c r="RYL208"/>
      <c r="RYM208"/>
      <c r="RYN208"/>
      <c r="RYO208"/>
      <c r="RYP208"/>
      <c r="RYQ208"/>
      <c r="RYR208"/>
      <c r="RYS208"/>
      <c r="RYT208"/>
      <c r="RYU208"/>
      <c r="RYV208"/>
      <c r="RYW208"/>
      <c r="RYX208"/>
      <c r="RYY208"/>
      <c r="RYZ208"/>
      <c r="RZA208"/>
      <c r="RZB208"/>
      <c r="RZC208"/>
      <c r="RZD208"/>
      <c r="RZE208"/>
      <c r="RZF208"/>
      <c r="RZG208"/>
      <c r="RZH208"/>
      <c r="RZI208"/>
      <c r="RZJ208"/>
      <c r="RZK208"/>
      <c r="RZL208"/>
      <c r="RZM208"/>
      <c r="RZN208"/>
      <c r="RZO208"/>
      <c r="RZP208"/>
      <c r="RZQ208"/>
      <c r="RZR208"/>
      <c r="RZS208"/>
      <c r="RZT208"/>
      <c r="RZU208"/>
      <c r="RZV208"/>
      <c r="RZW208"/>
      <c r="RZX208"/>
      <c r="RZY208"/>
      <c r="RZZ208"/>
      <c r="SAA208"/>
      <c r="SAB208"/>
      <c r="SAC208"/>
      <c r="SAD208"/>
      <c r="SAE208"/>
      <c r="SAF208"/>
      <c r="SAG208"/>
      <c r="SAH208"/>
      <c r="SAI208"/>
      <c r="SAJ208"/>
      <c r="SAK208"/>
      <c r="SAL208"/>
      <c r="SAM208"/>
      <c r="SAN208"/>
      <c r="SAO208"/>
      <c r="SAP208"/>
      <c r="SAQ208"/>
      <c r="SAR208"/>
      <c r="SAS208"/>
      <c r="SAT208"/>
      <c r="SAU208"/>
      <c r="SAV208"/>
      <c r="SAW208"/>
      <c r="SAX208"/>
      <c r="SAY208"/>
      <c r="SAZ208"/>
      <c r="SBA208"/>
      <c r="SBB208"/>
      <c r="SBC208"/>
      <c r="SBD208"/>
      <c r="SBE208"/>
      <c r="SBF208"/>
      <c r="SBG208"/>
      <c r="SBH208"/>
      <c r="SBI208"/>
      <c r="SBJ208"/>
      <c r="SBK208"/>
      <c r="SBL208"/>
      <c r="SBM208"/>
      <c r="SBN208"/>
      <c r="SBO208"/>
      <c r="SBP208"/>
      <c r="SBQ208"/>
      <c r="SBR208"/>
      <c r="SBS208"/>
      <c r="SBT208"/>
      <c r="SBU208"/>
      <c r="SBV208"/>
      <c r="SBW208"/>
      <c r="SBX208"/>
      <c r="SBY208"/>
      <c r="SBZ208"/>
      <c r="SCA208"/>
      <c r="SCB208"/>
      <c r="SCC208"/>
      <c r="SCD208"/>
      <c r="SCE208"/>
      <c r="SCF208"/>
      <c r="SCG208"/>
      <c r="SCH208"/>
      <c r="SCI208"/>
      <c r="SCJ208"/>
      <c r="SCK208"/>
      <c r="SCL208"/>
      <c r="SCM208"/>
      <c r="SCN208"/>
      <c r="SCO208"/>
      <c r="SCP208"/>
      <c r="SCQ208"/>
      <c r="SCR208"/>
      <c r="SCS208"/>
      <c r="SCT208"/>
      <c r="SCU208"/>
      <c r="SCV208"/>
      <c r="SCW208"/>
      <c r="SCX208"/>
      <c r="SCY208"/>
      <c r="SCZ208"/>
      <c r="SDA208"/>
      <c r="SDB208"/>
      <c r="SDC208"/>
      <c r="SDD208"/>
      <c r="SDE208"/>
      <c r="SDF208"/>
      <c r="SDG208"/>
      <c r="SDH208"/>
      <c r="SDI208"/>
      <c r="SDJ208"/>
      <c r="SDK208"/>
      <c r="SDL208"/>
      <c r="SDM208"/>
      <c r="SDN208"/>
      <c r="SDO208"/>
      <c r="SDP208"/>
      <c r="SDQ208"/>
      <c r="SDR208"/>
      <c r="SDS208"/>
      <c r="SDT208"/>
      <c r="SDU208"/>
      <c r="SDV208"/>
      <c r="SDW208"/>
      <c r="SDX208"/>
      <c r="SDY208"/>
      <c r="SDZ208"/>
      <c r="SEA208"/>
      <c r="SEB208"/>
      <c r="SEC208"/>
      <c r="SED208"/>
      <c r="SEE208"/>
      <c r="SEF208"/>
      <c r="SEG208"/>
      <c r="SEH208"/>
      <c r="SEI208"/>
      <c r="SEJ208"/>
      <c r="SEK208"/>
      <c r="SEL208"/>
      <c r="SEM208"/>
      <c r="SEN208"/>
      <c r="SEO208"/>
      <c r="SEP208"/>
      <c r="SEQ208"/>
      <c r="SER208"/>
      <c r="SES208"/>
      <c r="SET208"/>
      <c r="SEU208"/>
      <c r="SEV208"/>
      <c r="SEW208"/>
      <c r="SEX208"/>
      <c r="SEY208"/>
      <c r="SEZ208"/>
      <c r="SFA208"/>
      <c r="SFB208"/>
      <c r="SFC208"/>
      <c r="SFD208"/>
      <c r="SFE208"/>
      <c r="SFF208"/>
      <c r="SFG208"/>
      <c r="SFH208"/>
      <c r="SFI208"/>
      <c r="SFJ208"/>
      <c r="SFK208"/>
      <c r="SFL208"/>
      <c r="SFM208"/>
      <c r="SFN208"/>
      <c r="SFO208"/>
      <c r="SFP208"/>
      <c r="SFQ208"/>
      <c r="SFR208"/>
      <c r="SFS208"/>
      <c r="SFT208"/>
      <c r="SFU208"/>
      <c r="SFV208"/>
      <c r="SFW208"/>
      <c r="SFX208"/>
      <c r="SFY208"/>
      <c r="SFZ208"/>
      <c r="SGA208"/>
      <c r="SGB208"/>
      <c r="SGC208"/>
      <c r="SGD208"/>
      <c r="SGE208"/>
      <c r="SGF208"/>
      <c r="SGG208"/>
      <c r="SGH208"/>
      <c r="SGI208"/>
      <c r="SGJ208"/>
      <c r="SGK208"/>
      <c r="SGL208"/>
      <c r="SGM208"/>
      <c r="SGN208"/>
      <c r="SGO208"/>
      <c r="SGP208"/>
      <c r="SGQ208"/>
      <c r="SGR208"/>
      <c r="SGS208"/>
      <c r="SGT208"/>
      <c r="SGU208"/>
      <c r="SGV208"/>
      <c r="SGW208"/>
      <c r="SGX208"/>
      <c r="SGY208"/>
      <c r="SGZ208"/>
      <c r="SHA208"/>
      <c r="SHB208"/>
      <c r="SHC208"/>
      <c r="SHD208"/>
      <c r="SHE208"/>
      <c r="SHF208"/>
      <c r="SHG208"/>
      <c r="SHH208"/>
      <c r="SHI208"/>
      <c r="SHJ208"/>
      <c r="SHK208"/>
      <c r="SHL208"/>
      <c r="SHM208"/>
      <c r="SHN208"/>
      <c r="SHO208"/>
      <c r="SHP208"/>
      <c r="SHQ208"/>
      <c r="SHR208"/>
      <c r="SHS208"/>
      <c r="SHT208"/>
      <c r="SHU208"/>
      <c r="SHV208"/>
      <c r="SHW208"/>
      <c r="SHX208"/>
      <c r="SHY208"/>
      <c r="SHZ208"/>
      <c r="SIA208"/>
      <c r="SIB208"/>
      <c r="SIC208"/>
      <c r="SID208"/>
      <c r="SIE208"/>
      <c r="SIF208"/>
      <c r="SIG208"/>
      <c r="SIH208"/>
      <c r="SII208"/>
      <c r="SIJ208"/>
      <c r="SIK208"/>
      <c r="SIL208"/>
      <c r="SIM208"/>
      <c r="SIN208"/>
      <c r="SIO208"/>
      <c r="SIP208"/>
      <c r="SIQ208"/>
      <c r="SIR208"/>
      <c r="SIS208"/>
      <c r="SIT208"/>
      <c r="SIU208"/>
      <c r="SIV208"/>
      <c r="SIW208"/>
      <c r="SIX208"/>
      <c r="SIY208"/>
      <c r="SIZ208"/>
      <c r="SJA208"/>
      <c r="SJB208"/>
      <c r="SJC208"/>
      <c r="SJD208"/>
      <c r="SJE208"/>
      <c r="SJF208"/>
      <c r="SJG208"/>
      <c r="SJH208"/>
      <c r="SJI208"/>
      <c r="SJJ208"/>
      <c r="SJK208"/>
      <c r="SJL208"/>
      <c r="SJM208"/>
      <c r="SJN208"/>
      <c r="SJO208"/>
      <c r="SJP208"/>
      <c r="SJQ208"/>
      <c r="SJR208"/>
      <c r="SJS208"/>
      <c r="SJT208"/>
      <c r="SJU208"/>
      <c r="SJV208"/>
      <c r="SJW208"/>
      <c r="SJX208"/>
      <c r="SJY208"/>
      <c r="SJZ208"/>
      <c r="SKA208"/>
      <c r="SKB208"/>
      <c r="SKC208"/>
      <c r="SKD208"/>
      <c r="SKE208"/>
      <c r="SKF208"/>
      <c r="SKG208"/>
      <c r="SKH208"/>
      <c r="SKI208"/>
      <c r="SKJ208"/>
      <c r="SKK208"/>
      <c r="SKL208"/>
      <c r="SKM208"/>
      <c r="SKN208"/>
      <c r="SKO208"/>
      <c r="SKP208"/>
      <c r="SKQ208"/>
      <c r="SKR208"/>
      <c r="SKS208"/>
      <c r="SKT208"/>
      <c r="SKU208"/>
      <c r="SKV208"/>
      <c r="SKW208"/>
      <c r="SKX208"/>
      <c r="SKY208"/>
      <c r="SKZ208"/>
      <c r="SLA208"/>
      <c r="SLB208"/>
      <c r="SLC208"/>
      <c r="SLD208"/>
      <c r="SLE208"/>
      <c r="SLF208"/>
      <c r="SLG208"/>
      <c r="SLH208"/>
      <c r="SLI208"/>
      <c r="SLJ208"/>
      <c r="SLK208"/>
      <c r="SLL208"/>
      <c r="SLM208"/>
      <c r="SLN208"/>
      <c r="SLO208"/>
      <c r="SLP208"/>
      <c r="SLQ208"/>
      <c r="SLR208"/>
      <c r="SLS208"/>
      <c r="SLT208"/>
      <c r="SLU208"/>
      <c r="SLV208"/>
      <c r="SLW208"/>
      <c r="SLX208"/>
      <c r="SLY208"/>
      <c r="SLZ208"/>
      <c r="SMA208"/>
      <c r="SMB208"/>
      <c r="SMC208"/>
      <c r="SMD208"/>
      <c r="SME208"/>
      <c r="SMF208"/>
      <c r="SMG208"/>
      <c r="SMH208"/>
      <c r="SMI208"/>
      <c r="SMJ208"/>
      <c r="SMK208"/>
      <c r="SML208"/>
      <c r="SMM208"/>
      <c r="SMN208"/>
      <c r="SMO208"/>
      <c r="SMP208"/>
      <c r="SMQ208"/>
      <c r="SMR208"/>
      <c r="SMS208"/>
      <c r="SMT208"/>
      <c r="SMU208"/>
      <c r="SMV208"/>
      <c r="SMW208"/>
      <c r="SMX208"/>
      <c r="SMY208"/>
      <c r="SMZ208"/>
      <c r="SNA208"/>
      <c r="SNB208"/>
      <c r="SNC208"/>
      <c r="SND208"/>
      <c r="SNE208"/>
      <c r="SNF208"/>
      <c r="SNG208"/>
      <c r="SNH208"/>
      <c r="SNI208"/>
      <c r="SNJ208"/>
      <c r="SNK208"/>
      <c r="SNL208"/>
      <c r="SNM208"/>
      <c r="SNN208"/>
      <c r="SNO208"/>
      <c r="SNP208"/>
      <c r="SNQ208"/>
      <c r="SNR208"/>
      <c r="SNS208"/>
      <c r="SNT208"/>
      <c r="SNU208"/>
      <c r="SNV208"/>
      <c r="SNW208"/>
      <c r="SNX208"/>
      <c r="SNY208"/>
      <c r="SNZ208"/>
      <c r="SOA208"/>
      <c r="SOB208"/>
      <c r="SOC208"/>
      <c r="SOD208"/>
      <c r="SOE208"/>
      <c r="SOF208"/>
      <c r="SOG208"/>
      <c r="SOH208"/>
      <c r="SOI208"/>
      <c r="SOJ208"/>
      <c r="SOK208"/>
      <c r="SOL208"/>
      <c r="SOM208"/>
      <c r="SON208"/>
      <c r="SOO208"/>
      <c r="SOP208"/>
      <c r="SOQ208"/>
      <c r="SOR208"/>
      <c r="SOS208"/>
      <c r="SOT208"/>
      <c r="SOU208"/>
      <c r="SOV208"/>
      <c r="SOW208"/>
      <c r="SOX208"/>
      <c r="SOY208"/>
      <c r="SOZ208"/>
      <c r="SPA208"/>
      <c r="SPB208"/>
      <c r="SPC208"/>
      <c r="SPD208"/>
      <c r="SPE208"/>
      <c r="SPF208"/>
      <c r="SPG208"/>
      <c r="SPH208"/>
      <c r="SPI208"/>
      <c r="SPJ208"/>
      <c r="SPK208"/>
      <c r="SPL208"/>
      <c r="SPM208"/>
      <c r="SPN208"/>
      <c r="SPO208"/>
      <c r="SPP208"/>
      <c r="SPQ208"/>
      <c r="SPR208"/>
      <c r="SPS208"/>
      <c r="SPT208"/>
      <c r="SPU208"/>
      <c r="SPV208"/>
      <c r="SPW208"/>
      <c r="SPX208"/>
      <c r="SPY208"/>
      <c r="SPZ208"/>
      <c r="SQA208"/>
      <c r="SQB208"/>
      <c r="SQC208"/>
      <c r="SQD208"/>
      <c r="SQE208"/>
      <c r="SQF208"/>
      <c r="SQG208"/>
      <c r="SQH208"/>
      <c r="SQI208"/>
      <c r="SQJ208"/>
      <c r="SQK208"/>
      <c r="SQL208"/>
      <c r="SQM208"/>
      <c r="SQN208"/>
      <c r="SQO208"/>
      <c r="SQP208"/>
      <c r="SQQ208"/>
      <c r="SQR208"/>
      <c r="SQS208"/>
      <c r="SQT208"/>
      <c r="SQU208"/>
      <c r="SQV208"/>
      <c r="SQW208"/>
      <c r="SQX208"/>
      <c r="SQY208"/>
      <c r="SQZ208"/>
      <c r="SRA208"/>
      <c r="SRB208"/>
      <c r="SRC208"/>
      <c r="SRD208"/>
      <c r="SRE208"/>
      <c r="SRF208"/>
      <c r="SRG208"/>
      <c r="SRH208"/>
      <c r="SRI208"/>
      <c r="SRJ208"/>
      <c r="SRK208"/>
      <c r="SRL208"/>
      <c r="SRM208"/>
      <c r="SRN208"/>
      <c r="SRO208"/>
      <c r="SRP208"/>
      <c r="SRQ208"/>
      <c r="SRR208"/>
      <c r="SRS208"/>
      <c r="SRT208"/>
      <c r="SRU208"/>
      <c r="SRV208"/>
      <c r="SRW208"/>
      <c r="SRX208"/>
      <c r="SRY208"/>
      <c r="SRZ208"/>
      <c r="SSA208"/>
      <c r="SSB208"/>
      <c r="SSC208"/>
      <c r="SSD208"/>
      <c r="SSE208"/>
      <c r="SSF208"/>
      <c r="SSG208"/>
      <c r="SSH208"/>
      <c r="SSI208"/>
      <c r="SSJ208"/>
      <c r="SSK208"/>
      <c r="SSL208"/>
      <c r="SSM208"/>
      <c r="SSN208"/>
      <c r="SSO208"/>
      <c r="SSP208"/>
      <c r="SSQ208"/>
      <c r="SSR208"/>
      <c r="SSS208"/>
      <c r="SST208"/>
      <c r="SSU208"/>
      <c r="SSV208"/>
      <c r="SSW208"/>
      <c r="SSX208"/>
      <c r="SSY208"/>
      <c r="SSZ208"/>
      <c r="STA208"/>
      <c r="STB208"/>
      <c r="STC208"/>
      <c r="STD208"/>
      <c r="STE208"/>
      <c r="STF208"/>
      <c r="STG208"/>
      <c r="STH208"/>
      <c r="STI208"/>
      <c r="STJ208"/>
      <c r="STK208"/>
      <c r="STL208"/>
      <c r="STM208"/>
      <c r="STN208"/>
      <c r="STO208"/>
      <c r="STP208"/>
      <c r="STQ208"/>
      <c r="STR208"/>
      <c r="STS208"/>
      <c r="STT208"/>
      <c r="STU208"/>
      <c r="STV208"/>
      <c r="STW208"/>
      <c r="STX208"/>
      <c r="STY208"/>
      <c r="STZ208"/>
      <c r="SUA208"/>
      <c r="SUB208"/>
      <c r="SUC208"/>
      <c r="SUD208"/>
      <c r="SUE208"/>
      <c r="SUF208"/>
      <c r="SUG208"/>
      <c r="SUH208"/>
      <c r="SUI208"/>
      <c r="SUJ208"/>
      <c r="SUK208"/>
      <c r="SUL208"/>
      <c r="SUM208"/>
      <c r="SUN208"/>
      <c r="SUO208"/>
      <c r="SUP208"/>
      <c r="SUQ208"/>
      <c r="SUR208"/>
      <c r="SUS208"/>
      <c r="SUT208"/>
      <c r="SUU208"/>
      <c r="SUV208"/>
      <c r="SUW208"/>
      <c r="SUX208"/>
      <c r="SUY208"/>
      <c r="SUZ208"/>
      <c r="SVA208"/>
      <c r="SVB208"/>
      <c r="SVC208"/>
      <c r="SVD208"/>
      <c r="SVE208"/>
      <c r="SVF208"/>
      <c r="SVG208"/>
      <c r="SVH208"/>
      <c r="SVI208"/>
      <c r="SVJ208"/>
      <c r="SVK208"/>
      <c r="SVL208"/>
      <c r="SVM208"/>
      <c r="SVN208"/>
      <c r="SVO208"/>
      <c r="SVP208"/>
      <c r="SVQ208"/>
      <c r="SVR208"/>
      <c r="SVS208"/>
      <c r="SVT208"/>
      <c r="SVU208"/>
      <c r="SVV208"/>
      <c r="SVW208"/>
      <c r="SVX208"/>
      <c r="SVY208"/>
      <c r="SVZ208"/>
      <c r="SWA208"/>
      <c r="SWB208"/>
      <c r="SWC208"/>
      <c r="SWD208"/>
      <c r="SWE208"/>
      <c r="SWF208"/>
      <c r="SWG208"/>
      <c r="SWH208"/>
      <c r="SWI208"/>
      <c r="SWJ208"/>
      <c r="SWK208"/>
      <c r="SWL208"/>
      <c r="SWM208"/>
      <c r="SWN208"/>
      <c r="SWO208"/>
      <c r="SWP208"/>
      <c r="SWQ208"/>
      <c r="SWR208"/>
      <c r="SWS208"/>
      <c r="SWT208"/>
      <c r="SWU208"/>
      <c r="SWV208"/>
      <c r="SWW208"/>
      <c r="SWX208"/>
      <c r="SWY208"/>
      <c r="SWZ208"/>
      <c r="SXA208"/>
      <c r="SXB208"/>
      <c r="SXC208"/>
      <c r="SXD208"/>
      <c r="SXE208"/>
      <c r="SXF208"/>
      <c r="SXG208"/>
      <c r="SXH208"/>
      <c r="SXI208"/>
      <c r="SXJ208"/>
      <c r="SXK208"/>
      <c r="SXL208"/>
      <c r="SXM208"/>
      <c r="SXN208"/>
      <c r="SXO208"/>
      <c r="SXP208"/>
      <c r="SXQ208"/>
      <c r="SXR208"/>
      <c r="SXS208"/>
      <c r="SXT208"/>
      <c r="SXU208"/>
      <c r="SXV208"/>
      <c r="SXW208"/>
      <c r="SXX208"/>
      <c r="SXY208"/>
      <c r="SXZ208"/>
      <c r="SYA208"/>
      <c r="SYB208"/>
      <c r="SYC208"/>
      <c r="SYD208"/>
      <c r="SYE208"/>
      <c r="SYF208"/>
      <c r="SYG208"/>
      <c r="SYH208"/>
      <c r="SYI208"/>
      <c r="SYJ208"/>
      <c r="SYK208"/>
      <c r="SYL208"/>
      <c r="SYM208"/>
      <c r="SYN208"/>
      <c r="SYO208"/>
      <c r="SYP208"/>
      <c r="SYQ208"/>
      <c r="SYR208"/>
      <c r="SYS208"/>
      <c r="SYT208"/>
      <c r="SYU208"/>
      <c r="SYV208"/>
      <c r="SYW208"/>
      <c r="SYX208"/>
      <c r="SYY208"/>
      <c r="SYZ208"/>
      <c r="SZA208"/>
      <c r="SZB208"/>
      <c r="SZC208"/>
      <c r="SZD208"/>
      <c r="SZE208"/>
      <c r="SZF208"/>
      <c r="SZG208"/>
      <c r="SZH208"/>
      <c r="SZI208"/>
      <c r="SZJ208"/>
      <c r="SZK208"/>
      <c r="SZL208"/>
      <c r="SZM208"/>
      <c r="SZN208"/>
      <c r="SZO208"/>
      <c r="SZP208"/>
      <c r="SZQ208"/>
      <c r="SZR208"/>
      <c r="SZS208"/>
      <c r="SZT208"/>
      <c r="SZU208"/>
      <c r="SZV208"/>
      <c r="SZW208"/>
      <c r="SZX208"/>
      <c r="SZY208"/>
      <c r="SZZ208"/>
      <c r="TAA208"/>
      <c r="TAB208"/>
      <c r="TAC208"/>
      <c r="TAD208"/>
      <c r="TAE208"/>
      <c r="TAF208"/>
      <c r="TAG208"/>
      <c r="TAH208"/>
      <c r="TAI208"/>
      <c r="TAJ208"/>
      <c r="TAK208"/>
      <c r="TAL208"/>
      <c r="TAM208"/>
      <c r="TAN208"/>
      <c r="TAO208"/>
      <c r="TAP208"/>
      <c r="TAQ208"/>
      <c r="TAR208"/>
      <c r="TAS208"/>
      <c r="TAT208"/>
      <c r="TAU208"/>
      <c r="TAV208"/>
      <c r="TAW208"/>
      <c r="TAX208"/>
      <c r="TAY208"/>
      <c r="TAZ208"/>
      <c r="TBA208"/>
      <c r="TBB208"/>
      <c r="TBC208"/>
      <c r="TBD208"/>
      <c r="TBE208"/>
      <c r="TBF208"/>
      <c r="TBG208"/>
      <c r="TBH208"/>
      <c r="TBI208"/>
      <c r="TBJ208"/>
      <c r="TBK208"/>
      <c r="TBL208"/>
      <c r="TBM208"/>
      <c r="TBN208"/>
      <c r="TBO208"/>
      <c r="TBP208"/>
      <c r="TBQ208"/>
      <c r="TBR208"/>
      <c r="TBS208"/>
      <c r="TBT208"/>
      <c r="TBU208"/>
      <c r="TBV208"/>
      <c r="TBW208"/>
      <c r="TBX208"/>
      <c r="TBY208"/>
      <c r="TBZ208"/>
      <c r="TCA208"/>
      <c r="TCB208"/>
      <c r="TCC208"/>
      <c r="TCD208"/>
      <c r="TCE208"/>
      <c r="TCF208"/>
      <c r="TCG208"/>
      <c r="TCH208"/>
      <c r="TCI208"/>
      <c r="TCJ208"/>
      <c r="TCK208"/>
      <c r="TCL208"/>
      <c r="TCM208"/>
      <c r="TCN208"/>
      <c r="TCO208"/>
      <c r="TCP208"/>
      <c r="TCQ208"/>
      <c r="TCR208"/>
      <c r="TCS208"/>
      <c r="TCT208"/>
      <c r="TCU208"/>
      <c r="TCV208"/>
      <c r="TCW208"/>
      <c r="TCX208"/>
      <c r="TCY208"/>
      <c r="TCZ208"/>
      <c r="TDA208"/>
      <c r="TDB208"/>
      <c r="TDC208"/>
      <c r="TDD208"/>
      <c r="TDE208"/>
      <c r="TDF208"/>
      <c r="TDG208"/>
      <c r="TDH208"/>
      <c r="TDI208"/>
      <c r="TDJ208"/>
      <c r="TDK208"/>
      <c r="TDL208"/>
      <c r="TDM208"/>
      <c r="TDN208"/>
      <c r="TDO208"/>
      <c r="TDP208"/>
      <c r="TDQ208"/>
      <c r="TDR208"/>
      <c r="TDS208"/>
      <c r="TDT208"/>
      <c r="TDU208"/>
      <c r="TDV208"/>
      <c r="TDW208"/>
      <c r="TDX208"/>
      <c r="TDY208"/>
      <c r="TDZ208"/>
      <c r="TEA208"/>
      <c r="TEB208"/>
      <c r="TEC208"/>
      <c r="TED208"/>
      <c r="TEE208"/>
      <c r="TEF208"/>
      <c r="TEG208"/>
      <c r="TEH208"/>
      <c r="TEI208"/>
      <c r="TEJ208"/>
      <c r="TEK208"/>
      <c r="TEL208"/>
      <c r="TEM208"/>
      <c r="TEN208"/>
      <c r="TEO208"/>
      <c r="TEP208"/>
      <c r="TEQ208"/>
      <c r="TER208"/>
      <c r="TES208"/>
      <c r="TET208"/>
      <c r="TEU208"/>
      <c r="TEV208"/>
      <c r="TEW208"/>
      <c r="TEX208"/>
      <c r="TEY208"/>
      <c r="TEZ208"/>
      <c r="TFA208"/>
      <c r="TFB208"/>
      <c r="TFC208"/>
      <c r="TFD208"/>
      <c r="TFE208"/>
      <c r="TFF208"/>
      <c r="TFG208"/>
      <c r="TFH208"/>
      <c r="TFI208"/>
      <c r="TFJ208"/>
      <c r="TFK208"/>
      <c r="TFL208"/>
      <c r="TFM208"/>
      <c r="TFN208"/>
      <c r="TFO208"/>
      <c r="TFP208"/>
      <c r="TFQ208"/>
      <c r="TFR208"/>
      <c r="TFS208"/>
      <c r="TFT208"/>
      <c r="TFU208"/>
      <c r="TFV208"/>
      <c r="TFW208"/>
      <c r="TFX208"/>
      <c r="TFY208"/>
      <c r="TFZ208"/>
      <c r="TGA208"/>
      <c r="TGB208"/>
      <c r="TGC208"/>
      <c r="TGD208"/>
      <c r="TGE208"/>
      <c r="TGF208"/>
      <c r="TGG208"/>
      <c r="TGH208"/>
      <c r="TGI208"/>
      <c r="TGJ208"/>
      <c r="TGK208"/>
      <c r="TGL208"/>
      <c r="TGM208"/>
      <c r="TGN208"/>
      <c r="TGO208"/>
      <c r="TGP208"/>
      <c r="TGQ208"/>
      <c r="TGR208"/>
      <c r="TGS208"/>
      <c r="TGT208"/>
      <c r="TGU208"/>
      <c r="TGV208"/>
      <c r="TGW208"/>
      <c r="TGX208"/>
      <c r="TGY208"/>
      <c r="TGZ208"/>
      <c r="THA208"/>
      <c r="THB208"/>
      <c r="THC208"/>
      <c r="THD208"/>
      <c r="THE208"/>
      <c r="THF208"/>
      <c r="THG208"/>
      <c r="THH208"/>
      <c r="THI208"/>
      <c r="THJ208"/>
      <c r="THK208"/>
      <c r="THL208"/>
      <c r="THM208"/>
      <c r="THN208"/>
      <c r="THO208"/>
      <c r="THP208"/>
      <c r="THQ208"/>
      <c r="THR208"/>
      <c r="THS208"/>
      <c r="THT208"/>
      <c r="THU208"/>
      <c r="THV208"/>
      <c r="THW208"/>
      <c r="THX208"/>
      <c r="THY208"/>
      <c r="THZ208"/>
      <c r="TIA208"/>
      <c r="TIB208"/>
      <c r="TIC208"/>
      <c r="TID208"/>
      <c r="TIE208"/>
      <c r="TIF208"/>
      <c r="TIG208"/>
      <c r="TIH208"/>
      <c r="TII208"/>
      <c r="TIJ208"/>
      <c r="TIK208"/>
      <c r="TIL208"/>
      <c r="TIM208"/>
      <c r="TIN208"/>
      <c r="TIO208"/>
      <c r="TIP208"/>
      <c r="TIQ208"/>
      <c r="TIR208"/>
      <c r="TIS208"/>
      <c r="TIT208"/>
      <c r="TIU208"/>
      <c r="TIV208"/>
      <c r="TIW208"/>
      <c r="TIX208"/>
      <c r="TIY208"/>
      <c r="TIZ208"/>
      <c r="TJA208"/>
      <c r="TJB208"/>
      <c r="TJC208"/>
      <c r="TJD208"/>
      <c r="TJE208"/>
      <c r="TJF208"/>
      <c r="TJG208"/>
      <c r="TJH208"/>
      <c r="TJI208"/>
      <c r="TJJ208"/>
      <c r="TJK208"/>
      <c r="TJL208"/>
      <c r="TJM208"/>
      <c r="TJN208"/>
      <c r="TJO208"/>
      <c r="TJP208"/>
      <c r="TJQ208"/>
      <c r="TJR208"/>
      <c r="TJS208"/>
      <c r="TJT208"/>
      <c r="TJU208"/>
      <c r="TJV208"/>
      <c r="TJW208"/>
      <c r="TJX208"/>
      <c r="TJY208"/>
      <c r="TJZ208"/>
      <c r="TKA208"/>
      <c r="TKB208"/>
      <c r="TKC208"/>
      <c r="TKD208"/>
      <c r="TKE208"/>
      <c r="TKF208"/>
      <c r="TKG208"/>
      <c r="TKH208"/>
      <c r="TKI208"/>
      <c r="TKJ208"/>
      <c r="TKK208"/>
      <c r="TKL208"/>
      <c r="TKM208"/>
      <c r="TKN208"/>
      <c r="TKO208"/>
      <c r="TKP208"/>
      <c r="TKQ208"/>
      <c r="TKR208"/>
      <c r="TKS208"/>
      <c r="TKT208"/>
      <c r="TKU208"/>
      <c r="TKV208"/>
      <c r="TKW208"/>
      <c r="TKX208"/>
      <c r="TKY208"/>
      <c r="TKZ208"/>
      <c r="TLA208"/>
      <c r="TLB208"/>
      <c r="TLC208"/>
      <c r="TLD208"/>
      <c r="TLE208"/>
      <c r="TLF208"/>
      <c r="TLG208"/>
      <c r="TLH208"/>
      <c r="TLI208"/>
      <c r="TLJ208"/>
      <c r="TLK208"/>
      <c r="TLL208"/>
      <c r="TLM208"/>
      <c r="TLN208"/>
      <c r="TLO208"/>
      <c r="TLP208"/>
      <c r="TLQ208"/>
      <c r="TLR208"/>
      <c r="TLS208"/>
      <c r="TLT208"/>
      <c r="TLU208"/>
      <c r="TLV208"/>
      <c r="TLW208"/>
      <c r="TLX208"/>
      <c r="TLY208"/>
      <c r="TLZ208"/>
      <c r="TMA208"/>
      <c r="TMB208"/>
      <c r="TMC208"/>
      <c r="TMD208"/>
      <c r="TME208"/>
      <c r="TMF208"/>
      <c r="TMG208"/>
      <c r="TMH208"/>
      <c r="TMI208"/>
      <c r="TMJ208"/>
      <c r="TMK208"/>
      <c r="TML208"/>
      <c r="TMM208"/>
      <c r="TMN208"/>
      <c r="TMO208"/>
      <c r="TMP208"/>
      <c r="TMQ208"/>
      <c r="TMR208"/>
      <c r="TMS208"/>
      <c r="TMT208"/>
      <c r="TMU208"/>
      <c r="TMV208"/>
      <c r="TMW208"/>
      <c r="TMX208"/>
      <c r="TMY208"/>
      <c r="TMZ208"/>
      <c r="TNA208"/>
      <c r="TNB208"/>
      <c r="TNC208"/>
      <c r="TND208"/>
      <c r="TNE208"/>
      <c r="TNF208"/>
      <c r="TNG208"/>
      <c r="TNH208"/>
      <c r="TNI208"/>
      <c r="TNJ208"/>
      <c r="TNK208"/>
      <c r="TNL208"/>
      <c r="TNM208"/>
      <c r="TNN208"/>
      <c r="TNO208"/>
      <c r="TNP208"/>
      <c r="TNQ208"/>
      <c r="TNR208"/>
      <c r="TNS208"/>
      <c r="TNT208"/>
      <c r="TNU208"/>
      <c r="TNV208"/>
      <c r="TNW208"/>
      <c r="TNX208"/>
      <c r="TNY208"/>
      <c r="TNZ208"/>
      <c r="TOA208"/>
      <c r="TOB208"/>
      <c r="TOC208"/>
      <c r="TOD208"/>
      <c r="TOE208"/>
      <c r="TOF208"/>
      <c r="TOG208"/>
      <c r="TOH208"/>
      <c r="TOI208"/>
      <c r="TOJ208"/>
      <c r="TOK208"/>
      <c r="TOL208"/>
      <c r="TOM208"/>
      <c r="TON208"/>
      <c r="TOO208"/>
      <c r="TOP208"/>
      <c r="TOQ208"/>
      <c r="TOR208"/>
      <c r="TOS208"/>
      <c r="TOT208"/>
      <c r="TOU208"/>
      <c r="TOV208"/>
      <c r="TOW208"/>
      <c r="TOX208"/>
      <c r="TOY208"/>
      <c r="TOZ208"/>
      <c r="TPA208"/>
      <c r="TPB208"/>
      <c r="TPC208"/>
      <c r="TPD208"/>
      <c r="TPE208"/>
      <c r="TPF208"/>
      <c r="TPG208"/>
      <c r="TPH208"/>
      <c r="TPI208"/>
      <c r="TPJ208"/>
      <c r="TPK208"/>
      <c r="TPL208"/>
      <c r="TPM208"/>
      <c r="TPN208"/>
      <c r="TPO208"/>
      <c r="TPP208"/>
      <c r="TPQ208"/>
      <c r="TPR208"/>
      <c r="TPS208"/>
      <c r="TPT208"/>
      <c r="TPU208"/>
      <c r="TPV208"/>
      <c r="TPW208"/>
      <c r="TPX208"/>
      <c r="TPY208"/>
      <c r="TPZ208"/>
      <c r="TQA208"/>
      <c r="TQB208"/>
      <c r="TQC208"/>
      <c r="TQD208"/>
      <c r="TQE208"/>
      <c r="TQF208"/>
      <c r="TQG208"/>
      <c r="TQH208"/>
      <c r="TQI208"/>
      <c r="TQJ208"/>
      <c r="TQK208"/>
      <c r="TQL208"/>
      <c r="TQM208"/>
      <c r="TQN208"/>
      <c r="TQO208"/>
      <c r="TQP208"/>
      <c r="TQQ208"/>
      <c r="TQR208"/>
      <c r="TQS208"/>
      <c r="TQT208"/>
      <c r="TQU208"/>
      <c r="TQV208"/>
      <c r="TQW208"/>
      <c r="TQX208"/>
      <c r="TQY208"/>
      <c r="TQZ208"/>
      <c r="TRA208"/>
      <c r="TRB208"/>
      <c r="TRC208"/>
      <c r="TRD208"/>
      <c r="TRE208"/>
      <c r="TRF208"/>
      <c r="TRG208"/>
      <c r="TRH208"/>
      <c r="TRI208"/>
      <c r="TRJ208"/>
      <c r="TRK208"/>
      <c r="TRL208"/>
      <c r="TRM208"/>
      <c r="TRN208"/>
      <c r="TRO208"/>
      <c r="TRP208"/>
      <c r="TRQ208"/>
      <c r="TRR208"/>
      <c r="TRS208"/>
      <c r="TRT208"/>
      <c r="TRU208"/>
      <c r="TRV208"/>
      <c r="TRW208"/>
      <c r="TRX208"/>
      <c r="TRY208"/>
      <c r="TRZ208"/>
      <c r="TSA208"/>
      <c r="TSB208"/>
      <c r="TSC208"/>
      <c r="TSD208"/>
      <c r="TSE208"/>
      <c r="TSF208"/>
      <c r="TSG208"/>
      <c r="TSH208"/>
      <c r="TSI208"/>
      <c r="TSJ208"/>
      <c r="TSK208"/>
      <c r="TSL208"/>
      <c r="TSM208"/>
      <c r="TSN208"/>
      <c r="TSO208"/>
      <c r="TSP208"/>
      <c r="TSQ208"/>
      <c r="TSR208"/>
      <c r="TSS208"/>
      <c r="TST208"/>
      <c r="TSU208"/>
      <c r="TSV208"/>
      <c r="TSW208"/>
      <c r="TSX208"/>
      <c r="TSY208"/>
      <c r="TSZ208"/>
      <c r="TTA208"/>
      <c r="TTB208"/>
      <c r="TTC208"/>
      <c r="TTD208"/>
      <c r="TTE208"/>
      <c r="TTF208"/>
      <c r="TTG208"/>
      <c r="TTH208"/>
      <c r="TTI208"/>
      <c r="TTJ208"/>
      <c r="TTK208"/>
      <c r="TTL208"/>
      <c r="TTM208"/>
      <c r="TTN208"/>
      <c r="TTO208"/>
      <c r="TTP208"/>
      <c r="TTQ208"/>
      <c r="TTR208"/>
      <c r="TTS208"/>
      <c r="TTT208"/>
      <c r="TTU208"/>
      <c r="TTV208"/>
      <c r="TTW208"/>
      <c r="TTX208"/>
      <c r="TTY208"/>
      <c r="TTZ208"/>
      <c r="TUA208"/>
      <c r="TUB208"/>
      <c r="TUC208"/>
      <c r="TUD208"/>
      <c r="TUE208"/>
      <c r="TUF208"/>
      <c r="TUG208"/>
      <c r="TUH208"/>
      <c r="TUI208"/>
      <c r="TUJ208"/>
      <c r="TUK208"/>
      <c r="TUL208"/>
      <c r="TUM208"/>
      <c r="TUN208"/>
      <c r="TUO208"/>
      <c r="TUP208"/>
      <c r="TUQ208"/>
      <c r="TUR208"/>
      <c r="TUS208"/>
      <c r="TUT208"/>
      <c r="TUU208"/>
      <c r="TUV208"/>
      <c r="TUW208"/>
      <c r="TUX208"/>
      <c r="TUY208"/>
      <c r="TUZ208"/>
      <c r="TVA208"/>
      <c r="TVB208"/>
      <c r="TVC208"/>
      <c r="TVD208"/>
      <c r="TVE208"/>
      <c r="TVF208"/>
      <c r="TVG208"/>
      <c r="TVH208"/>
      <c r="TVI208"/>
      <c r="TVJ208"/>
      <c r="TVK208"/>
      <c r="TVL208"/>
      <c r="TVM208"/>
      <c r="TVN208"/>
      <c r="TVO208"/>
      <c r="TVP208"/>
      <c r="TVQ208"/>
      <c r="TVR208"/>
      <c r="TVS208"/>
      <c r="TVT208"/>
      <c r="TVU208"/>
      <c r="TVV208"/>
      <c r="TVW208"/>
      <c r="TVX208"/>
      <c r="TVY208"/>
      <c r="TVZ208"/>
      <c r="TWA208"/>
      <c r="TWB208"/>
      <c r="TWC208"/>
      <c r="TWD208"/>
      <c r="TWE208"/>
      <c r="TWF208"/>
      <c r="TWG208"/>
      <c r="TWH208"/>
      <c r="TWI208"/>
      <c r="TWJ208"/>
      <c r="TWK208"/>
      <c r="TWL208"/>
      <c r="TWM208"/>
      <c r="TWN208"/>
      <c r="TWO208"/>
      <c r="TWP208"/>
      <c r="TWQ208"/>
      <c r="TWR208"/>
      <c r="TWS208"/>
      <c r="TWT208"/>
      <c r="TWU208"/>
      <c r="TWV208"/>
      <c r="TWW208"/>
      <c r="TWX208"/>
      <c r="TWY208"/>
      <c r="TWZ208"/>
      <c r="TXA208"/>
      <c r="TXB208"/>
      <c r="TXC208"/>
      <c r="TXD208"/>
      <c r="TXE208"/>
      <c r="TXF208"/>
      <c r="TXG208"/>
      <c r="TXH208"/>
      <c r="TXI208"/>
      <c r="TXJ208"/>
      <c r="TXK208"/>
      <c r="TXL208"/>
      <c r="TXM208"/>
      <c r="TXN208"/>
      <c r="TXO208"/>
      <c r="TXP208"/>
      <c r="TXQ208"/>
      <c r="TXR208"/>
      <c r="TXS208"/>
      <c r="TXT208"/>
      <c r="TXU208"/>
      <c r="TXV208"/>
      <c r="TXW208"/>
      <c r="TXX208"/>
      <c r="TXY208"/>
      <c r="TXZ208"/>
      <c r="TYA208"/>
      <c r="TYB208"/>
      <c r="TYC208"/>
      <c r="TYD208"/>
      <c r="TYE208"/>
      <c r="TYF208"/>
      <c r="TYG208"/>
      <c r="TYH208"/>
      <c r="TYI208"/>
      <c r="TYJ208"/>
      <c r="TYK208"/>
      <c r="TYL208"/>
      <c r="TYM208"/>
      <c r="TYN208"/>
      <c r="TYO208"/>
      <c r="TYP208"/>
      <c r="TYQ208"/>
      <c r="TYR208"/>
      <c r="TYS208"/>
      <c r="TYT208"/>
      <c r="TYU208"/>
      <c r="TYV208"/>
      <c r="TYW208"/>
      <c r="TYX208"/>
      <c r="TYY208"/>
      <c r="TYZ208"/>
      <c r="TZA208"/>
      <c r="TZB208"/>
      <c r="TZC208"/>
      <c r="TZD208"/>
      <c r="TZE208"/>
      <c r="TZF208"/>
      <c r="TZG208"/>
      <c r="TZH208"/>
      <c r="TZI208"/>
      <c r="TZJ208"/>
      <c r="TZK208"/>
      <c r="TZL208"/>
      <c r="TZM208"/>
      <c r="TZN208"/>
      <c r="TZO208"/>
      <c r="TZP208"/>
      <c r="TZQ208"/>
      <c r="TZR208"/>
      <c r="TZS208"/>
      <c r="TZT208"/>
      <c r="TZU208"/>
      <c r="TZV208"/>
      <c r="TZW208"/>
      <c r="TZX208"/>
      <c r="TZY208"/>
      <c r="TZZ208"/>
      <c r="UAA208"/>
      <c r="UAB208"/>
      <c r="UAC208"/>
      <c r="UAD208"/>
      <c r="UAE208"/>
      <c r="UAF208"/>
      <c r="UAG208"/>
      <c r="UAH208"/>
      <c r="UAI208"/>
      <c r="UAJ208"/>
      <c r="UAK208"/>
      <c r="UAL208"/>
      <c r="UAM208"/>
      <c r="UAN208"/>
      <c r="UAO208"/>
      <c r="UAP208"/>
      <c r="UAQ208"/>
      <c r="UAR208"/>
      <c r="UAS208"/>
      <c r="UAT208"/>
      <c r="UAU208"/>
      <c r="UAV208"/>
      <c r="UAW208"/>
      <c r="UAX208"/>
      <c r="UAY208"/>
      <c r="UAZ208"/>
      <c r="UBA208"/>
      <c r="UBB208"/>
      <c r="UBC208"/>
      <c r="UBD208"/>
      <c r="UBE208"/>
      <c r="UBF208"/>
      <c r="UBG208"/>
      <c r="UBH208"/>
      <c r="UBI208"/>
      <c r="UBJ208"/>
      <c r="UBK208"/>
      <c r="UBL208"/>
      <c r="UBM208"/>
      <c r="UBN208"/>
      <c r="UBO208"/>
      <c r="UBP208"/>
      <c r="UBQ208"/>
      <c r="UBR208"/>
      <c r="UBS208"/>
      <c r="UBT208"/>
      <c r="UBU208"/>
      <c r="UBV208"/>
      <c r="UBW208"/>
      <c r="UBX208"/>
      <c r="UBY208"/>
      <c r="UBZ208"/>
      <c r="UCA208"/>
      <c r="UCB208"/>
      <c r="UCC208"/>
      <c r="UCD208"/>
      <c r="UCE208"/>
      <c r="UCF208"/>
      <c r="UCG208"/>
      <c r="UCH208"/>
      <c r="UCI208"/>
      <c r="UCJ208"/>
      <c r="UCK208"/>
      <c r="UCL208"/>
      <c r="UCM208"/>
      <c r="UCN208"/>
      <c r="UCO208"/>
      <c r="UCP208"/>
      <c r="UCQ208"/>
      <c r="UCR208"/>
      <c r="UCS208"/>
      <c r="UCT208"/>
      <c r="UCU208"/>
      <c r="UCV208"/>
      <c r="UCW208"/>
      <c r="UCX208"/>
      <c r="UCY208"/>
      <c r="UCZ208"/>
      <c r="UDA208"/>
      <c r="UDB208"/>
      <c r="UDC208"/>
      <c r="UDD208"/>
      <c r="UDE208"/>
      <c r="UDF208"/>
      <c r="UDG208"/>
      <c r="UDH208"/>
      <c r="UDI208"/>
      <c r="UDJ208"/>
      <c r="UDK208"/>
      <c r="UDL208"/>
      <c r="UDM208"/>
      <c r="UDN208"/>
      <c r="UDO208"/>
      <c r="UDP208"/>
      <c r="UDQ208"/>
      <c r="UDR208"/>
      <c r="UDS208"/>
      <c r="UDT208"/>
      <c r="UDU208"/>
      <c r="UDV208"/>
      <c r="UDW208"/>
      <c r="UDX208"/>
      <c r="UDY208"/>
      <c r="UDZ208"/>
      <c r="UEA208"/>
      <c r="UEB208"/>
      <c r="UEC208"/>
      <c r="UED208"/>
      <c r="UEE208"/>
      <c r="UEF208"/>
      <c r="UEG208"/>
      <c r="UEH208"/>
      <c r="UEI208"/>
      <c r="UEJ208"/>
      <c r="UEK208"/>
      <c r="UEL208"/>
      <c r="UEM208"/>
      <c r="UEN208"/>
      <c r="UEO208"/>
      <c r="UEP208"/>
      <c r="UEQ208"/>
      <c r="UER208"/>
      <c r="UES208"/>
      <c r="UET208"/>
      <c r="UEU208"/>
      <c r="UEV208"/>
      <c r="UEW208"/>
      <c r="UEX208"/>
      <c r="UEY208"/>
      <c r="UEZ208"/>
      <c r="UFA208"/>
      <c r="UFB208"/>
      <c r="UFC208"/>
      <c r="UFD208"/>
      <c r="UFE208"/>
      <c r="UFF208"/>
      <c r="UFG208"/>
      <c r="UFH208"/>
      <c r="UFI208"/>
      <c r="UFJ208"/>
      <c r="UFK208"/>
      <c r="UFL208"/>
      <c r="UFM208"/>
      <c r="UFN208"/>
      <c r="UFO208"/>
      <c r="UFP208"/>
      <c r="UFQ208"/>
      <c r="UFR208"/>
      <c r="UFS208"/>
      <c r="UFT208"/>
      <c r="UFU208"/>
      <c r="UFV208"/>
      <c r="UFW208"/>
      <c r="UFX208"/>
      <c r="UFY208"/>
      <c r="UFZ208"/>
      <c r="UGA208"/>
      <c r="UGB208"/>
      <c r="UGC208"/>
      <c r="UGD208"/>
      <c r="UGE208"/>
      <c r="UGF208"/>
      <c r="UGG208"/>
      <c r="UGH208"/>
      <c r="UGI208"/>
      <c r="UGJ208"/>
      <c r="UGK208"/>
      <c r="UGL208"/>
      <c r="UGM208"/>
      <c r="UGN208"/>
      <c r="UGO208"/>
      <c r="UGP208"/>
      <c r="UGQ208"/>
      <c r="UGR208"/>
      <c r="UGS208"/>
      <c r="UGT208"/>
      <c r="UGU208"/>
      <c r="UGV208"/>
      <c r="UGW208"/>
      <c r="UGX208"/>
      <c r="UGY208"/>
      <c r="UGZ208"/>
      <c r="UHA208"/>
      <c r="UHB208"/>
      <c r="UHC208"/>
      <c r="UHD208"/>
      <c r="UHE208"/>
      <c r="UHF208"/>
      <c r="UHG208"/>
      <c r="UHH208"/>
      <c r="UHI208"/>
      <c r="UHJ208"/>
      <c r="UHK208"/>
      <c r="UHL208"/>
      <c r="UHM208"/>
      <c r="UHN208"/>
      <c r="UHO208"/>
      <c r="UHP208"/>
      <c r="UHQ208"/>
      <c r="UHR208"/>
      <c r="UHS208"/>
      <c r="UHT208"/>
      <c r="UHU208"/>
      <c r="UHV208"/>
      <c r="UHW208"/>
      <c r="UHX208"/>
      <c r="UHY208"/>
      <c r="UHZ208"/>
      <c r="UIA208"/>
      <c r="UIB208"/>
      <c r="UIC208"/>
      <c r="UID208"/>
      <c r="UIE208"/>
      <c r="UIF208"/>
      <c r="UIG208"/>
      <c r="UIH208"/>
      <c r="UII208"/>
      <c r="UIJ208"/>
      <c r="UIK208"/>
      <c r="UIL208"/>
      <c r="UIM208"/>
      <c r="UIN208"/>
      <c r="UIO208"/>
      <c r="UIP208"/>
      <c r="UIQ208"/>
      <c r="UIR208"/>
      <c r="UIS208"/>
      <c r="UIT208"/>
      <c r="UIU208"/>
      <c r="UIV208"/>
      <c r="UIW208"/>
      <c r="UIX208"/>
      <c r="UIY208"/>
      <c r="UIZ208"/>
      <c r="UJA208"/>
      <c r="UJB208"/>
      <c r="UJC208"/>
      <c r="UJD208"/>
      <c r="UJE208"/>
      <c r="UJF208"/>
      <c r="UJG208"/>
      <c r="UJH208"/>
      <c r="UJI208"/>
      <c r="UJJ208"/>
      <c r="UJK208"/>
      <c r="UJL208"/>
      <c r="UJM208"/>
      <c r="UJN208"/>
      <c r="UJO208"/>
      <c r="UJP208"/>
      <c r="UJQ208"/>
      <c r="UJR208"/>
      <c r="UJS208"/>
      <c r="UJT208"/>
      <c r="UJU208"/>
      <c r="UJV208"/>
      <c r="UJW208"/>
      <c r="UJX208"/>
      <c r="UJY208"/>
      <c r="UJZ208"/>
      <c r="UKA208"/>
      <c r="UKB208"/>
      <c r="UKC208"/>
      <c r="UKD208"/>
      <c r="UKE208"/>
      <c r="UKF208"/>
      <c r="UKG208"/>
      <c r="UKH208"/>
      <c r="UKI208"/>
      <c r="UKJ208"/>
      <c r="UKK208"/>
      <c r="UKL208"/>
      <c r="UKM208"/>
      <c r="UKN208"/>
      <c r="UKO208"/>
      <c r="UKP208"/>
      <c r="UKQ208"/>
      <c r="UKR208"/>
      <c r="UKS208"/>
      <c r="UKT208"/>
      <c r="UKU208"/>
      <c r="UKV208"/>
      <c r="UKW208"/>
      <c r="UKX208"/>
      <c r="UKY208"/>
      <c r="UKZ208"/>
      <c r="ULA208"/>
      <c r="ULB208"/>
      <c r="ULC208"/>
      <c r="ULD208"/>
      <c r="ULE208"/>
      <c r="ULF208"/>
      <c r="ULG208"/>
      <c r="ULH208"/>
      <c r="ULI208"/>
      <c r="ULJ208"/>
      <c r="ULK208"/>
      <c r="ULL208"/>
      <c r="ULM208"/>
      <c r="ULN208"/>
      <c r="ULO208"/>
      <c r="ULP208"/>
      <c r="ULQ208"/>
      <c r="ULR208"/>
      <c r="ULS208"/>
      <c r="ULT208"/>
      <c r="ULU208"/>
      <c r="ULV208"/>
      <c r="ULW208"/>
      <c r="ULX208"/>
      <c r="ULY208"/>
      <c r="ULZ208"/>
      <c r="UMA208"/>
      <c r="UMB208"/>
      <c r="UMC208"/>
      <c r="UMD208"/>
      <c r="UME208"/>
      <c r="UMF208"/>
      <c r="UMG208"/>
      <c r="UMH208"/>
      <c r="UMI208"/>
      <c r="UMJ208"/>
      <c r="UMK208"/>
      <c r="UML208"/>
      <c r="UMM208"/>
      <c r="UMN208"/>
      <c r="UMO208"/>
      <c r="UMP208"/>
      <c r="UMQ208"/>
      <c r="UMR208"/>
      <c r="UMS208"/>
      <c r="UMT208"/>
      <c r="UMU208"/>
      <c r="UMV208"/>
      <c r="UMW208"/>
      <c r="UMX208"/>
      <c r="UMY208"/>
      <c r="UMZ208"/>
      <c r="UNA208"/>
      <c r="UNB208"/>
      <c r="UNC208"/>
      <c r="UND208"/>
      <c r="UNE208"/>
      <c r="UNF208"/>
      <c r="UNG208"/>
      <c r="UNH208"/>
      <c r="UNI208"/>
      <c r="UNJ208"/>
      <c r="UNK208"/>
      <c r="UNL208"/>
      <c r="UNM208"/>
      <c r="UNN208"/>
      <c r="UNO208"/>
      <c r="UNP208"/>
      <c r="UNQ208"/>
      <c r="UNR208"/>
      <c r="UNS208"/>
      <c r="UNT208"/>
      <c r="UNU208"/>
      <c r="UNV208"/>
      <c r="UNW208"/>
      <c r="UNX208"/>
      <c r="UNY208"/>
      <c r="UNZ208"/>
      <c r="UOA208"/>
      <c r="UOB208"/>
      <c r="UOC208"/>
      <c r="UOD208"/>
      <c r="UOE208"/>
      <c r="UOF208"/>
      <c r="UOG208"/>
      <c r="UOH208"/>
      <c r="UOI208"/>
      <c r="UOJ208"/>
      <c r="UOK208"/>
      <c r="UOL208"/>
      <c r="UOM208"/>
      <c r="UON208"/>
      <c r="UOO208"/>
      <c r="UOP208"/>
      <c r="UOQ208"/>
      <c r="UOR208"/>
      <c r="UOS208"/>
      <c r="UOT208"/>
      <c r="UOU208"/>
      <c r="UOV208"/>
      <c r="UOW208"/>
      <c r="UOX208"/>
      <c r="UOY208"/>
      <c r="UOZ208"/>
      <c r="UPA208"/>
      <c r="UPB208"/>
      <c r="UPC208"/>
      <c r="UPD208"/>
      <c r="UPE208"/>
      <c r="UPF208"/>
      <c r="UPG208"/>
      <c r="UPH208"/>
      <c r="UPI208"/>
      <c r="UPJ208"/>
      <c r="UPK208"/>
      <c r="UPL208"/>
      <c r="UPM208"/>
      <c r="UPN208"/>
      <c r="UPO208"/>
      <c r="UPP208"/>
      <c r="UPQ208"/>
      <c r="UPR208"/>
      <c r="UPS208"/>
      <c r="UPT208"/>
      <c r="UPU208"/>
      <c r="UPV208"/>
      <c r="UPW208"/>
      <c r="UPX208"/>
      <c r="UPY208"/>
      <c r="UPZ208"/>
      <c r="UQA208"/>
      <c r="UQB208"/>
      <c r="UQC208"/>
      <c r="UQD208"/>
      <c r="UQE208"/>
      <c r="UQF208"/>
      <c r="UQG208"/>
      <c r="UQH208"/>
      <c r="UQI208"/>
      <c r="UQJ208"/>
      <c r="UQK208"/>
      <c r="UQL208"/>
      <c r="UQM208"/>
      <c r="UQN208"/>
      <c r="UQO208"/>
      <c r="UQP208"/>
      <c r="UQQ208"/>
      <c r="UQR208"/>
      <c r="UQS208"/>
      <c r="UQT208"/>
      <c r="UQU208"/>
      <c r="UQV208"/>
      <c r="UQW208"/>
      <c r="UQX208"/>
      <c r="UQY208"/>
      <c r="UQZ208"/>
      <c r="URA208"/>
      <c r="URB208"/>
      <c r="URC208"/>
      <c r="URD208"/>
      <c r="URE208"/>
      <c r="URF208"/>
      <c r="URG208"/>
      <c r="URH208"/>
      <c r="URI208"/>
      <c r="URJ208"/>
      <c r="URK208"/>
      <c r="URL208"/>
      <c r="URM208"/>
      <c r="URN208"/>
      <c r="URO208"/>
      <c r="URP208"/>
      <c r="URQ208"/>
      <c r="URR208"/>
      <c r="URS208"/>
      <c r="URT208"/>
      <c r="URU208"/>
      <c r="URV208"/>
      <c r="URW208"/>
      <c r="URX208"/>
      <c r="URY208"/>
      <c r="URZ208"/>
      <c r="USA208"/>
      <c r="USB208"/>
      <c r="USC208"/>
      <c r="USD208"/>
      <c r="USE208"/>
      <c r="USF208"/>
      <c r="USG208"/>
      <c r="USH208"/>
      <c r="USI208"/>
      <c r="USJ208"/>
      <c r="USK208"/>
      <c r="USL208"/>
      <c r="USM208"/>
      <c r="USN208"/>
      <c r="USO208"/>
      <c r="USP208"/>
      <c r="USQ208"/>
      <c r="USR208"/>
      <c r="USS208"/>
      <c r="UST208"/>
      <c r="USU208"/>
      <c r="USV208"/>
      <c r="USW208"/>
      <c r="USX208"/>
      <c r="USY208"/>
      <c r="USZ208"/>
      <c r="UTA208"/>
      <c r="UTB208"/>
      <c r="UTC208"/>
      <c r="UTD208"/>
      <c r="UTE208"/>
      <c r="UTF208"/>
      <c r="UTG208"/>
      <c r="UTH208"/>
      <c r="UTI208"/>
      <c r="UTJ208"/>
      <c r="UTK208"/>
      <c r="UTL208"/>
      <c r="UTM208"/>
      <c r="UTN208"/>
      <c r="UTO208"/>
      <c r="UTP208"/>
      <c r="UTQ208"/>
      <c r="UTR208"/>
      <c r="UTS208"/>
      <c r="UTT208"/>
      <c r="UTU208"/>
      <c r="UTV208"/>
      <c r="UTW208"/>
      <c r="UTX208"/>
      <c r="UTY208"/>
      <c r="UTZ208"/>
      <c r="UUA208"/>
      <c r="UUB208"/>
      <c r="UUC208"/>
      <c r="UUD208"/>
      <c r="UUE208"/>
      <c r="UUF208"/>
      <c r="UUG208"/>
      <c r="UUH208"/>
      <c r="UUI208"/>
      <c r="UUJ208"/>
      <c r="UUK208"/>
      <c r="UUL208"/>
      <c r="UUM208"/>
      <c r="UUN208"/>
      <c r="UUO208"/>
      <c r="UUP208"/>
      <c r="UUQ208"/>
      <c r="UUR208"/>
      <c r="UUS208"/>
      <c r="UUT208"/>
      <c r="UUU208"/>
      <c r="UUV208"/>
      <c r="UUW208"/>
      <c r="UUX208"/>
      <c r="UUY208"/>
      <c r="UUZ208"/>
      <c r="UVA208"/>
      <c r="UVB208"/>
      <c r="UVC208"/>
      <c r="UVD208"/>
      <c r="UVE208"/>
      <c r="UVF208"/>
      <c r="UVG208"/>
      <c r="UVH208"/>
      <c r="UVI208"/>
      <c r="UVJ208"/>
      <c r="UVK208"/>
      <c r="UVL208"/>
      <c r="UVM208"/>
      <c r="UVN208"/>
      <c r="UVO208"/>
      <c r="UVP208"/>
      <c r="UVQ208"/>
      <c r="UVR208"/>
      <c r="UVS208"/>
      <c r="UVT208"/>
      <c r="UVU208"/>
      <c r="UVV208"/>
      <c r="UVW208"/>
      <c r="UVX208"/>
      <c r="UVY208"/>
      <c r="UVZ208"/>
      <c r="UWA208"/>
      <c r="UWB208"/>
      <c r="UWC208"/>
      <c r="UWD208"/>
      <c r="UWE208"/>
      <c r="UWF208"/>
      <c r="UWG208"/>
      <c r="UWH208"/>
      <c r="UWI208"/>
      <c r="UWJ208"/>
      <c r="UWK208"/>
      <c r="UWL208"/>
      <c r="UWM208"/>
      <c r="UWN208"/>
      <c r="UWO208"/>
      <c r="UWP208"/>
      <c r="UWQ208"/>
      <c r="UWR208"/>
      <c r="UWS208"/>
      <c r="UWT208"/>
      <c r="UWU208"/>
      <c r="UWV208"/>
      <c r="UWW208"/>
      <c r="UWX208"/>
      <c r="UWY208"/>
      <c r="UWZ208"/>
      <c r="UXA208"/>
      <c r="UXB208"/>
      <c r="UXC208"/>
      <c r="UXD208"/>
      <c r="UXE208"/>
      <c r="UXF208"/>
      <c r="UXG208"/>
      <c r="UXH208"/>
      <c r="UXI208"/>
      <c r="UXJ208"/>
      <c r="UXK208"/>
      <c r="UXL208"/>
      <c r="UXM208"/>
      <c r="UXN208"/>
      <c r="UXO208"/>
      <c r="UXP208"/>
      <c r="UXQ208"/>
      <c r="UXR208"/>
      <c r="UXS208"/>
      <c r="UXT208"/>
      <c r="UXU208"/>
      <c r="UXV208"/>
      <c r="UXW208"/>
      <c r="UXX208"/>
      <c r="UXY208"/>
      <c r="UXZ208"/>
      <c r="UYA208"/>
      <c r="UYB208"/>
      <c r="UYC208"/>
      <c r="UYD208"/>
      <c r="UYE208"/>
      <c r="UYF208"/>
      <c r="UYG208"/>
      <c r="UYH208"/>
      <c r="UYI208"/>
      <c r="UYJ208"/>
      <c r="UYK208"/>
      <c r="UYL208"/>
      <c r="UYM208"/>
      <c r="UYN208"/>
      <c r="UYO208"/>
      <c r="UYP208"/>
      <c r="UYQ208"/>
      <c r="UYR208"/>
      <c r="UYS208"/>
      <c r="UYT208"/>
      <c r="UYU208"/>
      <c r="UYV208"/>
      <c r="UYW208"/>
      <c r="UYX208"/>
      <c r="UYY208"/>
      <c r="UYZ208"/>
      <c r="UZA208"/>
      <c r="UZB208"/>
      <c r="UZC208"/>
      <c r="UZD208"/>
      <c r="UZE208"/>
      <c r="UZF208"/>
      <c r="UZG208"/>
      <c r="UZH208"/>
      <c r="UZI208"/>
      <c r="UZJ208"/>
      <c r="UZK208"/>
      <c r="UZL208"/>
      <c r="UZM208"/>
      <c r="UZN208"/>
      <c r="UZO208"/>
      <c r="UZP208"/>
      <c r="UZQ208"/>
      <c r="UZR208"/>
      <c r="UZS208"/>
      <c r="UZT208"/>
      <c r="UZU208"/>
      <c r="UZV208"/>
      <c r="UZW208"/>
      <c r="UZX208"/>
      <c r="UZY208"/>
      <c r="UZZ208"/>
      <c r="VAA208"/>
      <c r="VAB208"/>
      <c r="VAC208"/>
      <c r="VAD208"/>
      <c r="VAE208"/>
      <c r="VAF208"/>
      <c r="VAG208"/>
      <c r="VAH208"/>
      <c r="VAI208"/>
      <c r="VAJ208"/>
      <c r="VAK208"/>
      <c r="VAL208"/>
      <c r="VAM208"/>
      <c r="VAN208"/>
      <c r="VAO208"/>
      <c r="VAP208"/>
      <c r="VAQ208"/>
      <c r="VAR208"/>
      <c r="VAS208"/>
      <c r="VAT208"/>
      <c r="VAU208"/>
      <c r="VAV208"/>
      <c r="VAW208"/>
      <c r="VAX208"/>
      <c r="VAY208"/>
      <c r="VAZ208"/>
      <c r="VBA208"/>
      <c r="VBB208"/>
      <c r="VBC208"/>
      <c r="VBD208"/>
      <c r="VBE208"/>
      <c r="VBF208"/>
      <c r="VBG208"/>
      <c r="VBH208"/>
      <c r="VBI208"/>
      <c r="VBJ208"/>
      <c r="VBK208"/>
      <c r="VBL208"/>
      <c r="VBM208"/>
      <c r="VBN208"/>
      <c r="VBO208"/>
      <c r="VBP208"/>
      <c r="VBQ208"/>
      <c r="VBR208"/>
      <c r="VBS208"/>
      <c r="VBT208"/>
      <c r="VBU208"/>
      <c r="VBV208"/>
      <c r="VBW208"/>
      <c r="VBX208"/>
      <c r="VBY208"/>
      <c r="VBZ208"/>
      <c r="VCA208"/>
      <c r="VCB208"/>
      <c r="VCC208"/>
      <c r="VCD208"/>
      <c r="VCE208"/>
      <c r="VCF208"/>
      <c r="VCG208"/>
      <c r="VCH208"/>
      <c r="VCI208"/>
      <c r="VCJ208"/>
      <c r="VCK208"/>
      <c r="VCL208"/>
      <c r="VCM208"/>
      <c r="VCN208"/>
      <c r="VCO208"/>
      <c r="VCP208"/>
      <c r="VCQ208"/>
      <c r="VCR208"/>
      <c r="VCS208"/>
      <c r="VCT208"/>
      <c r="VCU208"/>
      <c r="VCV208"/>
      <c r="VCW208"/>
      <c r="VCX208"/>
      <c r="VCY208"/>
      <c r="VCZ208"/>
      <c r="VDA208"/>
      <c r="VDB208"/>
      <c r="VDC208"/>
      <c r="VDD208"/>
      <c r="VDE208"/>
      <c r="VDF208"/>
      <c r="VDG208"/>
      <c r="VDH208"/>
      <c r="VDI208"/>
      <c r="VDJ208"/>
      <c r="VDK208"/>
      <c r="VDL208"/>
      <c r="VDM208"/>
      <c r="VDN208"/>
      <c r="VDO208"/>
      <c r="VDP208"/>
      <c r="VDQ208"/>
      <c r="VDR208"/>
      <c r="VDS208"/>
      <c r="VDT208"/>
      <c r="VDU208"/>
      <c r="VDV208"/>
      <c r="VDW208"/>
      <c r="VDX208"/>
      <c r="VDY208"/>
      <c r="VDZ208"/>
      <c r="VEA208"/>
      <c r="VEB208"/>
      <c r="VEC208"/>
      <c r="VED208"/>
      <c r="VEE208"/>
      <c r="VEF208"/>
      <c r="VEG208"/>
      <c r="VEH208"/>
      <c r="VEI208"/>
      <c r="VEJ208"/>
      <c r="VEK208"/>
      <c r="VEL208"/>
      <c r="VEM208"/>
      <c r="VEN208"/>
      <c r="VEO208"/>
      <c r="VEP208"/>
      <c r="VEQ208"/>
      <c r="VER208"/>
      <c r="VES208"/>
      <c r="VET208"/>
      <c r="VEU208"/>
      <c r="VEV208"/>
      <c r="VEW208"/>
      <c r="VEX208"/>
      <c r="VEY208"/>
      <c r="VEZ208"/>
      <c r="VFA208"/>
      <c r="VFB208"/>
      <c r="VFC208"/>
      <c r="VFD208"/>
      <c r="VFE208"/>
      <c r="VFF208"/>
      <c r="VFG208"/>
      <c r="VFH208"/>
      <c r="VFI208"/>
      <c r="VFJ208"/>
      <c r="VFK208"/>
      <c r="VFL208"/>
      <c r="VFM208"/>
      <c r="VFN208"/>
      <c r="VFO208"/>
      <c r="VFP208"/>
      <c r="VFQ208"/>
      <c r="VFR208"/>
      <c r="VFS208"/>
      <c r="VFT208"/>
      <c r="VFU208"/>
      <c r="VFV208"/>
      <c r="VFW208"/>
      <c r="VFX208"/>
      <c r="VFY208"/>
      <c r="VFZ208"/>
      <c r="VGA208"/>
      <c r="VGB208"/>
      <c r="VGC208"/>
      <c r="VGD208"/>
      <c r="VGE208"/>
      <c r="VGF208"/>
      <c r="VGG208"/>
      <c r="VGH208"/>
      <c r="VGI208"/>
      <c r="VGJ208"/>
      <c r="VGK208"/>
      <c r="VGL208"/>
      <c r="VGM208"/>
      <c r="VGN208"/>
      <c r="VGO208"/>
      <c r="VGP208"/>
      <c r="VGQ208"/>
      <c r="VGR208"/>
      <c r="VGS208"/>
      <c r="VGT208"/>
      <c r="VGU208"/>
      <c r="VGV208"/>
      <c r="VGW208"/>
      <c r="VGX208"/>
      <c r="VGY208"/>
      <c r="VGZ208"/>
      <c r="VHA208"/>
      <c r="VHB208"/>
      <c r="VHC208"/>
      <c r="VHD208"/>
      <c r="VHE208"/>
      <c r="VHF208"/>
      <c r="VHG208"/>
      <c r="VHH208"/>
      <c r="VHI208"/>
      <c r="VHJ208"/>
      <c r="VHK208"/>
      <c r="VHL208"/>
      <c r="VHM208"/>
      <c r="VHN208"/>
      <c r="VHO208"/>
      <c r="VHP208"/>
      <c r="VHQ208"/>
      <c r="VHR208"/>
      <c r="VHS208"/>
      <c r="VHT208"/>
      <c r="VHU208"/>
      <c r="VHV208"/>
      <c r="VHW208"/>
      <c r="VHX208"/>
      <c r="VHY208"/>
      <c r="VHZ208"/>
      <c r="VIA208"/>
      <c r="VIB208"/>
      <c r="VIC208"/>
      <c r="VID208"/>
      <c r="VIE208"/>
      <c r="VIF208"/>
      <c r="VIG208"/>
      <c r="VIH208"/>
      <c r="VII208"/>
      <c r="VIJ208"/>
      <c r="VIK208"/>
      <c r="VIL208"/>
      <c r="VIM208"/>
      <c r="VIN208"/>
      <c r="VIO208"/>
      <c r="VIP208"/>
      <c r="VIQ208"/>
      <c r="VIR208"/>
      <c r="VIS208"/>
      <c r="VIT208"/>
      <c r="VIU208"/>
      <c r="VIV208"/>
      <c r="VIW208"/>
      <c r="VIX208"/>
      <c r="VIY208"/>
      <c r="VIZ208"/>
      <c r="VJA208"/>
      <c r="VJB208"/>
      <c r="VJC208"/>
      <c r="VJD208"/>
      <c r="VJE208"/>
      <c r="VJF208"/>
      <c r="VJG208"/>
      <c r="VJH208"/>
      <c r="VJI208"/>
      <c r="VJJ208"/>
      <c r="VJK208"/>
      <c r="VJL208"/>
      <c r="VJM208"/>
      <c r="VJN208"/>
      <c r="VJO208"/>
      <c r="VJP208"/>
      <c r="VJQ208"/>
      <c r="VJR208"/>
      <c r="VJS208"/>
      <c r="VJT208"/>
      <c r="VJU208"/>
      <c r="VJV208"/>
      <c r="VJW208"/>
      <c r="VJX208"/>
      <c r="VJY208"/>
      <c r="VJZ208"/>
      <c r="VKA208"/>
      <c r="VKB208"/>
      <c r="VKC208"/>
      <c r="VKD208"/>
      <c r="VKE208"/>
      <c r="VKF208"/>
      <c r="VKG208"/>
      <c r="VKH208"/>
      <c r="VKI208"/>
      <c r="VKJ208"/>
      <c r="VKK208"/>
      <c r="VKL208"/>
      <c r="VKM208"/>
      <c r="VKN208"/>
      <c r="VKO208"/>
      <c r="VKP208"/>
      <c r="VKQ208"/>
      <c r="VKR208"/>
      <c r="VKS208"/>
      <c r="VKT208"/>
      <c r="VKU208"/>
      <c r="VKV208"/>
      <c r="VKW208"/>
      <c r="VKX208"/>
      <c r="VKY208"/>
      <c r="VKZ208"/>
      <c r="VLA208"/>
      <c r="VLB208"/>
      <c r="VLC208"/>
      <c r="VLD208"/>
      <c r="VLE208"/>
      <c r="VLF208"/>
      <c r="VLG208"/>
      <c r="VLH208"/>
      <c r="VLI208"/>
      <c r="VLJ208"/>
      <c r="VLK208"/>
      <c r="VLL208"/>
      <c r="VLM208"/>
      <c r="VLN208"/>
      <c r="VLO208"/>
      <c r="VLP208"/>
      <c r="VLQ208"/>
      <c r="VLR208"/>
      <c r="VLS208"/>
      <c r="VLT208"/>
      <c r="VLU208"/>
      <c r="VLV208"/>
      <c r="VLW208"/>
      <c r="VLX208"/>
      <c r="VLY208"/>
      <c r="VLZ208"/>
      <c r="VMA208"/>
      <c r="VMB208"/>
      <c r="VMC208"/>
      <c r="VMD208"/>
      <c r="VME208"/>
      <c r="VMF208"/>
      <c r="VMG208"/>
      <c r="VMH208"/>
      <c r="VMI208"/>
      <c r="VMJ208"/>
      <c r="VMK208"/>
      <c r="VML208"/>
      <c r="VMM208"/>
      <c r="VMN208"/>
      <c r="VMO208"/>
      <c r="VMP208"/>
      <c r="VMQ208"/>
      <c r="VMR208"/>
      <c r="VMS208"/>
      <c r="VMT208"/>
      <c r="VMU208"/>
      <c r="VMV208"/>
      <c r="VMW208"/>
      <c r="VMX208"/>
      <c r="VMY208"/>
      <c r="VMZ208"/>
      <c r="VNA208"/>
      <c r="VNB208"/>
      <c r="VNC208"/>
      <c r="VND208"/>
      <c r="VNE208"/>
      <c r="VNF208"/>
      <c r="VNG208"/>
      <c r="VNH208"/>
      <c r="VNI208"/>
      <c r="VNJ208"/>
      <c r="VNK208"/>
      <c r="VNL208"/>
      <c r="VNM208"/>
      <c r="VNN208"/>
      <c r="VNO208"/>
      <c r="VNP208"/>
      <c r="VNQ208"/>
      <c r="VNR208"/>
      <c r="VNS208"/>
      <c r="VNT208"/>
      <c r="VNU208"/>
      <c r="VNV208"/>
      <c r="VNW208"/>
      <c r="VNX208"/>
      <c r="VNY208"/>
      <c r="VNZ208"/>
      <c r="VOA208"/>
      <c r="VOB208"/>
      <c r="VOC208"/>
      <c r="VOD208"/>
      <c r="VOE208"/>
      <c r="VOF208"/>
      <c r="VOG208"/>
      <c r="VOH208"/>
      <c r="VOI208"/>
      <c r="VOJ208"/>
      <c r="VOK208"/>
      <c r="VOL208"/>
      <c r="VOM208"/>
      <c r="VON208"/>
      <c r="VOO208"/>
      <c r="VOP208"/>
      <c r="VOQ208"/>
      <c r="VOR208"/>
      <c r="VOS208"/>
      <c r="VOT208"/>
      <c r="VOU208"/>
      <c r="VOV208"/>
      <c r="VOW208"/>
      <c r="VOX208"/>
      <c r="VOY208"/>
      <c r="VOZ208"/>
      <c r="VPA208"/>
      <c r="VPB208"/>
      <c r="VPC208"/>
      <c r="VPD208"/>
      <c r="VPE208"/>
      <c r="VPF208"/>
      <c r="VPG208"/>
      <c r="VPH208"/>
      <c r="VPI208"/>
      <c r="VPJ208"/>
      <c r="VPK208"/>
      <c r="VPL208"/>
      <c r="VPM208"/>
      <c r="VPN208"/>
      <c r="VPO208"/>
      <c r="VPP208"/>
      <c r="VPQ208"/>
      <c r="VPR208"/>
      <c r="VPS208"/>
      <c r="VPT208"/>
      <c r="VPU208"/>
      <c r="VPV208"/>
      <c r="VPW208"/>
      <c r="VPX208"/>
      <c r="VPY208"/>
      <c r="VPZ208"/>
      <c r="VQA208"/>
      <c r="VQB208"/>
      <c r="VQC208"/>
      <c r="VQD208"/>
      <c r="VQE208"/>
      <c r="VQF208"/>
      <c r="VQG208"/>
      <c r="VQH208"/>
      <c r="VQI208"/>
      <c r="VQJ208"/>
      <c r="VQK208"/>
      <c r="VQL208"/>
      <c r="VQM208"/>
      <c r="VQN208"/>
      <c r="VQO208"/>
      <c r="VQP208"/>
      <c r="VQQ208"/>
      <c r="VQR208"/>
      <c r="VQS208"/>
      <c r="VQT208"/>
      <c r="VQU208"/>
      <c r="VQV208"/>
      <c r="VQW208"/>
      <c r="VQX208"/>
      <c r="VQY208"/>
      <c r="VQZ208"/>
      <c r="VRA208"/>
      <c r="VRB208"/>
      <c r="VRC208"/>
      <c r="VRD208"/>
      <c r="VRE208"/>
      <c r="VRF208"/>
      <c r="VRG208"/>
      <c r="VRH208"/>
      <c r="VRI208"/>
      <c r="VRJ208"/>
      <c r="VRK208"/>
      <c r="VRL208"/>
      <c r="VRM208"/>
      <c r="VRN208"/>
      <c r="VRO208"/>
      <c r="VRP208"/>
      <c r="VRQ208"/>
      <c r="VRR208"/>
      <c r="VRS208"/>
      <c r="VRT208"/>
      <c r="VRU208"/>
      <c r="VRV208"/>
      <c r="VRW208"/>
      <c r="VRX208"/>
      <c r="VRY208"/>
      <c r="VRZ208"/>
      <c r="VSA208"/>
      <c r="VSB208"/>
      <c r="VSC208"/>
      <c r="VSD208"/>
      <c r="VSE208"/>
      <c r="VSF208"/>
      <c r="VSG208"/>
      <c r="VSH208"/>
      <c r="VSI208"/>
      <c r="VSJ208"/>
      <c r="VSK208"/>
      <c r="VSL208"/>
      <c r="VSM208"/>
      <c r="VSN208"/>
      <c r="VSO208"/>
      <c r="VSP208"/>
      <c r="VSQ208"/>
      <c r="VSR208"/>
      <c r="VSS208"/>
      <c r="VST208"/>
      <c r="VSU208"/>
      <c r="VSV208"/>
      <c r="VSW208"/>
      <c r="VSX208"/>
      <c r="VSY208"/>
      <c r="VSZ208"/>
      <c r="VTA208"/>
      <c r="VTB208"/>
      <c r="VTC208"/>
      <c r="VTD208"/>
      <c r="VTE208"/>
      <c r="VTF208"/>
      <c r="VTG208"/>
      <c r="VTH208"/>
      <c r="VTI208"/>
      <c r="VTJ208"/>
      <c r="VTK208"/>
      <c r="VTL208"/>
      <c r="VTM208"/>
      <c r="VTN208"/>
      <c r="VTO208"/>
      <c r="VTP208"/>
      <c r="VTQ208"/>
      <c r="VTR208"/>
      <c r="VTS208"/>
      <c r="VTT208"/>
      <c r="VTU208"/>
      <c r="VTV208"/>
      <c r="VTW208"/>
      <c r="VTX208"/>
      <c r="VTY208"/>
      <c r="VTZ208"/>
      <c r="VUA208"/>
      <c r="VUB208"/>
      <c r="VUC208"/>
      <c r="VUD208"/>
      <c r="VUE208"/>
      <c r="VUF208"/>
      <c r="VUG208"/>
      <c r="VUH208"/>
      <c r="VUI208"/>
      <c r="VUJ208"/>
      <c r="VUK208"/>
      <c r="VUL208"/>
      <c r="VUM208"/>
      <c r="VUN208"/>
      <c r="VUO208"/>
      <c r="VUP208"/>
      <c r="VUQ208"/>
      <c r="VUR208"/>
      <c r="VUS208"/>
      <c r="VUT208"/>
      <c r="VUU208"/>
      <c r="VUV208"/>
      <c r="VUW208"/>
      <c r="VUX208"/>
      <c r="VUY208"/>
      <c r="VUZ208"/>
      <c r="VVA208"/>
      <c r="VVB208"/>
      <c r="VVC208"/>
      <c r="VVD208"/>
      <c r="VVE208"/>
      <c r="VVF208"/>
      <c r="VVG208"/>
      <c r="VVH208"/>
      <c r="VVI208"/>
      <c r="VVJ208"/>
      <c r="VVK208"/>
      <c r="VVL208"/>
      <c r="VVM208"/>
      <c r="VVN208"/>
      <c r="VVO208"/>
      <c r="VVP208"/>
      <c r="VVQ208"/>
      <c r="VVR208"/>
      <c r="VVS208"/>
      <c r="VVT208"/>
      <c r="VVU208"/>
      <c r="VVV208"/>
      <c r="VVW208"/>
      <c r="VVX208"/>
      <c r="VVY208"/>
      <c r="VVZ208"/>
      <c r="VWA208"/>
      <c r="VWB208"/>
      <c r="VWC208"/>
      <c r="VWD208"/>
      <c r="VWE208"/>
      <c r="VWF208"/>
      <c r="VWG208"/>
      <c r="VWH208"/>
      <c r="VWI208"/>
      <c r="VWJ208"/>
      <c r="VWK208"/>
      <c r="VWL208"/>
      <c r="VWM208"/>
      <c r="VWN208"/>
      <c r="VWO208"/>
      <c r="VWP208"/>
      <c r="VWQ208"/>
      <c r="VWR208"/>
      <c r="VWS208"/>
      <c r="VWT208"/>
      <c r="VWU208"/>
      <c r="VWV208"/>
      <c r="VWW208"/>
      <c r="VWX208"/>
      <c r="VWY208"/>
      <c r="VWZ208"/>
      <c r="VXA208"/>
      <c r="VXB208"/>
      <c r="VXC208"/>
      <c r="VXD208"/>
      <c r="VXE208"/>
      <c r="VXF208"/>
      <c r="VXG208"/>
      <c r="VXH208"/>
      <c r="VXI208"/>
      <c r="VXJ208"/>
      <c r="VXK208"/>
      <c r="VXL208"/>
      <c r="VXM208"/>
      <c r="VXN208"/>
      <c r="VXO208"/>
      <c r="VXP208"/>
      <c r="VXQ208"/>
      <c r="VXR208"/>
      <c r="VXS208"/>
      <c r="VXT208"/>
      <c r="VXU208"/>
      <c r="VXV208"/>
      <c r="VXW208"/>
      <c r="VXX208"/>
      <c r="VXY208"/>
      <c r="VXZ208"/>
      <c r="VYA208"/>
      <c r="VYB208"/>
      <c r="VYC208"/>
      <c r="VYD208"/>
      <c r="VYE208"/>
      <c r="VYF208"/>
      <c r="VYG208"/>
      <c r="VYH208"/>
      <c r="VYI208"/>
      <c r="VYJ208"/>
      <c r="VYK208"/>
      <c r="VYL208"/>
      <c r="VYM208"/>
      <c r="VYN208"/>
      <c r="VYO208"/>
      <c r="VYP208"/>
      <c r="VYQ208"/>
      <c r="VYR208"/>
      <c r="VYS208"/>
      <c r="VYT208"/>
      <c r="VYU208"/>
      <c r="VYV208"/>
      <c r="VYW208"/>
      <c r="VYX208"/>
      <c r="VYY208"/>
      <c r="VYZ208"/>
      <c r="VZA208"/>
      <c r="VZB208"/>
      <c r="VZC208"/>
      <c r="VZD208"/>
      <c r="VZE208"/>
      <c r="VZF208"/>
      <c r="VZG208"/>
      <c r="VZH208"/>
      <c r="VZI208"/>
      <c r="VZJ208"/>
      <c r="VZK208"/>
      <c r="VZL208"/>
      <c r="VZM208"/>
      <c r="VZN208"/>
      <c r="VZO208"/>
      <c r="VZP208"/>
      <c r="VZQ208"/>
      <c r="VZR208"/>
      <c r="VZS208"/>
      <c r="VZT208"/>
      <c r="VZU208"/>
      <c r="VZV208"/>
      <c r="VZW208"/>
      <c r="VZX208"/>
      <c r="VZY208"/>
      <c r="VZZ208"/>
      <c r="WAA208"/>
      <c r="WAB208"/>
      <c r="WAC208"/>
      <c r="WAD208"/>
      <c r="WAE208"/>
      <c r="WAF208"/>
      <c r="WAG208"/>
      <c r="WAH208"/>
      <c r="WAI208"/>
      <c r="WAJ208"/>
      <c r="WAK208"/>
      <c r="WAL208"/>
      <c r="WAM208"/>
      <c r="WAN208"/>
      <c r="WAO208"/>
      <c r="WAP208"/>
      <c r="WAQ208"/>
      <c r="WAR208"/>
      <c r="WAS208"/>
      <c r="WAT208"/>
      <c r="WAU208"/>
      <c r="WAV208"/>
      <c r="WAW208"/>
      <c r="WAX208"/>
      <c r="WAY208"/>
      <c r="WAZ208"/>
      <c r="WBA208"/>
      <c r="WBB208"/>
      <c r="WBC208"/>
      <c r="WBD208"/>
      <c r="WBE208"/>
      <c r="WBF208"/>
      <c r="WBG208"/>
      <c r="WBH208"/>
      <c r="WBI208"/>
      <c r="WBJ208"/>
      <c r="WBK208"/>
      <c r="WBL208"/>
      <c r="WBM208"/>
      <c r="WBN208"/>
      <c r="WBO208"/>
      <c r="WBP208"/>
      <c r="WBQ208"/>
      <c r="WBR208"/>
      <c r="WBS208"/>
      <c r="WBT208"/>
      <c r="WBU208"/>
      <c r="WBV208"/>
      <c r="WBW208"/>
      <c r="WBX208"/>
      <c r="WBY208"/>
      <c r="WBZ208"/>
      <c r="WCA208"/>
      <c r="WCB208"/>
      <c r="WCC208"/>
      <c r="WCD208"/>
      <c r="WCE208"/>
      <c r="WCF208"/>
      <c r="WCG208"/>
      <c r="WCH208"/>
      <c r="WCI208"/>
      <c r="WCJ208"/>
      <c r="WCK208"/>
      <c r="WCL208"/>
      <c r="WCM208"/>
      <c r="WCN208"/>
      <c r="WCO208"/>
      <c r="WCP208"/>
      <c r="WCQ208"/>
      <c r="WCR208"/>
      <c r="WCS208"/>
      <c r="WCT208"/>
      <c r="WCU208"/>
      <c r="WCV208"/>
      <c r="WCW208"/>
      <c r="WCX208"/>
      <c r="WCY208"/>
      <c r="WCZ208"/>
      <c r="WDA208"/>
      <c r="WDB208"/>
      <c r="WDC208"/>
      <c r="WDD208"/>
      <c r="WDE208"/>
      <c r="WDF208"/>
      <c r="WDG208"/>
      <c r="WDH208"/>
      <c r="WDI208"/>
      <c r="WDJ208"/>
      <c r="WDK208"/>
      <c r="WDL208"/>
      <c r="WDM208"/>
      <c r="WDN208"/>
      <c r="WDO208"/>
      <c r="WDP208"/>
      <c r="WDQ208"/>
      <c r="WDR208"/>
      <c r="WDS208"/>
      <c r="WDT208"/>
      <c r="WDU208"/>
      <c r="WDV208"/>
      <c r="WDW208"/>
      <c r="WDX208"/>
      <c r="WDY208"/>
      <c r="WDZ208"/>
      <c r="WEA208"/>
      <c r="WEB208"/>
      <c r="WEC208"/>
      <c r="WED208"/>
      <c r="WEE208"/>
      <c r="WEF208"/>
      <c r="WEG208"/>
      <c r="WEH208"/>
      <c r="WEI208"/>
      <c r="WEJ208"/>
      <c r="WEK208"/>
      <c r="WEL208"/>
      <c r="WEM208"/>
      <c r="WEN208"/>
      <c r="WEO208"/>
      <c r="WEP208"/>
      <c r="WEQ208"/>
      <c r="WER208"/>
      <c r="WES208"/>
      <c r="WET208"/>
      <c r="WEU208"/>
      <c r="WEV208"/>
      <c r="WEW208"/>
      <c r="WEX208"/>
      <c r="WEY208"/>
      <c r="WEZ208"/>
      <c r="WFA208"/>
      <c r="WFB208"/>
      <c r="WFC208"/>
      <c r="WFD208"/>
      <c r="WFE208"/>
      <c r="WFF208"/>
      <c r="WFG208"/>
      <c r="WFH208"/>
      <c r="WFI208"/>
      <c r="WFJ208"/>
      <c r="WFK208"/>
      <c r="WFL208"/>
      <c r="WFM208"/>
      <c r="WFN208"/>
      <c r="WFO208"/>
      <c r="WFP208"/>
      <c r="WFQ208"/>
      <c r="WFR208"/>
      <c r="WFS208"/>
      <c r="WFT208"/>
      <c r="WFU208"/>
      <c r="WFV208"/>
      <c r="WFW208"/>
      <c r="WFX208"/>
      <c r="WFY208"/>
      <c r="WFZ208"/>
      <c r="WGA208"/>
      <c r="WGB208"/>
      <c r="WGC208"/>
      <c r="WGD208"/>
      <c r="WGE208"/>
      <c r="WGF208"/>
      <c r="WGG208"/>
      <c r="WGH208"/>
      <c r="WGI208"/>
      <c r="WGJ208"/>
      <c r="WGK208"/>
      <c r="WGL208"/>
      <c r="WGM208"/>
      <c r="WGN208"/>
      <c r="WGO208"/>
      <c r="WGP208"/>
      <c r="WGQ208"/>
      <c r="WGR208"/>
      <c r="WGS208"/>
      <c r="WGT208"/>
      <c r="WGU208"/>
      <c r="WGV208"/>
      <c r="WGW208"/>
      <c r="WGX208"/>
      <c r="WGY208"/>
      <c r="WGZ208"/>
      <c r="WHA208"/>
      <c r="WHB208"/>
      <c r="WHC208"/>
      <c r="WHD208"/>
      <c r="WHE208"/>
      <c r="WHF208"/>
      <c r="WHG208"/>
      <c r="WHH208"/>
      <c r="WHI208"/>
      <c r="WHJ208"/>
      <c r="WHK208"/>
      <c r="WHL208"/>
      <c r="WHM208"/>
      <c r="WHN208"/>
      <c r="WHO208"/>
      <c r="WHP208"/>
      <c r="WHQ208"/>
      <c r="WHR208"/>
      <c r="WHS208"/>
      <c r="WHT208"/>
      <c r="WHU208"/>
      <c r="WHV208"/>
      <c r="WHW208"/>
      <c r="WHX208"/>
      <c r="WHY208"/>
      <c r="WHZ208"/>
      <c r="WIA208"/>
      <c r="WIB208"/>
      <c r="WIC208"/>
      <c r="WID208"/>
      <c r="WIE208"/>
      <c r="WIF208"/>
      <c r="WIG208"/>
      <c r="WIH208"/>
      <c r="WII208"/>
      <c r="WIJ208"/>
      <c r="WIK208"/>
      <c r="WIL208"/>
      <c r="WIM208"/>
      <c r="WIN208"/>
      <c r="WIO208"/>
      <c r="WIP208"/>
      <c r="WIQ208"/>
      <c r="WIR208"/>
      <c r="WIS208"/>
      <c r="WIT208"/>
      <c r="WIU208"/>
      <c r="WIV208"/>
      <c r="WIW208"/>
      <c r="WIX208"/>
      <c r="WIY208"/>
      <c r="WIZ208"/>
      <c r="WJA208"/>
      <c r="WJB208"/>
      <c r="WJC208"/>
      <c r="WJD208"/>
      <c r="WJE208"/>
      <c r="WJF208"/>
      <c r="WJG208"/>
      <c r="WJH208"/>
      <c r="WJI208"/>
      <c r="WJJ208"/>
      <c r="WJK208"/>
      <c r="WJL208"/>
      <c r="WJM208"/>
      <c r="WJN208"/>
      <c r="WJO208"/>
      <c r="WJP208"/>
      <c r="WJQ208"/>
      <c r="WJR208"/>
      <c r="WJS208"/>
      <c r="WJT208"/>
      <c r="WJU208"/>
      <c r="WJV208"/>
      <c r="WJW208"/>
      <c r="WJX208"/>
      <c r="WJY208"/>
      <c r="WJZ208"/>
      <c r="WKA208"/>
      <c r="WKB208"/>
      <c r="WKC208"/>
      <c r="WKD208"/>
      <c r="WKE208"/>
      <c r="WKF208"/>
      <c r="WKG208"/>
      <c r="WKH208"/>
      <c r="WKI208"/>
      <c r="WKJ208"/>
      <c r="WKK208"/>
      <c r="WKL208"/>
      <c r="WKM208"/>
      <c r="WKN208"/>
      <c r="WKO208"/>
      <c r="WKP208"/>
      <c r="WKQ208"/>
      <c r="WKR208"/>
      <c r="WKS208"/>
      <c r="WKT208"/>
      <c r="WKU208"/>
      <c r="WKV208"/>
      <c r="WKW208"/>
      <c r="WKX208"/>
      <c r="WKY208"/>
      <c r="WKZ208"/>
      <c r="WLA208"/>
      <c r="WLB208"/>
      <c r="WLC208"/>
      <c r="WLD208"/>
      <c r="WLE208"/>
      <c r="WLF208"/>
      <c r="WLG208"/>
      <c r="WLH208"/>
      <c r="WLI208"/>
      <c r="WLJ208"/>
      <c r="WLK208"/>
      <c r="WLL208"/>
      <c r="WLM208"/>
      <c r="WLN208"/>
      <c r="WLO208"/>
      <c r="WLP208"/>
      <c r="WLQ208"/>
      <c r="WLR208"/>
      <c r="WLS208"/>
      <c r="WLT208"/>
      <c r="WLU208"/>
      <c r="WLV208"/>
      <c r="WLW208"/>
      <c r="WLX208"/>
      <c r="WLY208"/>
      <c r="WLZ208"/>
      <c r="WMA208"/>
      <c r="WMB208"/>
      <c r="WMC208"/>
      <c r="WMD208"/>
      <c r="WME208"/>
      <c r="WMF208"/>
      <c r="WMG208"/>
      <c r="WMH208"/>
      <c r="WMI208"/>
      <c r="WMJ208"/>
      <c r="WMK208"/>
      <c r="WML208"/>
      <c r="WMM208"/>
      <c r="WMN208"/>
      <c r="WMO208"/>
      <c r="WMP208"/>
      <c r="WMQ208"/>
      <c r="WMR208"/>
      <c r="WMS208"/>
      <c r="WMT208"/>
      <c r="WMU208"/>
      <c r="WMV208"/>
      <c r="WMW208"/>
      <c r="WMX208"/>
      <c r="WMY208"/>
      <c r="WMZ208"/>
      <c r="WNA208"/>
      <c r="WNB208"/>
      <c r="WNC208"/>
      <c r="WND208"/>
      <c r="WNE208"/>
      <c r="WNF208"/>
      <c r="WNG208"/>
      <c r="WNH208"/>
      <c r="WNI208"/>
      <c r="WNJ208"/>
      <c r="WNK208"/>
      <c r="WNL208"/>
      <c r="WNM208"/>
      <c r="WNN208"/>
      <c r="WNO208"/>
      <c r="WNP208"/>
      <c r="WNQ208"/>
      <c r="WNR208"/>
      <c r="WNS208"/>
      <c r="WNT208"/>
      <c r="WNU208"/>
      <c r="WNV208"/>
      <c r="WNW208"/>
      <c r="WNX208"/>
      <c r="WNY208"/>
      <c r="WNZ208"/>
      <c r="WOA208"/>
      <c r="WOB208"/>
      <c r="WOC208"/>
      <c r="WOD208"/>
      <c r="WOE208"/>
      <c r="WOF208"/>
      <c r="WOG208"/>
      <c r="WOH208"/>
      <c r="WOI208"/>
      <c r="WOJ208"/>
      <c r="WOK208"/>
      <c r="WOL208"/>
      <c r="WOM208"/>
      <c r="WON208"/>
      <c r="WOO208"/>
      <c r="WOP208"/>
      <c r="WOQ208"/>
      <c r="WOR208"/>
      <c r="WOS208"/>
      <c r="WOT208"/>
      <c r="WOU208"/>
      <c r="WOV208"/>
      <c r="WOW208"/>
      <c r="WOX208"/>
      <c r="WOY208"/>
      <c r="WOZ208"/>
      <c r="WPA208"/>
      <c r="WPB208"/>
      <c r="WPC208"/>
      <c r="WPD208"/>
      <c r="WPE208"/>
      <c r="WPF208"/>
      <c r="WPG208"/>
      <c r="WPH208"/>
      <c r="WPI208"/>
      <c r="WPJ208"/>
      <c r="WPK208"/>
      <c r="WPL208"/>
      <c r="WPM208"/>
      <c r="WPN208"/>
      <c r="WPO208"/>
      <c r="WPP208"/>
      <c r="WPQ208"/>
      <c r="WPR208"/>
      <c r="WPS208"/>
      <c r="WPT208"/>
      <c r="WPU208"/>
      <c r="WPV208"/>
      <c r="WPW208"/>
      <c r="WPX208"/>
      <c r="WPY208"/>
      <c r="WPZ208"/>
      <c r="WQA208"/>
      <c r="WQB208"/>
      <c r="WQC208"/>
      <c r="WQD208"/>
      <c r="WQE208"/>
      <c r="WQF208"/>
      <c r="WQG208"/>
      <c r="WQH208"/>
      <c r="WQI208"/>
      <c r="WQJ208"/>
      <c r="WQK208"/>
      <c r="WQL208"/>
      <c r="WQM208"/>
      <c r="WQN208"/>
      <c r="WQO208"/>
      <c r="WQP208"/>
      <c r="WQQ208"/>
      <c r="WQR208"/>
      <c r="WQS208"/>
      <c r="WQT208"/>
      <c r="WQU208"/>
      <c r="WQV208"/>
      <c r="WQW208"/>
      <c r="WQX208"/>
      <c r="WQY208"/>
      <c r="WQZ208"/>
      <c r="WRA208"/>
      <c r="WRB208"/>
      <c r="WRC208"/>
      <c r="WRD208"/>
      <c r="WRE208"/>
      <c r="WRF208"/>
      <c r="WRG208"/>
      <c r="WRH208"/>
      <c r="WRI208"/>
      <c r="WRJ208"/>
      <c r="WRK208"/>
      <c r="WRL208"/>
      <c r="WRM208"/>
      <c r="WRN208"/>
      <c r="WRO208"/>
      <c r="WRP208"/>
      <c r="WRQ208"/>
      <c r="WRR208"/>
      <c r="WRS208"/>
      <c r="WRT208"/>
      <c r="WRU208"/>
      <c r="WRV208"/>
      <c r="WRW208"/>
      <c r="WRX208"/>
      <c r="WRY208"/>
      <c r="WRZ208"/>
      <c r="WSA208"/>
      <c r="WSB208"/>
      <c r="WSC208"/>
      <c r="WSD208"/>
      <c r="WSE208"/>
      <c r="WSF208"/>
      <c r="WSG208"/>
      <c r="WSH208"/>
      <c r="WSI208"/>
      <c r="WSJ208"/>
      <c r="WSK208"/>
      <c r="WSL208"/>
      <c r="WSM208"/>
      <c r="WSN208"/>
      <c r="WSO208"/>
      <c r="WSP208"/>
      <c r="WSQ208"/>
      <c r="WSR208"/>
      <c r="WSS208"/>
      <c r="WST208"/>
      <c r="WSU208"/>
      <c r="WSV208"/>
      <c r="WSW208"/>
      <c r="WSX208"/>
      <c r="WSY208"/>
      <c r="WSZ208"/>
      <c r="WTA208"/>
      <c r="WTB208"/>
      <c r="WTC208"/>
      <c r="WTD208"/>
      <c r="WTE208"/>
      <c r="WTF208"/>
      <c r="WTG208"/>
      <c r="WTH208"/>
      <c r="WTI208"/>
      <c r="WTJ208"/>
      <c r="WTK208"/>
      <c r="WTL208"/>
      <c r="WTM208"/>
      <c r="WTN208"/>
      <c r="WTO208"/>
      <c r="WTP208"/>
      <c r="WTQ208"/>
      <c r="WTR208"/>
      <c r="WTS208"/>
      <c r="WTT208"/>
      <c r="WTU208"/>
      <c r="WTV208"/>
      <c r="WTW208"/>
      <c r="WTX208"/>
      <c r="WTY208"/>
      <c r="WTZ208"/>
      <c r="WUA208"/>
      <c r="WUB208"/>
      <c r="WUC208"/>
      <c r="WUD208"/>
      <c r="WUE208"/>
      <c r="WUF208"/>
      <c r="WUG208"/>
      <c r="WUH208"/>
      <c r="WUI208"/>
      <c r="WUJ208"/>
      <c r="WUK208"/>
      <c r="WUL208"/>
      <c r="WUM208"/>
      <c r="WUN208"/>
      <c r="WUO208"/>
      <c r="WUP208"/>
      <c r="WUQ208"/>
      <c r="WUR208"/>
      <c r="WUS208"/>
      <c r="WUT208"/>
      <c r="WUU208"/>
      <c r="WUV208"/>
      <c r="WUW208"/>
      <c r="WUX208"/>
      <c r="WUY208"/>
      <c r="WUZ208"/>
      <c r="WVA208"/>
      <c r="WVB208"/>
      <c r="WVC208"/>
      <c r="WVD208"/>
      <c r="WVE208"/>
      <c r="WVF208"/>
      <c r="WVG208"/>
      <c r="WVH208"/>
      <c r="WVI208"/>
      <c r="WVJ208"/>
      <c r="WVK208"/>
      <c r="WVL208"/>
      <c r="WVM208"/>
      <c r="WVN208"/>
      <c r="WVO208"/>
      <c r="WVP208"/>
      <c r="WVQ208"/>
      <c r="WVR208"/>
      <c r="WVS208"/>
      <c r="WVT208"/>
      <c r="WVU208"/>
      <c r="WVV208"/>
      <c r="WVW208"/>
      <c r="WVX208"/>
      <c r="WVY208"/>
      <c r="WVZ208"/>
      <c r="WWA208"/>
      <c r="WWB208"/>
      <c r="WWC208"/>
      <c r="WWD208"/>
      <c r="WWE208"/>
      <c r="WWF208"/>
      <c r="WWG208"/>
      <c r="WWH208"/>
      <c r="WWI208"/>
      <c r="WWJ208"/>
      <c r="WWK208"/>
      <c r="WWL208"/>
      <c r="WWM208"/>
      <c r="WWN208"/>
      <c r="WWO208"/>
      <c r="WWP208"/>
      <c r="WWQ208"/>
      <c r="WWR208"/>
      <c r="WWS208"/>
      <c r="WWT208"/>
      <c r="WWU208"/>
      <c r="WWV208"/>
      <c r="WWW208"/>
      <c r="WWX208"/>
      <c r="WWY208"/>
      <c r="WWZ208"/>
      <c r="WXA208"/>
      <c r="WXB208"/>
      <c r="WXC208"/>
      <c r="WXD208"/>
      <c r="WXE208"/>
      <c r="WXF208"/>
      <c r="WXG208"/>
      <c r="WXH208"/>
      <c r="WXI208"/>
      <c r="WXJ208"/>
      <c r="WXK208"/>
      <c r="WXL208"/>
      <c r="WXM208"/>
      <c r="WXN208"/>
      <c r="WXO208"/>
      <c r="WXP208"/>
      <c r="WXQ208"/>
      <c r="WXR208"/>
      <c r="WXS208"/>
      <c r="WXT208"/>
      <c r="WXU208"/>
      <c r="WXV208"/>
      <c r="WXW208"/>
      <c r="WXX208"/>
      <c r="WXY208"/>
      <c r="WXZ208"/>
      <c r="WYA208"/>
      <c r="WYB208"/>
      <c r="WYC208"/>
      <c r="WYD208"/>
      <c r="WYE208"/>
      <c r="WYF208"/>
      <c r="WYG208"/>
      <c r="WYH208"/>
      <c r="WYI208"/>
      <c r="WYJ208"/>
      <c r="WYK208"/>
      <c r="WYL208"/>
      <c r="WYM208"/>
      <c r="WYN208"/>
      <c r="WYO208"/>
      <c r="WYP208"/>
      <c r="WYQ208"/>
      <c r="WYR208"/>
      <c r="WYS208"/>
      <c r="WYT208"/>
      <c r="WYU208"/>
      <c r="WYV208"/>
      <c r="WYW208"/>
      <c r="WYX208"/>
      <c r="WYY208"/>
      <c r="WYZ208"/>
      <c r="WZA208"/>
      <c r="WZB208"/>
      <c r="WZC208"/>
      <c r="WZD208"/>
      <c r="WZE208"/>
      <c r="WZF208"/>
      <c r="WZG208"/>
      <c r="WZH208"/>
      <c r="WZI208"/>
      <c r="WZJ208"/>
      <c r="WZK208"/>
      <c r="WZL208"/>
      <c r="WZM208"/>
      <c r="WZN208"/>
      <c r="WZO208"/>
      <c r="WZP208"/>
      <c r="WZQ208"/>
      <c r="WZR208"/>
      <c r="WZS208"/>
      <c r="WZT208"/>
      <c r="WZU208"/>
      <c r="WZV208"/>
      <c r="WZW208"/>
      <c r="WZX208"/>
      <c r="WZY208"/>
      <c r="WZZ208"/>
      <c r="XAA208"/>
      <c r="XAB208"/>
      <c r="XAC208"/>
      <c r="XAD208"/>
      <c r="XAE208"/>
      <c r="XAF208"/>
      <c r="XAG208"/>
      <c r="XAH208"/>
      <c r="XAI208"/>
      <c r="XAJ208"/>
      <c r="XAK208"/>
      <c r="XAL208"/>
      <c r="XAM208"/>
      <c r="XAN208"/>
      <c r="XAO208"/>
      <c r="XAP208"/>
      <c r="XAQ208"/>
      <c r="XAR208"/>
      <c r="XAS208"/>
      <c r="XAT208"/>
      <c r="XAU208"/>
      <c r="XAV208"/>
      <c r="XAW208"/>
      <c r="XAX208"/>
      <c r="XAY208"/>
      <c r="XAZ208"/>
      <c r="XBA208"/>
      <c r="XBB208"/>
      <c r="XBC208"/>
      <c r="XBD208"/>
      <c r="XBE208"/>
      <c r="XBF208"/>
      <c r="XBG208"/>
      <c r="XBH208"/>
      <c r="XBI208"/>
      <c r="XBJ208"/>
      <c r="XBK208"/>
      <c r="XBL208"/>
      <c r="XBM208"/>
      <c r="XBN208"/>
      <c r="XBO208"/>
      <c r="XBP208"/>
      <c r="XBQ208"/>
      <c r="XBR208"/>
      <c r="XBS208"/>
      <c r="XBT208"/>
      <c r="XBU208"/>
      <c r="XBV208"/>
      <c r="XBW208"/>
      <c r="XBX208"/>
      <c r="XBY208"/>
      <c r="XBZ208"/>
      <c r="XCA208"/>
      <c r="XCB208"/>
      <c r="XCC208"/>
      <c r="XCD208"/>
      <c r="XCE208"/>
      <c r="XCF208"/>
      <c r="XCG208"/>
      <c r="XCH208"/>
      <c r="XCI208"/>
      <c r="XCJ208"/>
      <c r="XCK208"/>
      <c r="XCL208"/>
      <c r="XCM208"/>
      <c r="XCN208"/>
      <c r="XCO208"/>
      <c r="XCP208"/>
      <c r="XCQ208"/>
      <c r="XCR208"/>
      <c r="XCS208"/>
      <c r="XCT208"/>
      <c r="XCU208"/>
      <c r="XCV208"/>
      <c r="XCW208"/>
      <c r="XCX208"/>
      <c r="XCY208"/>
      <c r="XCZ208"/>
      <c r="XDA208"/>
      <c r="XDB208"/>
      <c r="XDC208"/>
      <c r="XDD208"/>
      <c r="XDE208"/>
      <c r="XDF208"/>
      <c r="XDG208"/>
      <c r="XDH208"/>
      <c r="XDI208"/>
      <c r="XDJ208"/>
      <c r="XDK208"/>
      <c r="XDL208"/>
      <c r="XDM208"/>
      <c r="XDN208"/>
      <c r="XDO208"/>
      <c r="XDP208"/>
      <c r="XDQ208"/>
      <c r="XDR208"/>
      <c r="XDS208"/>
      <c r="XDT208"/>
      <c r="XDU208"/>
      <c r="XDV208"/>
      <c r="XDW208"/>
      <c r="XDX208"/>
      <c r="XDY208"/>
      <c r="XDZ208"/>
      <c r="XEA208"/>
      <c r="XEB208"/>
      <c r="XEC208"/>
      <c r="XED208"/>
      <c r="XEE208"/>
      <c r="XEF208"/>
      <c r="XEG208"/>
      <c r="XEH208"/>
      <c r="XEI208"/>
      <c r="XEJ208"/>
      <c r="XEK208"/>
      <c r="XEL208"/>
      <c r="XEM208"/>
      <c r="XEN208"/>
      <c r="XEO208"/>
      <c r="XEP208"/>
      <c r="XEQ208"/>
      <c r="XER208"/>
      <c r="XES208"/>
      <c r="XET208"/>
      <c r="XEU208"/>
    </row>
    <row r="209" spans="2:16375" s="1" customFormat="1" x14ac:dyDescent="0.35">
      <c r="B209"/>
      <c r="C209"/>
      <c r="D209"/>
      <c r="F209" s="2"/>
      <c r="G209"/>
      <c r="H209"/>
      <c r="K209" s="3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  <c r="AMV209"/>
      <c r="AMW209"/>
      <c r="AMX209"/>
      <c r="AMY209"/>
      <c r="AMZ209"/>
      <c r="ANA209"/>
      <c r="ANB209"/>
      <c r="ANC209"/>
      <c r="AND209"/>
      <c r="ANE209"/>
      <c r="ANF209"/>
      <c r="ANG209"/>
      <c r="ANH209"/>
      <c r="ANI209"/>
      <c r="ANJ209"/>
      <c r="ANK209"/>
      <c r="ANL209"/>
      <c r="ANM209"/>
      <c r="ANN209"/>
      <c r="ANO209"/>
      <c r="ANP209"/>
      <c r="ANQ209"/>
      <c r="ANR209"/>
      <c r="ANS209"/>
      <c r="ANT209"/>
      <c r="ANU209"/>
      <c r="ANV209"/>
      <c r="ANW209"/>
      <c r="ANX209"/>
      <c r="ANY209"/>
      <c r="ANZ209"/>
      <c r="AOA209"/>
      <c r="AOB209"/>
      <c r="AOC209"/>
      <c r="AOD209"/>
      <c r="AOE209"/>
      <c r="AOF209"/>
      <c r="AOG209"/>
      <c r="AOH209"/>
      <c r="AOI209"/>
      <c r="AOJ209"/>
      <c r="AOK209"/>
      <c r="AOL209"/>
      <c r="AOM209"/>
      <c r="AON209"/>
      <c r="AOO209"/>
      <c r="AOP209"/>
      <c r="AOQ209"/>
      <c r="AOR209"/>
      <c r="AOS209"/>
      <c r="AOT209"/>
      <c r="AOU209"/>
      <c r="AOV209"/>
      <c r="AOW209"/>
      <c r="AOX209"/>
      <c r="AOY209"/>
      <c r="AOZ209"/>
      <c r="APA209"/>
      <c r="APB209"/>
      <c r="APC209"/>
      <c r="APD209"/>
      <c r="APE209"/>
      <c r="APF209"/>
      <c r="APG209"/>
      <c r="APH209"/>
      <c r="API209"/>
      <c r="APJ209"/>
      <c r="APK209"/>
      <c r="APL209"/>
      <c r="APM209"/>
      <c r="APN209"/>
      <c r="APO209"/>
      <c r="APP209"/>
      <c r="APQ209"/>
      <c r="APR209"/>
      <c r="APS209"/>
      <c r="APT209"/>
      <c r="APU209"/>
      <c r="APV209"/>
      <c r="APW209"/>
      <c r="APX209"/>
      <c r="APY209"/>
      <c r="APZ209"/>
      <c r="AQA209"/>
      <c r="AQB209"/>
      <c r="AQC209"/>
      <c r="AQD209"/>
      <c r="AQE209"/>
      <c r="AQF209"/>
      <c r="AQG209"/>
      <c r="AQH209"/>
      <c r="AQI209"/>
      <c r="AQJ209"/>
      <c r="AQK209"/>
      <c r="AQL209"/>
      <c r="AQM209"/>
      <c r="AQN209"/>
      <c r="AQO209"/>
      <c r="AQP209"/>
      <c r="AQQ209"/>
      <c r="AQR209"/>
      <c r="AQS209"/>
      <c r="AQT209"/>
      <c r="AQU209"/>
      <c r="AQV209"/>
      <c r="AQW209"/>
      <c r="AQX209"/>
      <c r="AQY209"/>
      <c r="AQZ209"/>
      <c r="ARA209"/>
      <c r="ARB209"/>
      <c r="ARC209"/>
      <c r="ARD209"/>
      <c r="ARE209"/>
      <c r="ARF209"/>
      <c r="ARG209"/>
      <c r="ARH209"/>
      <c r="ARI209"/>
      <c r="ARJ209"/>
      <c r="ARK209"/>
      <c r="ARL209"/>
      <c r="ARM209"/>
      <c r="ARN209"/>
      <c r="ARO209"/>
      <c r="ARP209"/>
      <c r="ARQ209"/>
      <c r="ARR209"/>
      <c r="ARS209"/>
      <c r="ART209"/>
      <c r="ARU209"/>
      <c r="ARV209"/>
      <c r="ARW209"/>
      <c r="ARX209"/>
      <c r="ARY209"/>
      <c r="ARZ209"/>
      <c r="ASA209"/>
      <c r="ASB209"/>
      <c r="ASC209"/>
      <c r="ASD209"/>
      <c r="ASE209"/>
      <c r="ASF209"/>
      <c r="ASG209"/>
      <c r="ASH209"/>
      <c r="ASI209"/>
      <c r="ASJ209"/>
      <c r="ASK209"/>
      <c r="ASL209"/>
      <c r="ASM209"/>
      <c r="ASN209"/>
      <c r="ASO209"/>
      <c r="ASP209"/>
      <c r="ASQ209"/>
      <c r="ASR209"/>
      <c r="ASS209"/>
      <c r="AST209"/>
      <c r="ASU209"/>
      <c r="ASV209"/>
      <c r="ASW209"/>
      <c r="ASX209"/>
      <c r="ASY209"/>
      <c r="ASZ209"/>
      <c r="ATA209"/>
      <c r="ATB209"/>
      <c r="ATC209"/>
      <c r="ATD209"/>
      <c r="ATE209"/>
      <c r="ATF209"/>
      <c r="ATG209"/>
      <c r="ATH209"/>
      <c r="ATI209"/>
      <c r="ATJ209"/>
      <c r="ATK209"/>
      <c r="ATL209"/>
      <c r="ATM209"/>
      <c r="ATN209"/>
      <c r="ATO209"/>
      <c r="ATP209"/>
      <c r="ATQ209"/>
      <c r="ATR209"/>
      <c r="ATS209"/>
      <c r="ATT209"/>
      <c r="ATU209"/>
      <c r="ATV209"/>
      <c r="ATW209"/>
      <c r="ATX209"/>
      <c r="ATY209"/>
      <c r="ATZ209"/>
      <c r="AUA209"/>
      <c r="AUB209"/>
      <c r="AUC209"/>
      <c r="AUD209"/>
      <c r="AUE209"/>
      <c r="AUF209"/>
      <c r="AUG209"/>
      <c r="AUH209"/>
      <c r="AUI209"/>
      <c r="AUJ209"/>
      <c r="AUK209"/>
      <c r="AUL209"/>
      <c r="AUM209"/>
      <c r="AUN209"/>
      <c r="AUO209"/>
      <c r="AUP209"/>
      <c r="AUQ209"/>
      <c r="AUR209"/>
      <c r="AUS209"/>
      <c r="AUT209"/>
      <c r="AUU209"/>
      <c r="AUV209"/>
      <c r="AUW209"/>
      <c r="AUX209"/>
      <c r="AUY209"/>
      <c r="AUZ209"/>
      <c r="AVA209"/>
      <c r="AVB209"/>
      <c r="AVC209"/>
      <c r="AVD209"/>
      <c r="AVE209"/>
      <c r="AVF209"/>
      <c r="AVG209"/>
      <c r="AVH209"/>
      <c r="AVI209"/>
      <c r="AVJ209"/>
      <c r="AVK209"/>
      <c r="AVL209"/>
      <c r="AVM209"/>
      <c r="AVN209"/>
      <c r="AVO209"/>
      <c r="AVP209"/>
      <c r="AVQ209"/>
      <c r="AVR209"/>
      <c r="AVS209"/>
      <c r="AVT209"/>
      <c r="AVU209"/>
      <c r="AVV209"/>
      <c r="AVW209"/>
      <c r="AVX209"/>
      <c r="AVY209"/>
      <c r="AVZ209"/>
      <c r="AWA209"/>
      <c r="AWB209"/>
      <c r="AWC209"/>
      <c r="AWD209"/>
      <c r="AWE209"/>
      <c r="AWF209"/>
      <c r="AWG209"/>
      <c r="AWH209"/>
      <c r="AWI209"/>
      <c r="AWJ209"/>
      <c r="AWK209"/>
      <c r="AWL209"/>
      <c r="AWM209"/>
      <c r="AWN209"/>
      <c r="AWO209"/>
      <c r="AWP209"/>
      <c r="AWQ209"/>
      <c r="AWR209"/>
      <c r="AWS209"/>
      <c r="AWT209"/>
      <c r="AWU209"/>
      <c r="AWV209"/>
      <c r="AWW209"/>
      <c r="AWX209"/>
      <c r="AWY209"/>
      <c r="AWZ209"/>
      <c r="AXA209"/>
      <c r="AXB209"/>
      <c r="AXC209"/>
      <c r="AXD209"/>
      <c r="AXE209"/>
      <c r="AXF209"/>
      <c r="AXG209"/>
      <c r="AXH209"/>
      <c r="AXI209"/>
      <c r="AXJ209"/>
      <c r="AXK209"/>
      <c r="AXL209"/>
      <c r="AXM209"/>
      <c r="AXN209"/>
      <c r="AXO209"/>
      <c r="AXP209"/>
      <c r="AXQ209"/>
      <c r="AXR209"/>
      <c r="AXS209"/>
      <c r="AXT209"/>
      <c r="AXU209"/>
      <c r="AXV209"/>
      <c r="AXW209"/>
      <c r="AXX209"/>
      <c r="AXY209"/>
      <c r="AXZ209"/>
      <c r="AYA209"/>
      <c r="AYB209"/>
      <c r="AYC209"/>
      <c r="AYD209"/>
      <c r="AYE209"/>
      <c r="AYF209"/>
      <c r="AYG209"/>
      <c r="AYH209"/>
      <c r="AYI209"/>
      <c r="AYJ209"/>
      <c r="AYK209"/>
      <c r="AYL209"/>
      <c r="AYM209"/>
      <c r="AYN209"/>
      <c r="AYO209"/>
      <c r="AYP209"/>
      <c r="AYQ209"/>
      <c r="AYR209"/>
      <c r="AYS209"/>
      <c r="AYT209"/>
      <c r="AYU209"/>
      <c r="AYV209"/>
      <c r="AYW209"/>
      <c r="AYX209"/>
      <c r="AYY209"/>
      <c r="AYZ209"/>
      <c r="AZA209"/>
      <c r="AZB209"/>
      <c r="AZC209"/>
      <c r="AZD209"/>
      <c r="AZE209"/>
      <c r="AZF209"/>
      <c r="AZG209"/>
      <c r="AZH209"/>
      <c r="AZI209"/>
      <c r="AZJ209"/>
      <c r="AZK209"/>
      <c r="AZL209"/>
      <c r="AZM209"/>
      <c r="AZN209"/>
      <c r="AZO209"/>
      <c r="AZP209"/>
      <c r="AZQ209"/>
      <c r="AZR209"/>
      <c r="AZS209"/>
      <c r="AZT209"/>
      <c r="AZU209"/>
      <c r="AZV209"/>
      <c r="AZW209"/>
      <c r="AZX209"/>
      <c r="AZY209"/>
      <c r="AZZ209"/>
      <c r="BAA209"/>
      <c r="BAB209"/>
      <c r="BAC209"/>
      <c r="BAD209"/>
      <c r="BAE209"/>
      <c r="BAF209"/>
      <c r="BAG209"/>
      <c r="BAH209"/>
      <c r="BAI209"/>
      <c r="BAJ209"/>
      <c r="BAK209"/>
      <c r="BAL209"/>
      <c r="BAM209"/>
      <c r="BAN209"/>
      <c r="BAO209"/>
      <c r="BAP209"/>
      <c r="BAQ209"/>
      <c r="BAR209"/>
      <c r="BAS209"/>
      <c r="BAT209"/>
      <c r="BAU209"/>
      <c r="BAV209"/>
      <c r="BAW209"/>
      <c r="BAX209"/>
      <c r="BAY209"/>
      <c r="BAZ209"/>
      <c r="BBA209"/>
      <c r="BBB209"/>
      <c r="BBC209"/>
      <c r="BBD209"/>
      <c r="BBE209"/>
      <c r="BBF209"/>
      <c r="BBG209"/>
      <c r="BBH209"/>
      <c r="BBI209"/>
      <c r="BBJ209"/>
      <c r="BBK209"/>
      <c r="BBL209"/>
      <c r="BBM209"/>
      <c r="BBN209"/>
      <c r="BBO209"/>
      <c r="BBP209"/>
      <c r="BBQ209"/>
      <c r="BBR209"/>
      <c r="BBS209"/>
      <c r="BBT209"/>
      <c r="BBU209"/>
      <c r="BBV209"/>
      <c r="BBW209"/>
      <c r="BBX209"/>
      <c r="BBY209"/>
      <c r="BBZ209"/>
      <c r="BCA209"/>
      <c r="BCB209"/>
      <c r="BCC209"/>
      <c r="BCD209"/>
      <c r="BCE209"/>
      <c r="BCF209"/>
      <c r="BCG209"/>
      <c r="BCH209"/>
      <c r="BCI209"/>
      <c r="BCJ209"/>
      <c r="BCK209"/>
      <c r="BCL209"/>
      <c r="BCM209"/>
      <c r="BCN209"/>
      <c r="BCO209"/>
      <c r="BCP209"/>
      <c r="BCQ209"/>
      <c r="BCR209"/>
      <c r="BCS209"/>
      <c r="BCT209"/>
      <c r="BCU209"/>
      <c r="BCV209"/>
      <c r="BCW209"/>
      <c r="BCX209"/>
      <c r="BCY209"/>
      <c r="BCZ209"/>
      <c r="BDA209"/>
      <c r="BDB209"/>
      <c r="BDC209"/>
      <c r="BDD209"/>
      <c r="BDE209"/>
      <c r="BDF209"/>
      <c r="BDG209"/>
      <c r="BDH209"/>
      <c r="BDI209"/>
      <c r="BDJ209"/>
      <c r="BDK209"/>
      <c r="BDL209"/>
      <c r="BDM209"/>
      <c r="BDN209"/>
      <c r="BDO209"/>
      <c r="BDP209"/>
      <c r="BDQ209"/>
      <c r="BDR209"/>
      <c r="BDS209"/>
      <c r="BDT209"/>
      <c r="BDU209"/>
      <c r="BDV209"/>
      <c r="BDW209"/>
      <c r="BDX209"/>
      <c r="BDY209"/>
      <c r="BDZ209"/>
      <c r="BEA209"/>
      <c r="BEB209"/>
      <c r="BEC209"/>
      <c r="BED209"/>
      <c r="BEE209"/>
      <c r="BEF209"/>
      <c r="BEG209"/>
      <c r="BEH209"/>
      <c r="BEI209"/>
      <c r="BEJ209"/>
      <c r="BEK209"/>
      <c r="BEL209"/>
      <c r="BEM209"/>
      <c r="BEN209"/>
      <c r="BEO209"/>
      <c r="BEP209"/>
      <c r="BEQ209"/>
      <c r="BER209"/>
      <c r="BES209"/>
      <c r="BET209"/>
      <c r="BEU209"/>
      <c r="BEV209"/>
      <c r="BEW209"/>
      <c r="BEX209"/>
      <c r="BEY209"/>
      <c r="BEZ209"/>
      <c r="BFA209"/>
      <c r="BFB209"/>
      <c r="BFC209"/>
      <c r="BFD209"/>
      <c r="BFE209"/>
      <c r="BFF209"/>
      <c r="BFG209"/>
      <c r="BFH209"/>
      <c r="BFI209"/>
      <c r="BFJ209"/>
      <c r="BFK209"/>
      <c r="BFL209"/>
      <c r="BFM209"/>
      <c r="BFN209"/>
      <c r="BFO209"/>
      <c r="BFP209"/>
      <c r="BFQ209"/>
      <c r="BFR209"/>
      <c r="BFS209"/>
      <c r="BFT209"/>
      <c r="BFU209"/>
      <c r="BFV209"/>
      <c r="BFW209"/>
      <c r="BFX209"/>
      <c r="BFY209"/>
      <c r="BFZ209"/>
      <c r="BGA209"/>
      <c r="BGB209"/>
      <c r="BGC209"/>
      <c r="BGD209"/>
      <c r="BGE209"/>
      <c r="BGF209"/>
      <c r="BGG209"/>
      <c r="BGH209"/>
      <c r="BGI209"/>
      <c r="BGJ209"/>
      <c r="BGK209"/>
      <c r="BGL209"/>
      <c r="BGM209"/>
      <c r="BGN209"/>
      <c r="BGO209"/>
      <c r="BGP209"/>
      <c r="BGQ209"/>
      <c r="BGR209"/>
      <c r="BGS209"/>
      <c r="BGT209"/>
      <c r="BGU209"/>
      <c r="BGV209"/>
      <c r="BGW209"/>
      <c r="BGX209"/>
      <c r="BGY209"/>
      <c r="BGZ209"/>
      <c r="BHA209"/>
      <c r="BHB209"/>
      <c r="BHC209"/>
      <c r="BHD209"/>
      <c r="BHE209"/>
      <c r="BHF209"/>
      <c r="BHG209"/>
      <c r="BHH209"/>
      <c r="BHI209"/>
      <c r="BHJ209"/>
      <c r="BHK209"/>
      <c r="BHL209"/>
      <c r="BHM209"/>
      <c r="BHN209"/>
      <c r="BHO209"/>
      <c r="BHP209"/>
      <c r="BHQ209"/>
      <c r="BHR209"/>
      <c r="BHS209"/>
      <c r="BHT209"/>
      <c r="BHU209"/>
      <c r="BHV209"/>
      <c r="BHW209"/>
      <c r="BHX209"/>
      <c r="BHY209"/>
      <c r="BHZ209"/>
      <c r="BIA209"/>
      <c r="BIB209"/>
      <c r="BIC209"/>
      <c r="BID209"/>
      <c r="BIE209"/>
      <c r="BIF209"/>
      <c r="BIG209"/>
      <c r="BIH209"/>
      <c r="BII209"/>
      <c r="BIJ209"/>
      <c r="BIK209"/>
      <c r="BIL209"/>
      <c r="BIM209"/>
      <c r="BIN209"/>
      <c r="BIO209"/>
      <c r="BIP209"/>
      <c r="BIQ209"/>
      <c r="BIR209"/>
      <c r="BIS209"/>
      <c r="BIT209"/>
      <c r="BIU209"/>
      <c r="BIV209"/>
      <c r="BIW209"/>
      <c r="BIX209"/>
      <c r="BIY209"/>
      <c r="BIZ209"/>
      <c r="BJA209"/>
      <c r="BJB209"/>
      <c r="BJC209"/>
      <c r="BJD209"/>
      <c r="BJE209"/>
      <c r="BJF209"/>
      <c r="BJG209"/>
      <c r="BJH209"/>
      <c r="BJI209"/>
      <c r="BJJ209"/>
      <c r="BJK209"/>
      <c r="BJL209"/>
      <c r="BJM209"/>
      <c r="BJN209"/>
      <c r="BJO209"/>
      <c r="BJP209"/>
      <c r="BJQ209"/>
      <c r="BJR209"/>
      <c r="BJS209"/>
      <c r="BJT209"/>
      <c r="BJU209"/>
      <c r="BJV209"/>
      <c r="BJW209"/>
      <c r="BJX209"/>
      <c r="BJY209"/>
      <c r="BJZ209"/>
      <c r="BKA209"/>
      <c r="BKB209"/>
      <c r="BKC209"/>
      <c r="BKD209"/>
      <c r="BKE209"/>
      <c r="BKF209"/>
      <c r="BKG209"/>
      <c r="BKH209"/>
      <c r="BKI209"/>
      <c r="BKJ209"/>
      <c r="BKK209"/>
      <c r="BKL209"/>
      <c r="BKM209"/>
      <c r="BKN209"/>
      <c r="BKO209"/>
      <c r="BKP209"/>
      <c r="BKQ209"/>
      <c r="BKR209"/>
      <c r="BKS209"/>
      <c r="BKT209"/>
      <c r="BKU209"/>
      <c r="BKV209"/>
      <c r="BKW209"/>
      <c r="BKX209"/>
      <c r="BKY209"/>
      <c r="BKZ209"/>
      <c r="BLA209"/>
      <c r="BLB209"/>
      <c r="BLC209"/>
      <c r="BLD209"/>
      <c r="BLE209"/>
      <c r="BLF209"/>
      <c r="BLG209"/>
      <c r="BLH209"/>
      <c r="BLI209"/>
      <c r="BLJ209"/>
      <c r="BLK209"/>
      <c r="BLL209"/>
      <c r="BLM209"/>
      <c r="BLN209"/>
      <c r="BLO209"/>
      <c r="BLP209"/>
      <c r="BLQ209"/>
      <c r="BLR209"/>
      <c r="BLS209"/>
      <c r="BLT209"/>
      <c r="BLU209"/>
      <c r="BLV209"/>
      <c r="BLW209"/>
      <c r="BLX209"/>
      <c r="BLY209"/>
      <c r="BLZ209"/>
      <c r="BMA209"/>
      <c r="BMB209"/>
      <c r="BMC209"/>
      <c r="BMD209"/>
      <c r="BME209"/>
      <c r="BMF209"/>
      <c r="BMG209"/>
      <c r="BMH209"/>
      <c r="BMI209"/>
      <c r="BMJ209"/>
      <c r="BMK209"/>
      <c r="BML209"/>
      <c r="BMM209"/>
      <c r="BMN209"/>
      <c r="BMO209"/>
      <c r="BMP209"/>
      <c r="BMQ209"/>
      <c r="BMR209"/>
      <c r="BMS209"/>
      <c r="BMT209"/>
      <c r="BMU209"/>
      <c r="BMV209"/>
      <c r="BMW209"/>
      <c r="BMX209"/>
      <c r="BMY209"/>
      <c r="BMZ209"/>
      <c r="BNA209"/>
      <c r="BNB209"/>
      <c r="BNC209"/>
      <c r="BND209"/>
      <c r="BNE209"/>
      <c r="BNF209"/>
      <c r="BNG209"/>
      <c r="BNH209"/>
      <c r="BNI209"/>
      <c r="BNJ209"/>
      <c r="BNK209"/>
      <c r="BNL209"/>
      <c r="BNM209"/>
      <c r="BNN209"/>
      <c r="BNO209"/>
      <c r="BNP209"/>
      <c r="BNQ209"/>
      <c r="BNR209"/>
      <c r="BNS209"/>
      <c r="BNT209"/>
      <c r="BNU209"/>
      <c r="BNV209"/>
      <c r="BNW209"/>
      <c r="BNX209"/>
      <c r="BNY209"/>
      <c r="BNZ209"/>
      <c r="BOA209"/>
      <c r="BOB209"/>
      <c r="BOC209"/>
      <c r="BOD209"/>
      <c r="BOE209"/>
      <c r="BOF209"/>
      <c r="BOG209"/>
      <c r="BOH209"/>
      <c r="BOI209"/>
      <c r="BOJ209"/>
      <c r="BOK209"/>
      <c r="BOL209"/>
      <c r="BOM209"/>
      <c r="BON209"/>
      <c r="BOO209"/>
      <c r="BOP209"/>
      <c r="BOQ209"/>
      <c r="BOR209"/>
      <c r="BOS209"/>
      <c r="BOT209"/>
      <c r="BOU209"/>
      <c r="BOV209"/>
      <c r="BOW209"/>
      <c r="BOX209"/>
      <c r="BOY209"/>
      <c r="BOZ209"/>
      <c r="BPA209"/>
      <c r="BPB209"/>
      <c r="BPC209"/>
      <c r="BPD209"/>
      <c r="BPE209"/>
      <c r="BPF209"/>
      <c r="BPG209"/>
      <c r="BPH209"/>
      <c r="BPI209"/>
      <c r="BPJ209"/>
      <c r="BPK209"/>
      <c r="BPL209"/>
      <c r="BPM209"/>
      <c r="BPN209"/>
      <c r="BPO209"/>
      <c r="BPP209"/>
      <c r="BPQ209"/>
      <c r="BPR209"/>
      <c r="BPS209"/>
      <c r="BPT209"/>
      <c r="BPU209"/>
      <c r="BPV209"/>
      <c r="BPW209"/>
      <c r="BPX209"/>
      <c r="BPY209"/>
      <c r="BPZ209"/>
      <c r="BQA209"/>
      <c r="BQB209"/>
      <c r="BQC209"/>
      <c r="BQD209"/>
      <c r="BQE209"/>
      <c r="BQF209"/>
      <c r="BQG209"/>
      <c r="BQH209"/>
      <c r="BQI209"/>
      <c r="BQJ209"/>
      <c r="BQK209"/>
      <c r="BQL209"/>
      <c r="BQM209"/>
      <c r="BQN209"/>
      <c r="BQO209"/>
      <c r="BQP209"/>
      <c r="BQQ209"/>
      <c r="BQR209"/>
      <c r="BQS209"/>
      <c r="BQT209"/>
      <c r="BQU209"/>
      <c r="BQV209"/>
      <c r="BQW209"/>
      <c r="BQX209"/>
      <c r="BQY209"/>
      <c r="BQZ209"/>
      <c r="BRA209"/>
      <c r="BRB209"/>
      <c r="BRC209"/>
      <c r="BRD209"/>
      <c r="BRE209"/>
      <c r="BRF209"/>
      <c r="BRG209"/>
      <c r="BRH209"/>
      <c r="BRI209"/>
      <c r="BRJ209"/>
      <c r="BRK209"/>
      <c r="BRL209"/>
      <c r="BRM209"/>
      <c r="BRN209"/>
      <c r="BRO209"/>
      <c r="BRP209"/>
      <c r="BRQ209"/>
      <c r="BRR209"/>
      <c r="BRS209"/>
      <c r="BRT209"/>
      <c r="BRU209"/>
      <c r="BRV209"/>
      <c r="BRW209"/>
      <c r="BRX209"/>
      <c r="BRY209"/>
      <c r="BRZ209"/>
      <c r="BSA209"/>
      <c r="BSB209"/>
      <c r="BSC209"/>
      <c r="BSD209"/>
      <c r="BSE209"/>
      <c r="BSF209"/>
      <c r="BSG209"/>
      <c r="BSH209"/>
      <c r="BSI209"/>
      <c r="BSJ209"/>
      <c r="BSK209"/>
      <c r="BSL209"/>
      <c r="BSM209"/>
      <c r="BSN209"/>
      <c r="BSO209"/>
      <c r="BSP209"/>
      <c r="BSQ209"/>
      <c r="BSR209"/>
      <c r="BSS209"/>
      <c r="BST209"/>
      <c r="BSU209"/>
      <c r="BSV209"/>
      <c r="BSW209"/>
      <c r="BSX209"/>
      <c r="BSY209"/>
      <c r="BSZ209"/>
      <c r="BTA209"/>
      <c r="BTB209"/>
      <c r="BTC209"/>
      <c r="BTD209"/>
      <c r="BTE209"/>
      <c r="BTF209"/>
      <c r="BTG209"/>
      <c r="BTH209"/>
      <c r="BTI209"/>
      <c r="BTJ209"/>
      <c r="BTK209"/>
      <c r="BTL209"/>
      <c r="BTM209"/>
      <c r="BTN209"/>
      <c r="BTO209"/>
      <c r="BTP209"/>
      <c r="BTQ209"/>
      <c r="BTR209"/>
      <c r="BTS209"/>
      <c r="BTT209"/>
      <c r="BTU209"/>
      <c r="BTV209"/>
      <c r="BTW209"/>
      <c r="BTX209"/>
      <c r="BTY209"/>
      <c r="BTZ209"/>
      <c r="BUA209"/>
      <c r="BUB209"/>
      <c r="BUC209"/>
      <c r="BUD209"/>
      <c r="BUE209"/>
      <c r="BUF209"/>
      <c r="BUG209"/>
      <c r="BUH209"/>
      <c r="BUI209"/>
      <c r="BUJ209"/>
      <c r="BUK209"/>
      <c r="BUL209"/>
      <c r="BUM209"/>
      <c r="BUN209"/>
      <c r="BUO209"/>
      <c r="BUP209"/>
      <c r="BUQ209"/>
      <c r="BUR209"/>
      <c r="BUS209"/>
      <c r="BUT209"/>
      <c r="BUU209"/>
      <c r="BUV209"/>
      <c r="BUW209"/>
      <c r="BUX209"/>
      <c r="BUY209"/>
      <c r="BUZ209"/>
      <c r="BVA209"/>
      <c r="BVB209"/>
      <c r="BVC209"/>
      <c r="BVD209"/>
      <c r="BVE209"/>
      <c r="BVF209"/>
      <c r="BVG209"/>
      <c r="BVH209"/>
      <c r="BVI209"/>
      <c r="BVJ209"/>
      <c r="BVK209"/>
      <c r="BVL209"/>
      <c r="BVM209"/>
      <c r="BVN209"/>
      <c r="BVO209"/>
      <c r="BVP209"/>
      <c r="BVQ209"/>
      <c r="BVR209"/>
      <c r="BVS209"/>
      <c r="BVT209"/>
      <c r="BVU209"/>
      <c r="BVV209"/>
      <c r="BVW209"/>
      <c r="BVX209"/>
      <c r="BVY209"/>
      <c r="BVZ209"/>
      <c r="BWA209"/>
      <c r="BWB209"/>
      <c r="BWC209"/>
      <c r="BWD209"/>
      <c r="BWE209"/>
      <c r="BWF209"/>
      <c r="BWG209"/>
      <c r="BWH209"/>
      <c r="BWI209"/>
      <c r="BWJ209"/>
      <c r="BWK209"/>
      <c r="BWL209"/>
      <c r="BWM209"/>
      <c r="BWN209"/>
      <c r="BWO209"/>
      <c r="BWP209"/>
      <c r="BWQ209"/>
      <c r="BWR209"/>
      <c r="BWS209"/>
      <c r="BWT209"/>
      <c r="BWU209"/>
      <c r="BWV209"/>
      <c r="BWW209"/>
      <c r="BWX209"/>
      <c r="BWY209"/>
      <c r="BWZ209"/>
      <c r="BXA209"/>
      <c r="BXB209"/>
      <c r="BXC209"/>
      <c r="BXD209"/>
      <c r="BXE209"/>
      <c r="BXF209"/>
      <c r="BXG209"/>
      <c r="BXH209"/>
      <c r="BXI209"/>
      <c r="BXJ209"/>
      <c r="BXK209"/>
      <c r="BXL209"/>
      <c r="BXM209"/>
      <c r="BXN209"/>
      <c r="BXO209"/>
      <c r="BXP209"/>
      <c r="BXQ209"/>
      <c r="BXR209"/>
      <c r="BXS209"/>
      <c r="BXT209"/>
      <c r="BXU209"/>
      <c r="BXV209"/>
      <c r="BXW209"/>
      <c r="BXX209"/>
      <c r="BXY209"/>
      <c r="BXZ209"/>
      <c r="BYA209"/>
      <c r="BYB209"/>
      <c r="BYC209"/>
      <c r="BYD209"/>
      <c r="BYE209"/>
      <c r="BYF209"/>
      <c r="BYG209"/>
      <c r="BYH209"/>
      <c r="BYI209"/>
      <c r="BYJ209"/>
      <c r="BYK209"/>
      <c r="BYL209"/>
      <c r="BYM209"/>
      <c r="BYN209"/>
      <c r="BYO209"/>
      <c r="BYP209"/>
      <c r="BYQ209"/>
      <c r="BYR209"/>
      <c r="BYS209"/>
      <c r="BYT209"/>
      <c r="BYU209"/>
      <c r="BYV209"/>
      <c r="BYW209"/>
      <c r="BYX209"/>
      <c r="BYY209"/>
      <c r="BYZ209"/>
      <c r="BZA209"/>
      <c r="BZB209"/>
      <c r="BZC209"/>
      <c r="BZD209"/>
      <c r="BZE209"/>
      <c r="BZF209"/>
      <c r="BZG209"/>
      <c r="BZH209"/>
      <c r="BZI209"/>
      <c r="BZJ209"/>
      <c r="BZK209"/>
      <c r="BZL209"/>
      <c r="BZM209"/>
      <c r="BZN209"/>
      <c r="BZO209"/>
      <c r="BZP209"/>
      <c r="BZQ209"/>
      <c r="BZR209"/>
      <c r="BZS209"/>
      <c r="BZT209"/>
      <c r="BZU209"/>
      <c r="BZV209"/>
      <c r="BZW209"/>
      <c r="BZX209"/>
      <c r="BZY209"/>
      <c r="BZZ209"/>
      <c r="CAA209"/>
      <c r="CAB209"/>
      <c r="CAC209"/>
      <c r="CAD209"/>
      <c r="CAE209"/>
      <c r="CAF209"/>
      <c r="CAG209"/>
      <c r="CAH209"/>
      <c r="CAI209"/>
      <c r="CAJ209"/>
      <c r="CAK209"/>
      <c r="CAL209"/>
      <c r="CAM209"/>
      <c r="CAN209"/>
      <c r="CAO209"/>
      <c r="CAP209"/>
      <c r="CAQ209"/>
      <c r="CAR209"/>
      <c r="CAS209"/>
      <c r="CAT209"/>
      <c r="CAU209"/>
      <c r="CAV209"/>
      <c r="CAW209"/>
      <c r="CAX209"/>
      <c r="CAY209"/>
      <c r="CAZ209"/>
      <c r="CBA209"/>
      <c r="CBB209"/>
      <c r="CBC209"/>
      <c r="CBD209"/>
      <c r="CBE209"/>
      <c r="CBF209"/>
      <c r="CBG209"/>
      <c r="CBH209"/>
      <c r="CBI209"/>
      <c r="CBJ209"/>
      <c r="CBK209"/>
      <c r="CBL209"/>
      <c r="CBM209"/>
      <c r="CBN209"/>
      <c r="CBO209"/>
      <c r="CBP209"/>
      <c r="CBQ209"/>
      <c r="CBR209"/>
      <c r="CBS209"/>
      <c r="CBT209"/>
      <c r="CBU209"/>
      <c r="CBV209"/>
      <c r="CBW209"/>
      <c r="CBX209"/>
      <c r="CBY209"/>
      <c r="CBZ209"/>
      <c r="CCA209"/>
      <c r="CCB209"/>
      <c r="CCC209"/>
      <c r="CCD209"/>
      <c r="CCE209"/>
      <c r="CCF209"/>
      <c r="CCG209"/>
      <c r="CCH209"/>
      <c r="CCI209"/>
      <c r="CCJ209"/>
      <c r="CCK209"/>
      <c r="CCL209"/>
      <c r="CCM209"/>
      <c r="CCN209"/>
      <c r="CCO209"/>
      <c r="CCP209"/>
      <c r="CCQ209"/>
      <c r="CCR209"/>
      <c r="CCS209"/>
      <c r="CCT209"/>
      <c r="CCU209"/>
      <c r="CCV209"/>
      <c r="CCW209"/>
      <c r="CCX209"/>
      <c r="CCY209"/>
      <c r="CCZ209"/>
      <c r="CDA209"/>
      <c r="CDB209"/>
      <c r="CDC209"/>
      <c r="CDD209"/>
      <c r="CDE209"/>
      <c r="CDF209"/>
      <c r="CDG209"/>
      <c r="CDH209"/>
      <c r="CDI209"/>
      <c r="CDJ209"/>
      <c r="CDK209"/>
      <c r="CDL209"/>
      <c r="CDM209"/>
      <c r="CDN209"/>
      <c r="CDO209"/>
      <c r="CDP209"/>
      <c r="CDQ209"/>
      <c r="CDR209"/>
      <c r="CDS209"/>
      <c r="CDT209"/>
      <c r="CDU209"/>
      <c r="CDV209"/>
      <c r="CDW209"/>
      <c r="CDX209"/>
      <c r="CDY209"/>
      <c r="CDZ209"/>
      <c r="CEA209"/>
      <c r="CEB209"/>
      <c r="CEC209"/>
      <c r="CED209"/>
      <c r="CEE209"/>
      <c r="CEF209"/>
      <c r="CEG209"/>
      <c r="CEH209"/>
      <c r="CEI209"/>
      <c r="CEJ209"/>
      <c r="CEK209"/>
      <c r="CEL209"/>
      <c r="CEM209"/>
      <c r="CEN209"/>
      <c r="CEO209"/>
      <c r="CEP209"/>
      <c r="CEQ209"/>
      <c r="CER209"/>
      <c r="CES209"/>
      <c r="CET209"/>
      <c r="CEU209"/>
      <c r="CEV209"/>
      <c r="CEW209"/>
      <c r="CEX209"/>
      <c r="CEY209"/>
      <c r="CEZ209"/>
      <c r="CFA209"/>
      <c r="CFB209"/>
      <c r="CFC209"/>
      <c r="CFD209"/>
      <c r="CFE209"/>
      <c r="CFF209"/>
      <c r="CFG209"/>
      <c r="CFH209"/>
      <c r="CFI209"/>
      <c r="CFJ209"/>
      <c r="CFK209"/>
      <c r="CFL209"/>
      <c r="CFM209"/>
      <c r="CFN209"/>
      <c r="CFO209"/>
      <c r="CFP209"/>
      <c r="CFQ209"/>
      <c r="CFR209"/>
      <c r="CFS209"/>
      <c r="CFT209"/>
      <c r="CFU209"/>
      <c r="CFV209"/>
      <c r="CFW209"/>
      <c r="CFX209"/>
      <c r="CFY209"/>
      <c r="CFZ209"/>
      <c r="CGA209"/>
      <c r="CGB209"/>
      <c r="CGC209"/>
      <c r="CGD209"/>
      <c r="CGE209"/>
      <c r="CGF209"/>
      <c r="CGG209"/>
      <c r="CGH209"/>
      <c r="CGI209"/>
      <c r="CGJ209"/>
      <c r="CGK209"/>
      <c r="CGL209"/>
      <c r="CGM209"/>
      <c r="CGN209"/>
      <c r="CGO209"/>
      <c r="CGP209"/>
      <c r="CGQ209"/>
      <c r="CGR209"/>
      <c r="CGS209"/>
      <c r="CGT209"/>
      <c r="CGU209"/>
      <c r="CGV209"/>
      <c r="CGW209"/>
      <c r="CGX209"/>
      <c r="CGY209"/>
      <c r="CGZ209"/>
      <c r="CHA209"/>
      <c r="CHB209"/>
      <c r="CHC209"/>
      <c r="CHD209"/>
      <c r="CHE209"/>
      <c r="CHF209"/>
      <c r="CHG209"/>
      <c r="CHH209"/>
      <c r="CHI209"/>
      <c r="CHJ209"/>
      <c r="CHK209"/>
      <c r="CHL209"/>
      <c r="CHM209"/>
      <c r="CHN209"/>
      <c r="CHO209"/>
      <c r="CHP209"/>
      <c r="CHQ209"/>
      <c r="CHR209"/>
      <c r="CHS209"/>
      <c r="CHT209"/>
      <c r="CHU209"/>
      <c r="CHV209"/>
      <c r="CHW209"/>
      <c r="CHX209"/>
      <c r="CHY209"/>
      <c r="CHZ209"/>
      <c r="CIA209"/>
      <c r="CIB209"/>
      <c r="CIC209"/>
      <c r="CID209"/>
      <c r="CIE209"/>
      <c r="CIF209"/>
      <c r="CIG209"/>
      <c r="CIH209"/>
      <c r="CII209"/>
      <c r="CIJ209"/>
      <c r="CIK209"/>
      <c r="CIL209"/>
      <c r="CIM209"/>
      <c r="CIN209"/>
      <c r="CIO209"/>
      <c r="CIP209"/>
      <c r="CIQ209"/>
      <c r="CIR209"/>
      <c r="CIS209"/>
      <c r="CIT209"/>
      <c r="CIU209"/>
      <c r="CIV209"/>
      <c r="CIW209"/>
      <c r="CIX209"/>
      <c r="CIY209"/>
      <c r="CIZ209"/>
      <c r="CJA209"/>
      <c r="CJB209"/>
      <c r="CJC209"/>
      <c r="CJD209"/>
      <c r="CJE209"/>
      <c r="CJF209"/>
      <c r="CJG209"/>
      <c r="CJH209"/>
      <c r="CJI209"/>
      <c r="CJJ209"/>
      <c r="CJK209"/>
      <c r="CJL209"/>
      <c r="CJM209"/>
      <c r="CJN209"/>
      <c r="CJO209"/>
      <c r="CJP209"/>
      <c r="CJQ209"/>
      <c r="CJR209"/>
      <c r="CJS209"/>
      <c r="CJT209"/>
      <c r="CJU209"/>
      <c r="CJV209"/>
      <c r="CJW209"/>
      <c r="CJX209"/>
      <c r="CJY209"/>
      <c r="CJZ209"/>
      <c r="CKA209"/>
      <c r="CKB209"/>
      <c r="CKC209"/>
      <c r="CKD209"/>
      <c r="CKE209"/>
      <c r="CKF209"/>
      <c r="CKG209"/>
      <c r="CKH209"/>
      <c r="CKI209"/>
      <c r="CKJ209"/>
      <c r="CKK209"/>
      <c r="CKL209"/>
      <c r="CKM209"/>
      <c r="CKN209"/>
      <c r="CKO209"/>
      <c r="CKP209"/>
      <c r="CKQ209"/>
      <c r="CKR209"/>
      <c r="CKS209"/>
      <c r="CKT209"/>
      <c r="CKU209"/>
      <c r="CKV209"/>
      <c r="CKW209"/>
      <c r="CKX209"/>
      <c r="CKY209"/>
      <c r="CKZ209"/>
      <c r="CLA209"/>
      <c r="CLB209"/>
      <c r="CLC209"/>
      <c r="CLD209"/>
      <c r="CLE209"/>
      <c r="CLF209"/>
      <c r="CLG209"/>
      <c r="CLH209"/>
      <c r="CLI209"/>
      <c r="CLJ209"/>
      <c r="CLK209"/>
      <c r="CLL209"/>
      <c r="CLM209"/>
      <c r="CLN209"/>
      <c r="CLO209"/>
      <c r="CLP209"/>
      <c r="CLQ209"/>
      <c r="CLR209"/>
      <c r="CLS209"/>
      <c r="CLT209"/>
      <c r="CLU209"/>
      <c r="CLV209"/>
      <c r="CLW209"/>
      <c r="CLX209"/>
      <c r="CLY209"/>
      <c r="CLZ209"/>
      <c r="CMA209"/>
      <c r="CMB209"/>
      <c r="CMC209"/>
      <c r="CMD209"/>
      <c r="CME209"/>
      <c r="CMF209"/>
      <c r="CMG209"/>
      <c r="CMH209"/>
      <c r="CMI209"/>
      <c r="CMJ209"/>
      <c r="CMK209"/>
      <c r="CML209"/>
      <c r="CMM209"/>
      <c r="CMN209"/>
      <c r="CMO209"/>
      <c r="CMP209"/>
      <c r="CMQ209"/>
      <c r="CMR209"/>
      <c r="CMS209"/>
      <c r="CMT209"/>
      <c r="CMU209"/>
      <c r="CMV209"/>
      <c r="CMW209"/>
      <c r="CMX209"/>
      <c r="CMY209"/>
      <c r="CMZ209"/>
      <c r="CNA209"/>
      <c r="CNB209"/>
      <c r="CNC209"/>
      <c r="CND209"/>
      <c r="CNE209"/>
      <c r="CNF209"/>
      <c r="CNG209"/>
      <c r="CNH209"/>
      <c r="CNI209"/>
      <c r="CNJ209"/>
      <c r="CNK209"/>
      <c r="CNL209"/>
      <c r="CNM209"/>
      <c r="CNN209"/>
      <c r="CNO209"/>
      <c r="CNP209"/>
      <c r="CNQ209"/>
      <c r="CNR209"/>
      <c r="CNS209"/>
      <c r="CNT209"/>
      <c r="CNU209"/>
      <c r="CNV209"/>
      <c r="CNW209"/>
      <c r="CNX209"/>
      <c r="CNY209"/>
      <c r="CNZ209"/>
      <c r="COA209"/>
      <c r="COB209"/>
      <c r="COC209"/>
      <c r="COD209"/>
      <c r="COE209"/>
      <c r="COF209"/>
      <c r="COG209"/>
      <c r="COH209"/>
      <c r="COI209"/>
      <c r="COJ209"/>
      <c r="COK209"/>
      <c r="COL209"/>
      <c r="COM209"/>
      <c r="CON209"/>
      <c r="COO209"/>
      <c r="COP209"/>
      <c r="COQ209"/>
      <c r="COR209"/>
      <c r="COS209"/>
      <c r="COT209"/>
      <c r="COU209"/>
      <c r="COV209"/>
      <c r="COW209"/>
      <c r="COX209"/>
      <c r="COY209"/>
      <c r="COZ209"/>
      <c r="CPA209"/>
      <c r="CPB209"/>
      <c r="CPC209"/>
      <c r="CPD209"/>
      <c r="CPE209"/>
      <c r="CPF209"/>
      <c r="CPG209"/>
      <c r="CPH209"/>
      <c r="CPI209"/>
      <c r="CPJ209"/>
      <c r="CPK209"/>
      <c r="CPL209"/>
      <c r="CPM209"/>
      <c r="CPN209"/>
      <c r="CPO209"/>
      <c r="CPP209"/>
      <c r="CPQ209"/>
      <c r="CPR209"/>
      <c r="CPS209"/>
      <c r="CPT209"/>
      <c r="CPU209"/>
      <c r="CPV209"/>
      <c r="CPW209"/>
      <c r="CPX209"/>
      <c r="CPY209"/>
      <c r="CPZ209"/>
      <c r="CQA209"/>
      <c r="CQB209"/>
      <c r="CQC209"/>
      <c r="CQD209"/>
      <c r="CQE209"/>
      <c r="CQF209"/>
      <c r="CQG209"/>
      <c r="CQH209"/>
      <c r="CQI209"/>
      <c r="CQJ209"/>
      <c r="CQK209"/>
      <c r="CQL209"/>
      <c r="CQM209"/>
      <c r="CQN209"/>
      <c r="CQO209"/>
      <c r="CQP209"/>
      <c r="CQQ209"/>
      <c r="CQR209"/>
      <c r="CQS209"/>
      <c r="CQT209"/>
      <c r="CQU209"/>
      <c r="CQV209"/>
      <c r="CQW209"/>
      <c r="CQX209"/>
      <c r="CQY209"/>
      <c r="CQZ209"/>
      <c r="CRA209"/>
      <c r="CRB209"/>
      <c r="CRC209"/>
      <c r="CRD209"/>
      <c r="CRE209"/>
      <c r="CRF209"/>
      <c r="CRG209"/>
      <c r="CRH209"/>
      <c r="CRI209"/>
      <c r="CRJ209"/>
      <c r="CRK209"/>
      <c r="CRL209"/>
      <c r="CRM209"/>
      <c r="CRN209"/>
      <c r="CRO209"/>
      <c r="CRP209"/>
      <c r="CRQ209"/>
      <c r="CRR209"/>
      <c r="CRS209"/>
      <c r="CRT209"/>
      <c r="CRU209"/>
      <c r="CRV209"/>
      <c r="CRW209"/>
      <c r="CRX209"/>
      <c r="CRY209"/>
      <c r="CRZ209"/>
      <c r="CSA209"/>
      <c r="CSB209"/>
      <c r="CSC209"/>
      <c r="CSD209"/>
      <c r="CSE209"/>
      <c r="CSF209"/>
      <c r="CSG209"/>
      <c r="CSH209"/>
      <c r="CSI209"/>
      <c r="CSJ209"/>
      <c r="CSK209"/>
      <c r="CSL209"/>
      <c r="CSM209"/>
      <c r="CSN209"/>
      <c r="CSO209"/>
      <c r="CSP209"/>
      <c r="CSQ209"/>
      <c r="CSR209"/>
      <c r="CSS209"/>
      <c r="CST209"/>
      <c r="CSU209"/>
      <c r="CSV209"/>
      <c r="CSW209"/>
      <c r="CSX209"/>
      <c r="CSY209"/>
      <c r="CSZ209"/>
      <c r="CTA209"/>
      <c r="CTB209"/>
      <c r="CTC209"/>
      <c r="CTD209"/>
      <c r="CTE209"/>
      <c r="CTF209"/>
      <c r="CTG209"/>
      <c r="CTH209"/>
      <c r="CTI209"/>
      <c r="CTJ209"/>
      <c r="CTK209"/>
      <c r="CTL209"/>
      <c r="CTM209"/>
      <c r="CTN209"/>
      <c r="CTO209"/>
      <c r="CTP209"/>
      <c r="CTQ209"/>
      <c r="CTR209"/>
      <c r="CTS209"/>
      <c r="CTT209"/>
      <c r="CTU209"/>
      <c r="CTV209"/>
      <c r="CTW209"/>
      <c r="CTX209"/>
      <c r="CTY209"/>
      <c r="CTZ209"/>
      <c r="CUA209"/>
      <c r="CUB209"/>
      <c r="CUC209"/>
      <c r="CUD209"/>
      <c r="CUE209"/>
      <c r="CUF209"/>
      <c r="CUG209"/>
      <c r="CUH209"/>
      <c r="CUI209"/>
      <c r="CUJ209"/>
      <c r="CUK209"/>
      <c r="CUL209"/>
      <c r="CUM209"/>
      <c r="CUN209"/>
      <c r="CUO209"/>
      <c r="CUP209"/>
      <c r="CUQ209"/>
      <c r="CUR209"/>
      <c r="CUS209"/>
      <c r="CUT209"/>
      <c r="CUU209"/>
      <c r="CUV209"/>
      <c r="CUW209"/>
      <c r="CUX209"/>
      <c r="CUY209"/>
      <c r="CUZ209"/>
      <c r="CVA209"/>
      <c r="CVB209"/>
      <c r="CVC209"/>
      <c r="CVD209"/>
      <c r="CVE209"/>
      <c r="CVF209"/>
      <c r="CVG209"/>
      <c r="CVH209"/>
      <c r="CVI209"/>
      <c r="CVJ209"/>
      <c r="CVK209"/>
      <c r="CVL209"/>
      <c r="CVM209"/>
      <c r="CVN209"/>
      <c r="CVO209"/>
      <c r="CVP209"/>
      <c r="CVQ209"/>
      <c r="CVR209"/>
      <c r="CVS209"/>
      <c r="CVT209"/>
      <c r="CVU209"/>
      <c r="CVV209"/>
      <c r="CVW209"/>
      <c r="CVX209"/>
      <c r="CVY209"/>
      <c r="CVZ209"/>
      <c r="CWA209"/>
      <c r="CWB209"/>
      <c r="CWC209"/>
      <c r="CWD209"/>
      <c r="CWE209"/>
      <c r="CWF209"/>
      <c r="CWG209"/>
      <c r="CWH209"/>
      <c r="CWI209"/>
      <c r="CWJ209"/>
      <c r="CWK209"/>
      <c r="CWL209"/>
      <c r="CWM209"/>
      <c r="CWN209"/>
      <c r="CWO209"/>
      <c r="CWP209"/>
      <c r="CWQ209"/>
      <c r="CWR209"/>
      <c r="CWS209"/>
      <c r="CWT209"/>
      <c r="CWU209"/>
      <c r="CWV209"/>
      <c r="CWW209"/>
      <c r="CWX209"/>
      <c r="CWY209"/>
      <c r="CWZ209"/>
      <c r="CXA209"/>
      <c r="CXB209"/>
      <c r="CXC209"/>
      <c r="CXD209"/>
      <c r="CXE209"/>
      <c r="CXF209"/>
      <c r="CXG209"/>
      <c r="CXH209"/>
      <c r="CXI209"/>
      <c r="CXJ209"/>
      <c r="CXK209"/>
      <c r="CXL209"/>
      <c r="CXM209"/>
      <c r="CXN209"/>
      <c r="CXO209"/>
      <c r="CXP209"/>
      <c r="CXQ209"/>
      <c r="CXR209"/>
      <c r="CXS209"/>
      <c r="CXT209"/>
      <c r="CXU209"/>
      <c r="CXV209"/>
      <c r="CXW209"/>
      <c r="CXX209"/>
      <c r="CXY209"/>
      <c r="CXZ209"/>
      <c r="CYA209"/>
      <c r="CYB209"/>
      <c r="CYC209"/>
      <c r="CYD209"/>
      <c r="CYE209"/>
      <c r="CYF209"/>
      <c r="CYG209"/>
      <c r="CYH209"/>
      <c r="CYI209"/>
      <c r="CYJ209"/>
      <c r="CYK209"/>
      <c r="CYL209"/>
      <c r="CYM209"/>
      <c r="CYN209"/>
      <c r="CYO209"/>
      <c r="CYP209"/>
      <c r="CYQ209"/>
      <c r="CYR209"/>
      <c r="CYS209"/>
      <c r="CYT209"/>
      <c r="CYU209"/>
      <c r="CYV209"/>
      <c r="CYW209"/>
      <c r="CYX209"/>
      <c r="CYY209"/>
      <c r="CYZ209"/>
      <c r="CZA209"/>
      <c r="CZB209"/>
      <c r="CZC209"/>
      <c r="CZD209"/>
      <c r="CZE209"/>
      <c r="CZF209"/>
      <c r="CZG209"/>
      <c r="CZH209"/>
      <c r="CZI209"/>
      <c r="CZJ209"/>
      <c r="CZK209"/>
      <c r="CZL209"/>
      <c r="CZM209"/>
      <c r="CZN209"/>
      <c r="CZO209"/>
      <c r="CZP209"/>
      <c r="CZQ209"/>
      <c r="CZR209"/>
      <c r="CZS209"/>
      <c r="CZT209"/>
      <c r="CZU209"/>
      <c r="CZV209"/>
      <c r="CZW209"/>
      <c r="CZX209"/>
      <c r="CZY209"/>
      <c r="CZZ209"/>
      <c r="DAA209"/>
      <c r="DAB209"/>
      <c r="DAC209"/>
      <c r="DAD209"/>
      <c r="DAE209"/>
      <c r="DAF209"/>
      <c r="DAG209"/>
      <c r="DAH209"/>
      <c r="DAI209"/>
      <c r="DAJ209"/>
      <c r="DAK209"/>
      <c r="DAL209"/>
      <c r="DAM209"/>
      <c r="DAN209"/>
      <c r="DAO209"/>
      <c r="DAP209"/>
      <c r="DAQ209"/>
      <c r="DAR209"/>
      <c r="DAS209"/>
      <c r="DAT209"/>
      <c r="DAU209"/>
      <c r="DAV209"/>
      <c r="DAW209"/>
      <c r="DAX209"/>
      <c r="DAY209"/>
      <c r="DAZ209"/>
      <c r="DBA209"/>
      <c r="DBB209"/>
      <c r="DBC209"/>
      <c r="DBD209"/>
      <c r="DBE209"/>
      <c r="DBF209"/>
      <c r="DBG209"/>
      <c r="DBH209"/>
      <c r="DBI209"/>
      <c r="DBJ209"/>
      <c r="DBK209"/>
      <c r="DBL209"/>
      <c r="DBM209"/>
      <c r="DBN209"/>
      <c r="DBO209"/>
      <c r="DBP209"/>
      <c r="DBQ209"/>
      <c r="DBR209"/>
      <c r="DBS209"/>
      <c r="DBT209"/>
      <c r="DBU209"/>
      <c r="DBV209"/>
      <c r="DBW209"/>
      <c r="DBX209"/>
      <c r="DBY209"/>
      <c r="DBZ209"/>
      <c r="DCA209"/>
      <c r="DCB209"/>
      <c r="DCC209"/>
      <c r="DCD209"/>
      <c r="DCE209"/>
      <c r="DCF209"/>
      <c r="DCG209"/>
      <c r="DCH209"/>
      <c r="DCI209"/>
      <c r="DCJ209"/>
      <c r="DCK209"/>
      <c r="DCL209"/>
      <c r="DCM209"/>
      <c r="DCN209"/>
      <c r="DCO209"/>
      <c r="DCP209"/>
      <c r="DCQ209"/>
      <c r="DCR209"/>
      <c r="DCS209"/>
      <c r="DCT209"/>
      <c r="DCU209"/>
      <c r="DCV209"/>
      <c r="DCW209"/>
      <c r="DCX209"/>
      <c r="DCY209"/>
      <c r="DCZ209"/>
      <c r="DDA209"/>
      <c r="DDB209"/>
      <c r="DDC209"/>
      <c r="DDD209"/>
      <c r="DDE209"/>
      <c r="DDF209"/>
      <c r="DDG209"/>
      <c r="DDH209"/>
      <c r="DDI209"/>
      <c r="DDJ209"/>
      <c r="DDK209"/>
      <c r="DDL209"/>
      <c r="DDM209"/>
      <c r="DDN209"/>
      <c r="DDO209"/>
      <c r="DDP209"/>
      <c r="DDQ209"/>
      <c r="DDR209"/>
      <c r="DDS209"/>
      <c r="DDT209"/>
      <c r="DDU209"/>
      <c r="DDV209"/>
      <c r="DDW209"/>
      <c r="DDX209"/>
      <c r="DDY209"/>
      <c r="DDZ209"/>
      <c r="DEA209"/>
      <c r="DEB209"/>
      <c r="DEC209"/>
      <c r="DED209"/>
      <c r="DEE209"/>
      <c r="DEF209"/>
      <c r="DEG209"/>
      <c r="DEH209"/>
      <c r="DEI209"/>
      <c r="DEJ209"/>
      <c r="DEK209"/>
      <c r="DEL209"/>
      <c r="DEM209"/>
      <c r="DEN209"/>
      <c r="DEO209"/>
      <c r="DEP209"/>
      <c r="DEQ209"/>
      <c r="DER209"/>
      <c r="DES209"/>
      <c r="DET209"/>
      <c r="DEU209"/>
      <c r="DEV209"/>
      <c r="DEW209"/>
      <c r="DEX209"/>
      <c r="DEY209"/>
      <c r="DEZ209"/>
      <c r="DFA209"/>
      <c r="DFB209"/>
      <c r="DFC209"/>
      <c r="DFD209"/>
      <c r="DFE209"/>
      <c r="DFF209"/>
      <c r="DFG209"/>
      <c r="DFH209"/>
      <c r="DFI209"/>
      <c r="DFJ209"/>
      <c r="DFK209"/>
      <c r="DFL209"/>
      <c r="DFM209"/>
      <c r="DFN209"/>
      <c r="DFO209"/>
      <c r="DFP209"/>
      <c r="DFQ209"/>
      <c r="DFR209"/>
      <c r="DFS209"/>
      <c r="DFT209"/>
      <c r="DFU209"/>
      <c r="DFV209"/>
      <c r="DFW209"/>
      <c r="DFX209"/>
      <c r="DFY209"/>
      <c r="DFZ209"/>
      <c r="DGA209"/>
      <c r="DGB209"/>
      <c r="DGC209"/>
      <c r="DGD209"/>
      <c r="DGE209"/>
      <c r="DGF209"/>
      <c r="DGG209"/>
      <c r="DGH209"/>
      <c r="DGI209"/>
      <c r="DGJ209"/>
      <c r="DGK209"/>
      <c r="DGL209"/>
      <c r="DGM209"/>
      <c r="DGN209"/>
      <c r="DGO209"/>
      <c r="DGP209"/>
      <c r="DGQ209"/>
      <c r="DGR209"/>
      <c r="DGS209"/>
      <c r="DGT209"/>
      <c r="DGU209"/>
      <c r="DGV209"/>
      <c r="DGW209"/>
      <c r="DGX209"/>
      <c r="DGY209"/>
      <c r="DGZ209"/>
      <c r="DHA209"/>
      <c r="DHB209"/>
      <c r="DHC209"/>
      <c r="DHD209"/>
      <c r="DHE209"/>
      <c r="DHF209"/>
      <c r="DHG209"/>
      <c r="DHH209"/>
      <c r="DHI209"/>
      <c r="DHJ209"/>
      <c r="DHK209"/>
      <c r="DHL209"/>
      <c r="DHM209"/>
      <c r="DHN209"/>
      <c r="DHO209"/>
      <c r="DHP209"/>
      <c r="DHQ209"/>
      <c r="DHR209"/>
      <c r="DHS209"/>
      <c r="DHT209"/>
      <c r="DHU209"/>
      <c r="DHV209"/>
      <c r="DHW209"/>
      <c r="DHX209"/>
      <c r="DHY209"/>
      <c r="DHZ209"/>
      <c r="DIA209"/>
      <c r="DIB209"/>
      <c r="DIC209"/>
      <c r="DID209"/>
      <c r="DIE209"/>
      <c r="DIF209"/>
      <c r="DIG209"/>
      <c r="DIH209"/>
      <c r="DII209"/>
      <c r="DIJ209"/>
      <c r="DIK209"/>
      <c r="DIL209"/>
      <c r="DIM209"/>
      <c r="DIN209"/>
      <c r="DIO209"/>
      <c r="DIP209"/>
      <c r="DIQ209"/>
      <c r="DIR209"/>
      <c r="DIS209"/>
      <c r="DIT209"/>
      <c r="DIU209"/>
      <c r="DIV209"/>
      <c r="DIW209"/>
      <c r="DIX209"/>
      <c r="DIY209"/>
      <c r="DIZ209"/>
      <c r="DJA209"/>
      <c r="DJB209"/>
      <c r="DJC209"/>
      <c r="DJD209"/>
      <c r="DJE209"/>
      <c r="DJF209"/>
      <c r="DJG209"/>
      <c r="DJH209"/>
      <c r="DJI209"/>
      <c r="DJJ209"/>
      <c r="DJK209"/>
      <c r="DJL209"/>
      <c r="DJM209"/>
      <c r="DJN209"/>
      <c r="DJO209"/>
      <c r="DJP209"/>
      <c r="DJQ209"/>
      <c r="DJR209"/>
      <c r="DJS209"/>
      <c r="DJT209"/>
      <c r="DJU209"/>
      <c r="DJV209"/>
      <c r="DJW209"/>
      <c r="DJX209"/>
      <c r="DJY209"/>
      <c r="DJZ209"/>
      <c r="DKA209"/>
      <c r="DKB209"/>
      <c r="DKC209"/>
      <c r="DKD209"/>
      <c r="DKE209"/>
      <c r="DKF209"/>
      <c r="DKG209"/>
      <c r="DKH209"/>
      <c r="DKI209"/>
      <c r="DKJ209"/>
      <c r="DKK209"/>
      <c r="DKL209"/>
      <c r="DKM209"/>
      <c r="DKN209"/>
      <c r="DKO209"/>
      <c r="DKP209"/>
      <c r="DKQ209"/>
      <c r="DKR209"/>
      <c r="DKS209"/>
      <c r="DKT209"/>
      <c r="DKU209"/>
      <c r="DKV209"/>
      <c r="DKW209"/>
      <c r="DKX209"/>
      <c r="DKY209"/>
      <c r="DKZ209"/>
      <c r="DLA209"/>
      <c r="DLB209"/>
      <c r="DLC209"/>
      <c r="DLD209"/>
      <c r="DLE209"/>
      <c r="DLF209"/>
      <c r="DLG209"/>
      <c r="DLH209"/>
      <c r="DLI209"/>
      <c r="DLJ209"/>
      <c r="DLK209"/>
      <c r="DLL209"/>
      <c r="DLM209"/>
      <c r="DLN209"/>
      <c r="DLO209"/>
      <c r="DLP209"/>
      <c r="DLQ209"/>
      <c r="DLR209"/>
      <c r="DLS209"/>
      <c r="DLT209"/>
      <c r="DLU209"/>
      <c r="DLV209"/>
      <c r="DLW209"/>
      <c r="DLX209"/>
      <c r="DLY209"/>
      <c r="DLZ209"/>
      <c r="DMA209"/>
      <c r="DMB209"/>
      <c r="DMC209"/>
      <c r="DMD209"/>
      <c r="DME209"/>
      <c r="DMF209"/>
      <c r="DMG209"/>
      <c r="DMH209"/>
      <c r="DMI209"/>
      <c r="DMJ209"/>
      <c r="DMK209"/>
      <c r="DML209"/>
      <c r="DMM209"/>
      <c r="DMN209"/>
      <c r="DMO209"/>
      <c r="DMP209"/>
      <c r="DMQ209"/>
      <c r="DMR209"/>
      <c r="DMS209"/>
      <c r="DMT209"/>
      <c r="DMU209"/>
      <c r="DMV209"/>
      <c r="DMW209"/>
      <c r="DMX209"/>
      <c r="DMY209"/>
      <c r="DMZ209"/>
      <c r="DNA209"/>
      <c r="DNB209"/>
      <c r="DNC209"/>
      <c r="DND209"/>
      <c r="DNE209"/>
      <c r="DNF209"/>
      <c r="DNG209"/>
      <c r="DNH209"/>
      <c r="DNI209"/>
      <c r="DNJ209"/>
      <c r="DNK209"/>
      <c r="DNL209"/>
      <c r="DNM209"/>
      <c r="DNN209"/>
      <c r="DNO209"/>
      <c r="DNP209"/>
      <c r="DNQ209"/>
      <c r="DNR209"/>
      <c r="DNS209"/>
      <c r="DNT209"/>
      <c r="DNU209"/>
      <c r="DNV209"/>
      <c r="DNW209"/>
      <c r="DNX209"/>
      <c r="DNY209"/>
      <c r="DNZ209"/>
      <c r="DOA209"/>
      <c r="DOB209"/>
      <c r="DOC209"/>
      <c r="DOD209"/>
      <c r="DOE209"/>
      <c r="DOF209"/>
      <c r="DOG209"/>
      <c r="DOH209"/>
      <c r="DOI209"/>
      <c r="DOJ209"/>
      <c r="DOK209"/>
      <c r="DOL209"/>
      <c r="DOM209"/>
      <c r="DON209"/>
      <c r="DOO209"/>
      <c r="DOP209"/>
      <c r="DOQ209"/>
      <c r="DOR209"/>
      <c r="DOS209"/>
      <c r="DOT209"/>
      <c r="DOU209"/>
      <c r="DOV209"/>
      <c r="DOW209"/>
      <c r="DOX209"/>
      <c r="DOY209"/>
      <c r="DOZ209"/>
      <c r="DPA209"/>
      <c r="DPB209"/>
      <c r="DPC209"/>
      <c r="DPD209"/>
      <c r="DPE209"/>
      <c r="DPF209"/>
      <c r="DPG209"/>
      <c r="DPH209"/>
      <c r="DPI209"/>
      <c r="DPJ209"/>
      <c r="DPK209"/>
      <c r="DPL209"/>
      <c r="DPM209"/>
      <c r="DPN209"/>
      <c r="DPO209"/>
      <c r="DPP209"/>
      <c r="DPQ209"/>
      <c r="DPR209"/>
      <c r="DPS209"/>
      <c r="DPT209"/>
      <c r="DPU209"/>
      <c r="DPV209"/>
      <c r="DPW209"/>
      <c r="DPX209"/>
      <c r="DPY209"/>
      <c r="DPZ209"/>
      <c r="DQA209"/>
      <c r="DQB209"/>
      <c r="DQC209"/>
      <c r="DQD209"/>
      <c r="DQE209"/>
      <c r="DQF209"/>
      <c r="DQG209"/>
      <c r="DQH209"/>
      <c r="DQI209"/>
      <c r="DQJ209"/>
      <c r="DQK209"/>
      <c r="DQL209"/>
      <c r="DQM209"/>
      <c r="DQN209"/>
      <c r="DQO209"/>
      <c r="DQP209"/>
      <c r="DQQ209"/>
      <c r="DQR209"/>
      <c r="DQS209"/>
      <c r="DQT209"/>
      <c r="DQU209"/>
      <c r="DQV209"/>
      <c r="DQW209"/>
      <c r="DQX209"/>
      <c r="DQY209"/>
      <c r="DQZ209"/>
      <c r="DRA209"/>
      <c r="DRB209"/>
      <c r="DRC209"/>
      <c r="DRD209"/>
      <c r="DRE209"/>
      <c r="DRF209"/>
      <c r="DRG209"/>
      <c r="DRH209"/>
      <c r="DRI209"/>
      <c r="DRJ209"/>
      <c r="DRK209"/>
      <c r="DRL209"/>
      <c r="DRM209"/>
      <c r="DRN209"/>
      <c r="DRO209"/>
      <c r="DRP209"/>
      <c r="DRQ209"/>
      <c r="DRR209"/>
      <c r="DRS209"/>
      <c r="DRT209"/>
      <c r="DRU209"/>
      <c r="DRV209"/>
      <c r="DRW209"/>
      <c r="DRX209"/>
      <c r="DRY209"/>
      <c r="DRZ209"/>
      <c r="DSA209"/>
      <c r="DSB209"/>
      <c r="DSC209"/>
      <c r="DSD209"/>
      <c r="DSE209"/>
      <c r="DSF209"/>
      <c r="DSG209"/>
      <c r="DSH209"/>
      <c r="DSI209"/>
      <c r="DSJ209"/>
      <c r="DSK209"/>
      <c r="DSL209"/>
      <c r="DSM209"/>
      <c r="DSN209"/>
      <c r="DSO209"/>
      <c r="DSP209"/>
      <c r="DSQ209"/>
      <c r="DSR209"/>
      <c r="DSS209"/>
      <c r="DST209"/>
      <c r="DSU209"/>
      <c r="DSV209"/>
      <c r="DSW209"/>
      <c r="DSX209"/>
      <c r="DSY209"/>
      <c r="DSZ209"/>
      <c r="DTA209"/>
      <c r="DTB209"/>
      <c r="DTC209"/>
      <c r="DTD209"/>
      <c r="DTE209"/>
      <c r="DTF209"/>
      <c r="DTG209"/>
      <c r="DTH209"/>
      <c r="DTI209"/>
      <c r="DTJ209"/>
      <c r="DTK209"/>
      <c r="DTL209"/>
      <c r="DTM209"/>
      <c r="DTN209"/>
      <c r="DTO209"/>
      <c r="DTP209"/>
      <c r="DTQ209"/>
      <c r="DTR209"/>
      <c r="DTS209"/>
      <c r="DTT209"/>
      <c r="DTU209"/>
      <c r="DTV209"/>
      <c r="DTW209"/>
      <c r="DTX209"/>
      <c r="DTY209"/>
      <c r="DTZ209"/>
      <c r="DUA209"/>
      <c r="DUB209"/>
      <c r="DUC209"/>
      <c r="DUD209"/>
      <c r="DUE209"/>
      <c r="DUF209"/>
      <c r="DUG209"/>
      <c r="DUH209"/>
      <c r="DUI209"/>
      <c r="DUJ209"/>
      <c r="DUK209"/>
      <c r="DUL209"/>
      <c r="DUM209"/>
      <c r="DUN209"/>
      <c r="DUO209"/>
      <c r="DUP209"/>
      <c r="DUQ209"/>
      <c r="DUR209"/>
      <c r="DUS209"/>
      <c r="DUT209"/>
      <c r="DUU209"/>
      <c r="DUV209"/>
      <c r="DUW209"/>
      <c r="DUX209"/>
      <c r="DUY209"/>
      <c r="DUZ209"/>
      <c r="DVA209"/>
      <c r="DVB209"/>
      <c r="DVC209"/>
      <c r="DVD209"/>
      <c r="DVE209"/>
      <c r="DVF209"/>
      <c r="DVG209"/>
      <c r="DVH209"/>
      <c r="DVI209"/>
      <c r="DVJ209"/>
      <c r="DVK209"/>
      <c r="DVL209"/>
      <c r="DVM209"/>
      <c r="DVN209"/>
      <c r="DVO209"/>
      <c r="DVP209"/>
      <c r="DVQ209"/>
      <c r="DVR209"/>
      <c r="DVS209"/>
      <c r="DVT209"/>
      <c r="DVU209"/>
      <c r="DVV209"/>
      <c r="DVW209"/>
      <c r="DVX209"/>
      <c r="DVY209"/>
      <c r="DVZ209"/>
      <c r="DWA209"/>
      <c r="DWB209"/>
      <c r="DWC209"/>
      <c r="DWD209"/>
      <c r="DWE209"/>
      <c r="DWF209"/>
      <c r="DWG209"/>
      <c r="DWH209"/>
      <c r="DWI209"/>
      <c r="DWJ209"/>
      <c r="DWK209"/>
      <c r="DWL209"/>
      <c r="DWM209"/>
      <c r="DWN209"/>
      <c r="DWO209"/>
      <c r="DWP209"/>
      <c r="DWQ209"/>
      <c r="DWR209"/>
      <c r="DWS209"/>
      <c r="DWT209"/>
      <c r="DWU209"/>
      <c r="DWV209"/>
      <c r="DWW209"/>
      <c r="DWX209"/>
      <c r="DWY209"/>
      <c r="DWZ209"/>
      <c r="DXA209"/>
      <c r="DXB209"/>
      <c r="DXC209"/>
      <c r="DXD209"/>
      <c r="DXE209"/>
      <c r="DXF209"/>
      <c r="DXG209"/>
      <c r="DXH209"/>
      <c r="DXI209"/>
      <c r="DXJ209"/>
      <c r="DXK209"/>
      <c r="DXL209"/>
      <c r="DXM209"/>
      <c r="DXN209"/>
      <c r="DXO209"/>
      <c r="DXP209"/>
      <c r="DXQ209"/>
      <c r="DXR209"/>
      <c r="DXS209"/>
      <c r="DXT209"/>
      <c r="DXU209"/>
      <c r="DXV209"/>
      <c r="DXW209"/>
      <c r="DXX209"/>
      <c r="DXY209"/>
      <c r="DXZ209"/>
      <c r="DYA209"/>
      <c r="DYB209"/>
      <c r="DYC209"/>
      <c r="DYD209"/>
      <c r="DYE209"/>
      <c r="DYF209"/>
      <c r="DYG209"/>
      <c r="DYH209"/>
      <c r="DYI209"/>
      <c r="DYJ209"/>
      <c r="DYK209"/>
      <c r="DYL209"/>
      <c r="DYM209"/>
      <c r="DYN209"/>
      <c r="DYO209"/>
      <c r="DYP209"/>
      <c r="DYQ209"/>
      <c r="DYR209"/>
      <c r="DYS209"/>
      <c r="DYT209"/>
      <c r="DYU209"/>
      <c r="DYV209"/>
      <c r="DYW209"/>
      <c r="DYX209"/>
      <c r="DYY209"/>
      <c r="DYZ209"/>
      <c r="DZA209"/>
      <c r="DZB209"/>
      <c r="DZC209"/>
      <c r="DZD209"/>
      <c r="DZE209"/>
      <c r="DZF209"/>
      <c r="DZG209"/>
      <c r="DZH209"/>
      <c r="DZI209"/>
      <c r="DZJ209"/>
      <c r="DZK209"/>
      <c r="DZL209"/>
      <c r="DZM209"/>
      <c r="DZN209"/>
      <c r="DZO209"/>
      <c r="DZP209"/>
      <c r="DZQ209"/>
      <c r="DZR209"/>
      <c r="DZS209"/>
      <c r="DZT209"/>
      <c r="DZU209"/>
      <c r="DZV209"/>
      <c r="DZW209"/>
      <c r="DZX209"/>
      <c r="DZY209"/>
      <c r="DZZ209"/>
      <c r="EAA209"/>
      <c r="EAB209"/>
      <c r="EAC209"/>
      <c r="EAD209"/>
      <c r="EAE209"/>
      <c r="EAF209"/>
      <c r="EAG209"/>
      <c r="EAH209"/>
      <c r="EAI209"/>
      <c r="EAJ209"/>
      <c r="EAK209"/>
      <c r="EAL209"/>
      <c r="EAM209"/>
      <c r="EAN209"/>
      <c r="EAO209"/>
      <c r="EAP209"/>
      <c r="EAQ209"/>
      <c r="EAR209"/>
      <c r="EAS209"/>
      <c r="EAT209"/>
      <c r="EAU209"/>
      <c r="EAV209"/>
      <c r="EAW209"/>
      <c r="EAX209"/>
      <c r="EAY209"/>
      <c r="EAZ209"/>
      <c r="EBA209"/>
      <c r="EBB209"/>
      <c r="EBC209"/>
      <c r="EBD209"/>
      <c r="EBE209"/>
      <c r="EBF209"/>
      <c r="EBG209"/>
      <c r="EBH209"/>
      <c r="EBI209"/>
      <c r="EBJ209"/>
      <c r="EBK209"/>
      <c r="EBL209"/>
      <c r="EBM209"/>
      <c r="EBN209"/>
      <c r="EBO209"/>
      <c r="EBP209"/>
      <c r="EBQ209"/>
      <c r="EBR209"/>
      <c r="EBS209"/>
      <c r="EBT209"/>
      <c r="EBU209"/>
      <c r="EBV209"/>
      <c r="EBW209"/>
      <c r="EBX209"/>
      <c r="EBY209"/>
      <c r="EBZ209"/>
      <c r="ECA209"/>
      <c r="ECB209"/>
      <c r="ECC209"/>
      <c r="ECD209"/>
      <c r="ECE209"/>
      <c r="ECF209"/>
      <c r="ECG209"/>
      <c r="ECH209"/>
      <c r="ECI209"/>
      <c r="ECJ209"/>
      <c r="ECK209"/>
      <c r="ECL209"/>
      <c r="ECM209"/>
      <c r="ECN209"/>
      <c r="ECO209"/>
      <c r="ECP209"/>
      <c r="ECQ209"/>
      <c r="ECR209"/>
      <c r="ECS209"/>
      <c r="ECT209"/>
      <c r="ECU209"/>
      <c r="ECV209"/>
      <c r="ECW209"/>
      <c r="ECX209"/>
      <c r="ECY209"/>
      <c r="ECZ209"/>
      <c r="EDA209"/>
      <c r="EDB209"/>
      <c r="EDC209"/>
      <c r="EDD209"/>
      <c r="EDE209"/>
      <c r="EDF209"/>
      <c r="EDG209"/>
      <c r="EDH209"/>
      <c r="EDI209"/>
      <c r="EDJ209"/>
      <c r="EDK209"/>
      <c r="EDL209"/>
      <c r="EDM209"/>
      <c r="EDN209"/>
      <c r="EDO209"/>
      <c r="EDP209"/>
      <c r="EDQ209"/>
      <c r="EDR209"/>
      <c r="EDS209"/>
      <c r="EDT209"/>
      <c r="EDU209"/>
      <c r="EDV209"/>
      <c r="EDW209"/>
      <c r="EDX209"/>
      <c r="EDY209"/>
      <c r="EDZ209"/>
      <c r="EEA209"/>
      <c r="EEB209"/>
      <c r="EEC209"/>
      <c r="EED209"/>
      <c r="EEE209"/>
      <c r="EEF209"/>
      <c r="EEG209"/>
      <c r="EEH209"/>
      <c r="EEI209"/>
      <c r="EEJ209"/>
      <c r="EEK209"/>
      <c r="EEL209"/>
      <c r="EEM209"/>
      <c r="EEN209"/>
      <c r="EEO209"/>
      <c r="EEP209"/>
      <c r="EEQ209"/>
      <c r="EER209"/>
      <c r="EES209"/>
      <c r="EET209"/>
      <c r="EEU209"/>
      <c r="EEV209"/>
      <c r="EEW209"/>
      <c r="EEX209"/>
      <c r="EEY209"/>
      <c r="EEZ209"/>
      <c r="EFA209"/>
      <c r="EFB209"/>
      <c r="EFC209"/>
      <c r="EFD209"/>
      <c r="EFE209"/>
      <c r="EFF209"/>
      <c r="EFG209"/>
      <c r="EFH209"/>
      <c r="EFI209"/>
      <c r="EFJ209"/>
      <c r="EFK209"/>
      <c r="EFL209"/>
      <c r="EFM209"/>
      <c r="EFN209"/>
      <c r="EFO209"/>
      <c r="EFP209"/>
      <c r="EFQ209"/>
      <c r="EFR209"/>
      <c r="EFS209"/>
      <c r="EFT209"/>
      <c r="EFU209"/>
      <c r="EFV209"/>
      <c r="EFW209"/>
      <c r="EFX209"/>
      <c r="EFY209"/>
      <c r="EFZ209"/>
      <c r="EGA209"/>
      <c r="EGB209"/>
      <c r="EGC209"/>
      <c r="EGD209"/>
      <c r="EGE209"/>
      <c r="EGF209"/>
      <c r="EGG209"/>
      <c r="EGH209"/>
      <c r="EGI209"/>
      <c r="EGJ209"/>
      <c r="EGK209"/>
      <c r="EGL209"/>
      <c r="EGM209"/>
      <c r="EGN209"/>
      <c r="EGO209"/>
      <c r="EGP209"/>
      <c r="EGQ209"/>
      <c r="EGR209"/>
      <c r="EGS209"/>
      <c r="EGT209"/>
      <c r="EGU209"/>
      <c r="EGV209"/>
      <c r="EGW209"/>
      <c r="EGX209"/>
      <c r="EGY209"/>
      <c r="EGZ209"/>
      <c r="EHA209"/>
      <c r="EHB209"/>
      <c r="EHC209"/>
      <c r="EHD209"/>
      <c r="EHE209"/>
      <c r="EHF209"/>
      <c r="EHG209"/>
      <c r="EHH209"/>
      <c r="EHI209"/>
      <c r="EHJ209"/>
      <c r="EHK209"/>
      <c r="EHL209"/>
      <c r="EHM209"/>
      <c r="EHN209"/>
      <c r="EHO209"/>
      <c r="EHP209"/>
      <c r="EHQ209"/>
      <c r="EHR209"/>
      <c r="EHS209"/>
      <c r="EHT209"/>
      <c r="EHU209"/>
      <c r="EHV209"/>
      <c r="EHW209"/>
      <c r="EHX209"/>
      <c r="EHY209"/>
      <c r="EHZ209"/>
      <c r="EIA209"/>
      <c r="EIB209"/>
      <c r="EIC209"/>
      <c r="EID209"/>
      <c r="EIE209"/>
      <c r="EIF209"/>
      <c r="EIG209"/>
      <c r="EIH209"/>
      <c r="EII209"/>
      <c r="EIJ209"/>
      <c r="EIK209"/>
      <c r="EIL209"/>
      <c r="EIM209"/>
      <c r="EIN209"/>
      <c r="EIO209"/>
      <c r="EIP209"/>
      <c r="EIQ209"/>
      <c r="EIR209"/>
      <c r="EIS209"/>
      <c r="EIT209"/>
      <c r="EIU209"/>
      <c r="EIV209"/>
      <c r="EIW209"/>
      <c r="EIX209"/>
      <c r="EIY209"/>
      <c r="EIZ209"/>
      <c r="EJA209"/>
      <c r="EJB209"/>
      <c r="EJC209"/>
      <c r="EJD209"/>
      <c r="EJE209"/>
      <c r="EJF209"/>
      <c r="EJG209"/>
      <c r="EJH209"/>
      <c r="EJI209"/>
      <c r="EJJ209"/>
      <c r="EJK209"/>
      <c r="EJL209"/>
      <c r="EJM209"/>
      <c r="EJN209"/>
      <c r="EJO209"/>
      <c r="EJP209"/>
      <c r="EJQ209"/>
      <c r="EJR209"/>
      <c r="EJS209"/>
      <c r="EJT209"/>
      <c r="EJU209"/>
      <c r="EJV209"/>
      <c r="EJW209"/>
      <c r="EJX209"/>
      <c r="EJY209"/>
      <c r="EJZ209"/>
      <c r="EKA209"/>
      <c r="EKB209"/>
      <c r="EKC209"/>
      <c r="EKD209"/>
      <c r="EKE209"/>
      <c r="EKF209"/>
      <c r="EKG209"/>
      <c r="EKH209"/>
      <c r="EKI209"/>
      <c r="EKJ209"/>
      <c r="EKK209"/>
      <c r="EKL209"/>
      <c r="EKM209"/>
      <c r="EKN209"/>
      <c r="EKO209"/>
      <c r="EKP209"/>
      <c r="EKQ209"/>
      <c r="EKR209"/>
      <c r="EKS209"/>
      <c r="EKT209"/>
      <c r="EKU209"/>
      <c r="EKV209"/>
      <c r="EKW209"/>
      <c r="EKX209"/>
      <c r="EKY209"/>
      <c r="EKZ209"/>
      <c r="ELA209"/>
      <c r="ELB209"/>
      <c r="ELC209"/>
      <c r="ELD209"/>
      <c r="ELE209"/>
      <c r="ELF209"/>
      <c r="ELG209"/>
      <c r="ELH209"/>
      <c r="ELI209"/>
      <c r="ELJ209"/>
      <c r="ELK209"/>
      <c r="ELL209"/>
      <c r="ELM209"/>
      <c r="ELN209"/>
      <c r="ELO209"/>
      <c r="ELP209"/>
      <c r="ELQ209"/>
      <c r="ELR209"/>
      <c r="ELS209"/>
      <c r="ELT209"/>
      <c r="ELU209"/>
      <c r="ELV209"/>
      <c r="ELW209"/>
      <c r="ELX209"/>
      <c r="ELY209"/>
      <c r="ELZ209"/>
      <c r="EMA209"/>
      <c r="EMB209"/>
      <c r="EMC209"/>
      <c r="EMD209"/>
      <c r="EME209"/>
      <c r="EMF209"/>
      <c r="EMG209"/>
      <c r="EMH209"/>
      <c r="EMI209"/>
      <c r="EMJ209"/>
      <c r="EMK209"/>
      <c r="EML209"/>
      <c r="EMM209"/>
      <c r="EMN209"/>
      <c r="EMO209"/>
      <c r="EMP209"/>
      <c r="EMQ209"/>
      <c r="EMR209"/>
      <c r="EMS209"/>
      <c r="EMT209"/>
      <c r="EMU209"/>
      <c r="EMV209"/>
      <c r="EMW209"/>
      <c r="EMX209"/>
      <c r="EMY209"/>
      <c r="EMZ209"/>
      <c r="ENA209"/>
      <c r="ENB209"/>
      <c r="ENC209"/>
      <c r="END209"/>
      <c r="ENE209"/>
      <c r="ENF209"/>
      <c r="ENG209"/>
      <c r="ENH209"/>
      <c r="ENI209"/>
      <c r="ENJ209"/>
      <c r="ENK209"/>
      <c r="ENL209"/>
      <c r="ENM209"/>
      <c r="ENN209"/>
      <c r="ENO209"/>
      <c r="ENP209"/>
      <c r="ENQ209"/>
      <c r="ENR209"/>
      <c r="ENS209"/>
      <c r="ENT209"/>
      <c r="ENU209"/>
      <c r="ENV209"/>
      <c r="ENW209"/>
      <c r="ENX209"/>
      <c r="ENY209"/>
      <c r="ENZ209"/>
      <c r="EOA209"/>
      <c r="EOB209"/>
      <c r="EOC209"/>
      <c r="EOD209"/>
      <c r="EOE209"/>
      <c r="EOF209"/>
      <c r="EOG209"/>
      <c r="EOH209"/>
      <c r="EOI209"/>
      <c r="EOJ209"/>
      <c r="EOK209"/>
      <c r="EOL209"/>
      <c r="EOM209"/>
      <c r="EON209"/>
      <c r="EOO209"/>
      <c r="EOP209"/>
      <c r="EOQ209"/>
      <c r="EOR209"/>
      <c r="EOS209"/>
      <c r="EOT209"/>
      <c r="EOU209"/>
      <c r="EOV209"/>
      <c r="EOW209"/>
      <c r="EOX209"/>
      <c r="EOY209"/>
      <c r="EOZ209"/>
      <c r="EPA209"/>
      <c r="EPB209"/>
      <c r="EPC209"/>
      <c r="EPD209"/>
      <c r="EPE209"/>
      <c r="EPF209"/>
      <c r="EPG209"/>
      <c r="EPH209"/>
      <c r="EPI209"/>
      <c r="EPJ209"/>
      <c r="EPK209"/>
      <c r="EPL209"/>
      <c r="EPM209"/>
      <c r="EPN209"/>
      <c r="EPO209"/>
      <c r="EPP209"/>
      <c r="EPQ209"/>
      <c r="EPR209"/>
      <c r="EPS209"/>
      <c r="EPT209"/>
      <c r="EPU209"/>
      <c r="EPV209"/>
      <c r="EPW209"/>
      <c r="EPX209"/>
      <c r="EPY209"/>
      <c r="EPZ209"/>
      <c r="EQA209"/>
      <c r="EQB209"/>
      <c r="EQC209"/>
      <c r="EQD209"/>
      <c r="EQE209"/>
      <c r="EQF209"/>
      <c r="EQG209"/>
      <c r="EQH209"/>
      <c r="EQI209"/>
      <c r="EQJ209"/>
      <c r="EQK209"/>
      <c r="EQL209"/>
      <c r="EQM209"/>
      <c r="EQN209"/>
      <c r="EQO209"/>
      <c r="EQP209"/>
      <c r="EQQ209"/>
      <c r="EQR209"/>
      <c r="EQS209"/>
      <c r="EQT209"/>
      <c r="EQU209"/>
      <c r="EQV209"/>
      <c r="EQW209"/>
      <c r="EQX209"/>
      <c r="EQY209"/>
      <c r="EQZ209"/>
      <c r="ERA209"/>
      <c r="ERB209"/>
      <c r="ERC209"/>
      <c r="ERD209"/>
      <c r="ERE209"/>
      <c r="ERF209"/>
      <c r="ERG209"/>
      <c r="ERH209"/>
      <c r="ERI209"/>
      <c r="ERJ209"/>
      <c r="ERK209"/>
      <c r="ERL209"/>
      <c r="ERM209"/>
      <c r="ERN209"/>
      <c r="ERO209"/>
      <c r="ERP209"/>
      <c r="ERQ209"/>
      <c r="ERR209"/>
      <c r="ERS209"/>
      <c r="ERT209"/>
      <c r="ERU209"/>
      <c r="ERV209"/>
      <c r="ERW209"/>
      <c r="ERX209"/>
      <c r="ERY209"/>
      <c r="ERZ209"/>
      <c r="ESA209"/>
      <c r="ESB209"/>
      <c r="ESC209"/>
      <c r="ESD209"/>
      <c r="ESE209"/>
      <c r="ESF209"/>
      <c r="ESG209"/>
      <c r="ESH209"/>
      <c r="ESI209"/>
      <c r="ESJ209"/>
      <c r="ESK209"/>
      <c r="ESL209"/>
      <c r="ESM209"/>
      <c r="ESN209"/>
      <c r="ESO209"/>
      <c r="ESP209"/>
      <c r="ESQ209"/>
      <c r="ESR209"/>
      <c r="ESS209"/>
      <c r="EST209"/>
      <c r="ESU209"/>
      <c r="ESV209"/>
      <c r="ESW209"/>
      <c r="ESX209"/>
      <c r="ESY209"/>
      <c r="ESZ209"/>
      <c r="ETA209"/>
      <c r="ETB209"/>
      <c r="ETC209"/>
      <c r="ETD209"/>
      <c r="ETE209"/>
      <c r="ETF209"/>
      <c r="ETG209"/>
      <c r="ETH209"/>
      <c r="ETI209"/>
      <c r="ETJ209"/>
      <c r="ETK209"/>
      <c r="ETL209"/>
      <c r="ETM209"/>
      <c r="ETN209"/>
      <c r="ETO209"/>
      <c r="ETP209"/>
      <c r="ETQ209"/>
      <c r="ETR209"/>
      <c r="ETS209"/>
      <c r="ETT209"/>
      <c r="ETU209"/>
      <c r="ETV209"/>
      <c r="ETW209"/>
      <c r="ETX209"/>
      <c r="ETY209"/>
      <c r="ETZ209"/>
      <c r="EUA209"/>
      <c r="EUB209"/>
      <c r="EUC209"/>
      <c r="EUD209"/>
      <c r="EUE209"/>
      <c r="EUF209"/>
      <c r="EUG209"/>
      <c r="EUH209"/>
      <c r="EUI209"/>
      <c r="EUJ209"/>
      <c r="EUK209"/>
      <c r="EUL209"/>
      <c r="EUM209"/>
      <c r="EUN209"/>
      <c r="EUO209"/>
      <c r="EUP209"/>
      <c r="EUQ209"/>
      <c r="EUR209"/>
      <c r="EUS209"/>
      <c r="EUT209"/>
      <c r="EUU209"/>
      <c r="EUV209"/>
      <c r="EUW209"/>
      <c r="EUX209"/>
      <c r="EUY209"/>
      <c r="EUZ209"/>
      <c r="EVA209"/>
      <c r="EVB209"/>
      <c r="EVC209"/>
      <c r="EVD209"/>
      <c r="EVE209"/>
      <c r="EVF209"/>
      <c r="EVG209"/>
      <c r="EVH209"/>
      <c r="EVI209"/>
      <c r="EVJ209"/>
      <c r="EVK209"/>
      <c r="EVL209"/>
      <c r="EVM209"/>
      <c r="EVN209"/>
      <c r="EVO209"/>
      <c r="EVP209"/>
      <c r="EVQ209"/>
      <c r="EVR209"/>
      <c r="EVS209"/>
      <c r="EVT209"/>
      <c r="EVU209"/>
      <c r="EVV209"/>
      <c r="EVW209"/>
      <c r="EVX209"/>
      <c r="EVY209"/>
      <c r="EVZ209"/>
      <c r="EWA209"/>
      <c r="EWB209"/>
      <c r="EWC209"/>
      <c r="EWD209"/>
      <c r="EWE209"/>
      <c r="EWF209"/>
      <c r="EWG209"/>
      <c r="EWH209"/>
      <c r="EWI209"/>
      <c r="EWJ209"/>
      <c r="EWK209"/>
      <c r="EWL209"/>
      <c r="EWM209"/>
      <c r="EWN209"/>
      <c r="EWO209"/>
      <c r="EWP209"/>
      <c r="EWQ209"/>
      <c r="EWR209"/>
      <c r="EWS209"/>
      <c r="EWT209"/>
      <c r="EWU209"/>
      <c r="EWV209"/>
      <c r="EWW209"/>
      <c r="EWX209"/>
      <c r="EWY209"/>
      <c r="EWZ209"/>
      <c r="EXA209"/>
      <c r="EXB209"/>
      <c r="EXC209"/>
      <c r="EXD209"/>
      <c r="EXE209"/>
      <c r="EXF209"/>
      <c r="EXG209"/>
      <c r="EXH209"/>
      <c r="EXI209"/>
      <c r="EXJ209"/>
      <c r="EXK209"/>
      <c r="EXL209"/>
      <c r="EXM209"/>
      <c r="EXN209"/>
      <c r="EXO209"/>
      <c r="EXP209"/>
      <c r="EXQ209"/>
      <c r="EXR209"/>
      <c r="EXS209"/>
      <c r="EXT209"/>
      <c r="EXU209"/>
      <c r="EXV209"/>
      <c r="EXW209"/>
      <c r="EXX209"/>
      <c r="EXY209"/>
      <c r="EXZ209"/>
      <c r="EYA209"/>
      <c r="EYB209"/>
      <c r="EYC209"/>
      <c r="EYD209"/>
      <c r="EYE209"/>
      <c r="EYF209"/>
      <c r="EYG209"/>
      <c r="EYH209"/>
      <c r="EYI209"/>
      <c r="EYJ209"/>
      <c r="EYK209"/>
      <c r="EYL209"/>
      <c r="EYM209"/>
      <c r="EYN209"/>
      <c r="EYO209"/>
      <c r="EYP209"/>
      <c r="EYQ209"/>
      <c r="EYR209"/>
      <c r="EYS209"/>
      <c r="EYT209"/>
      <c r="EYU209"/>
      <c r="EYV209"/>
      <c r="EYW209"/>
      <c r="EYX209"/>
      <c r="EYY209"/>
      <c r="EYZ209"/>
      <c r="EZA209"/>
      <c r="EZB209"/>
      <c r="EZC209"/>
      <c r="EZD209"/>
      <c r="EZE209"/>
      <c r="EZF209"/>
      <c r="EZG209"/>
      <c r="EZH209"/>
      <c r="EZI209"/>
      <c r="EZJ209"/>
      <c r="EZK209"/>
      <c r="EZL209"/>
      <c r="EZM209"/>
      <c r="EZN209"/>
      <c r="EZO209"/>
      <c r="EZP209"/>
      <c r="EZQ209"/>
      <c r="EZR209"/>
      <c r="EZS209"/>
      <c r="EZT209"/>
      <c r="EZU209"/>
      <c r="EZV209"/>
      <c r="EZW209"/>
      <c r="EZX209"/>
      <c r="EZY209"/>
      <c r="EZZ209"/>
      <c r="FAA209"/>
      <c r="FAB209"/>
      <c r="FAC209"/>
      <c r="FAD209"/>
      <c r="FAE209"/>
      <c r="FAF209"/>
      <c r="FAG209"/>
      <c r="FAH209"/>
      <c r="FAI209"/>
      <c r="FAJ209"/>
      <c r="FAK209"/>
      <c r="FAL209"/>
      <c r="FAM209"/>
      <c r="FAN209"/>
      <c r="FAO209"/>
      <c r="FAP209"/>
      <c r="FAQ209"/>
      <c r="FAR209"/>
      <c r="FAS209"/>
      <c r="FAT209"/>
      <c r="FAU209"/>
      <c r="FAV209"/>
      <c r="FAW209"/>
      <c r="FAX209"/>
      <c r="FAY209"/>
      <c r="FAZ209"/>
      <c r="FBA209"/>
      <c r="FBB209"/>
      <c r="FBC209"/>
      <c r="FBD209"/>
      <c r="FBE209"/>
      <c r="FBF209"/>
      <c r="FBG209"/>
      <c r="FBH209"/>
      <c r="FBI209"/>
      <c r="FBJ209"/>
      <c r="FBK209"/>
      <c r="FBL209"/>
      <c r="FBM209"/>
      <c r="FBN209"/>
      <c r="FBO209"/>
      <c r="FBP209"/>
      <c r="FBQ209"/>
      <c r="FBR209"/>
      <c r="FBS209"/>
      <c r="FBT209"/>
      <c r="FBU209"/>
      <c r="FBV209"/>
      <c r="FBW209"/>
      <c r="FBX209"/>
      <c r="FBY209"/>
      <c r="FBZ209"/>
      <c r="FCA209"/>
      <c r="FCB209"/>
      <c r="FCC209"/>
      <c r="FCD209"/>
      <c r="FCE209"/>
      <c r="FCF209"/>
      <c r="FCG209"/>
      <c r="FCH209"/>
      <c r="FCI209"/>
      <c r="FCJ209"/>
      <c r="FCK209"/>
      <c r="FCL209"/>
      <c r="FCM209"/>
      <c r="FCN209"/>
      <c r="FCO209"/>
      <c r="FCP209"/>
      <c r="FCQ209"/>
      <c r="FCR209"/>
      <c r="FCS209"/>
      <c r="FCT209"/>
      <c r="FCU209"/>
      <c r="FCV209"/>
      <c r="FCW209"/>
      <c r="FCX209"/>
      <c r="FCY209"/>
      <c r="FCZ209"/>
      <c r="FDA209"/>
      <c r="FDB209"/>
      <c r="FDC209"/>
      <c r="FDD209"/>
      <c r="FDE209"/>
      <c r="FDF209"/>
      <c r="FDG209"/>
      <c r="FDH209"/>
      <c r="FDI209"/>
      <c r="FDJ209"/>
      <c r="FDK209"/>
      <c r="FDL209"/>
      <c r="FDM209"/>
      <c r="FDN209"/>
      <c r="FDO209"/>
      <c r="FDP209"/>
      <c r="FDQ209"/>
      <c r="FDR209"/>
      <c r="FDS209"/>
      <c r="FDT209"/>
      <c r="FDU209"/>
      <c r="FDV209"/>
      <c r="FDW209"/>
      <c r="FDX209"/>
      <c r="FDY209"/>
      <c r="FDZ209"/>
      <c r="FEA209"/>
      <c r="FEB209"/>
      <c r="FEC209"/>
      <c r="FED209"/>
      <c r="FEE209"/>
      <c r="FEF209"/>
      <c r="FEG209"/>
      <c r="FEH209"/>
      <c r="FEI209"/>
      <c r="FEJ209"/>
      <c r="FEK209"/>
      <c r="FEL209"/>
      <c r="FEM209"/>
      <c r="FEN209"/>
      <c r="FEO209"/>
      <c r="FEP209"/>
      <c r="FEQ209"/>
      <c r="FER209"/>
      <c r="FES209"/>
      <c r="FET209"/>
      <c r="FEU209"/>
      <c r="FEV209"/>
      <c r="FEW209"/>
      <c r="FEX209"/>
      <c r="FEY209"/>
      <c r="FEZ209"/>
      <c r="FFA209"/>
      <c r="FFB209"/>
      <c r="FFC209"/>
      <c r="FFD209"/>
      <c r="FFE209"/>
      <c r="FFF209"/>
      <c r="FFG209"/>
      <c r="FFH209"/>
      <c r="FFI209"/>
      <c r="FFJ209"/>
      <c r="FFK209"/>
      <c r="FFL209"/>
      <c r="FFM209"/>
      <c r="FFN209"/>
      <c r="FFO209"/>
      <c r="FFP209"/>
      <c r="FFQ209"/>
      <c r="FFR209"/>
      <c r="FFS209"/>
      <c r="FFT209"/>
      <c r="FFU209"/>
      <c r="FFV209"/>
      <c r="FFW209"/>
      <c r="FFX209"/>
      <c r="FFY209"/>
      <c r="FFZ209"/>
      <c r="FGA209"/>
      <c r="FGB209"/>
      <c r="FGC209"/>
      <c r="FGD209"/>
      <c r="FGE209"/>
      <c r="FGF209"/>
      <c r="FGG209"/>
      <c r="FGH209"/>
      <c r="FGI209"/>
      <c r="FGJ209"/>
      <c r="FGK209"/>
      <c r="FGL209"/>
      <c r="FGM209"/>
      <c r="FGN209"/>
      <c r="FGO209"/>
      <c r="FGP209"/>
      <c r="FGQ209"/>
      <c r="FGR209"/>
      <c r="FGS209"/>
      <c r="FGT209"/>
      <c r="FGU209"/>
      <c r="FGV209"/>
      <c r="FGW209"/>
      <c r="FGX209"/>
      <c r="FGY209"/>
      <c r="FGZ209"/>
      <c r="FHA209"/>
      <c r="FHB209"/>
      <c r="FHC209"/>
      <c r="FHD209"/>
      <c r="FHE209"/>
      <c r="FHF209"/>
      <c r="FHG209"/>
      <c r="FHH209"/>
      <c r="FHI209"/>
      <c r="FHJ209"/>
      <c r="FHK209"/>
      <c r="FHL209"/>
      <c r="FHM209"/>
      <c r="FHN209"/>
      <c r="FHO209"/>
      <c r="FHP209"/>
      <c r="FHQ209"/>
      <c r="FHR209"/>
      <c r="FHS209"/>
      <c r="FHT209"/>
      <c r="FHU209"/>
      <c r="FHV209"/>
      <c r="FHW209"/>
      <c r="FHX209"/>
      <c r="FHY209"/>
      <c r="FHZ209"/>
      <c r="FIA209"/>
      <c r="FIB209"/>
      <c r="FIC209"/>
      <c r="FID209"/>
      <c r="FIE209"/>
      <c r="FIF209"/>
      <c r="FIG209"/>
      <c r="FIH209"/>
      <c r="FII209"/>
      <c r="FIJ209"/>
      <c r="FIK209"/>
      <c r="FIL209"/>
      <c r="FIM209"/>
      <c r="FIN209"/>
      <c r="FIO209"/>
      <c r="FIP209"/>
      <c r="FIQ209"/>
      <c r="FIR209"/>
      <c r="FIS209"/>
      <c r="FIT209"/>
      <c r="FIU209"/>
      <c r="FIV209"/>
      <c r="FIW209"/>
      <c r="FIX209"/>
      <c r="FIY209"/>
      <c r="FIZ209"/>
      <c r="FJA209"/>
      <c r="FJB209"/>
      <c r="FJC209"/>
      <c r="FJD209"/>
      <c r="FJE209"/>
      <c r="FJF209"/>
      <c r="FJG209"/>
      <c r="FJH209"/>
      <c r="FJI209"/>
      <c r="FJJ209"/>
      <c r="FJK209"/>
      <c r="FJL209"/>
      <c r="FJM209"/>
      <c r="FJN209"/>
      <c r="FJO209"/>
      <c r="FJP209"/>
      <c r="FJQ209"/>
      <c r="FJR209"/>
      <c r="FJS209"/>
      <c r="FJT209"/>
      <c r="FJU209"/>
      <c r="FJV209"/>
      <c r="FJW209"/>
      <c r="FJX209"/>
      <c r="FJY209"/>
      <c r="FJZ209"/>
      <c r="FKA209"/>
      <c r="FKB209"/>
      <c r="FKC209"/>
      <c r="FKD209"/>
      <c r="FKE209"/>
      <c r="FKF209"/>
      <c r="FKG209"/>
      <c r="FKH209"/>
      <c r="FKI209"/>
      <c r="FKJ209"/>
      <c r="FKK209"/>
      <c r="FKL209"/>
      <c r="FKM209"/>
      <c r="FKN209"/>
      <c r="FKO209"/>
      <c r="FKP209"/>
      <c r="FKQ209"/>
      <c r="FKR209"/>
      <c r="FKS209"/>
      <c r="FKT209"/>
      <c r="FKU209"/>
      <c r="FKV209"/>
      <c r="FKW209"/>
      <c r="FKX209"/>
      <c r="FKY209"/>
      <c r="FKZ209"/>
      <c r="FLA209"/>
      <c r="FLB209"/>
      <c r="FLC209"/>
      <c r="FLD209"/>
      <c r="FLE209"/>
      <c r="FLF209"/>
      <c r="FLG209"/>
      <c r="FLH209"/>
      <c r="FLI209"/>
      <c r="FLJ209"/>
      <c r="FLK209"/>
      <c r="FLL209"/>
      <c r="FLM209"/>
      <c r="FLN209"/>
      <c r="FLO209"/>
      <c r="FLP209"/>
      <c r="FLQ209"/>
      <c r="FLR209"/>
      <c r="FLS209"/>
      <c r="FLT209"/>
      <c r="FLU209"/>
      <c r="FLV209"/>
      <c r="FLW209"/>
      <c r="FLX209"/>
      <c r="FLY209"/>
      <c r="FLZ209"/>
      <c r="FMA209"/>
      <c r="FMB209"/>
      <c r="FMC209"/>
      <c r="FMD209"/>
      <c r="FME209"/>
      <c r="FMF209"/>
      <c r="FMG209"/>
      <c r="FMH209"/>
      <c r="FMI209"/>
      <c r="FMJ209"/>
      <c r="FMK209"/>
      <c r="FML209"/>
      <c r="FMM209"/>
      <c r="FMN209"/>
      <c r="FMO209"/>
      <c r="FMP209"/>
      <c r="FMQ209"/>
      <c r="FMR209"/>
      <c r="FMS209"/>
      <c r="FMT209"/>
      <c r="FMU209"/>
      <c r="FMV209"/>
      <c r="FMW209"/>
      <c r="FMX209"/>
      <c r="FMY209"/>
      <c r="FMZ209"/>
      <c r="FNA209"/>
      <c r="FNB209"/>
      <c r="FNC209"/>
      <c r="FND209"/>
      <c r="FNE209"/>
      <c r="FNF209"/>
      <c r="FNG209"/>
      <c r="FNH209"/>
      <c r="FNI209"/>
      <c r="FNJ209"/>
      <c r="FNK209"/>
      <c r="FNL209"/>
      <c r="FNM209"/>
      <c r="FNN209"/>
      <c r="FNO209"/>
      <c r="FNP209"/>
      <c r="FNQ209"/>
      <c r="FNR209"/>
      <c r="FNS209"/>
      <c r="FNT209"/>
      <c r="FNU209"/>
      <c r="FNV209"/>
      <c r="FNW209"/>
      <c r="FNX209"/>
      <c r="FNY209"/>
      <c r="FNZ209"/>
      <c r="FOA209"/>
      <c r="FOB209"/>
      <c r="FOC209"/>
      <c r="FOD209"/>
      <c r="FOE209"/>
      <c r="FOF209"/>
      <c r="FOG209"/>
      <c r="FOH209"/>
      <c r="FOI209"/>
      <c r="FOJ209"/>
      <c r="FOK209"/>
      <c r="FOL209"/>
      <c r="FOM209"/>
      <c r="FON209"/>
      <c r="FOO209"/>
      <c r="FOP209"/>
      <c r="FOQ209"/>
      <c r="FOR209"/>
      <c r="FOS209"/>
      <c r="FOT209"/>
      <c r="FOU209"/>
      <c r="FOV209"/>
      <c r="FOW209"/>
      <c r="FOX209"/>
      <c r="FOY209"/>
      <c r="FOZ209"/>
      <c r="FPA209"/>
      <c r="FPB209"/>
      <c r="FPC209"/>
      <c r="FPD209"/>
      <c r="FPE209"/>
      <c r="FPF209"/>
      <c r="FPG209"/>
      <c r="FPH209"/>
      <c r="FPI209"/>
      <c r="FPJ209"/>
      <c r="FPK209"/>
      <c r="FPL209"/>
      <c r="FPM209"/>
      <c r="FPN209"/>
      <c r="FPO209"/>
      <c r="FPP209"/>
      <c r="FPQ209"/>
      <c r="FPR209"/>
      <c r="FPS209"/>
      <c r="FPT209"/>
      <c r="FPU209"/>
      <c r="FPV209"/>
      <c r="FPW209"/>
      <c r="FPX209"/>
      <c r="FPY209"/>
      <c r="FPZ209"/>
      <c r="FQA209"/>
      <c r="FQB209"/>
      <c r="FQC209"/>
      <c r="FQD209"/>
      <c r="FQE209"/>
      <c r="FQF209"/>
      <c r="FQG209"/>
      <c r="FQH209"/>
      <c r="FQI209"/>
      <c r="FQJ209"/>
      <c r="FQK209"/>
      <c r="FQL209"/>
      <c r="FQM209"/>
      <c r="FQN209"/>
      <c r="FQO209"/>
      <c r="FQP209"/>
      <c r="FQQ209"/>
      <c r="FQR209"/>
      <c r="FQS209"/>
      <c r="FQT209"/>
      <c r="FQU209"/>
      <c r="FQV209"/>
      <c r="FQW209"/>
      <c r="FQX209"/>
      <c r="FQY209"/>
      <c r="FQZ209"/>
      <c r="FRA209"/>
      <c r="FRB209"/>
      <c r="FRC209"/>
      <c r="FRD209"/>
      <c r="FRE209"/>
      <c r="FRF209"/>
      <c r="FRG209"/>
      <c r="FRH209"/>
      <c r="FRI209"/>
      <c r="FRJ209"/>
      <c r="FRK209"/>
      <c r="FRL209"/>
      <c r="FRM209"/>
      <c r="FRN209"/>
      <c r="FRO209"/>
      <c r="FRP209"/>
      <c r="FRQ209"/>
      <c r="FRR209"/>
      <c r="FRS209"/>
      <c r="FRT209"/>
      <c r="FRU209"/>
      <c r="FRV209"/>
      <c r="FRW209"/>
      <c r="FRX209"/>
      <c r="FRY209"/>
      <c r="FRZ209"/>
      <c r="FSA209"/>
      <c r="FSB209"/>
      <c r="FSC209"/>
      <c r="FSD209"/>
      <c r="FSE209"/>
      <c r="FSF209"/>
      <c r="FSG209"/>
      <c r="FSH209"/>
      <c r="FSI209"/>
      <c r="FSJ209"/>
      <c r="FSK209"/>
      <c r="FSL209"/>
      <c r="FSM209"/>
      <c r="FSN209"/>
      <c r="FSO209"/>
      <c r="FSP209"/>
      <c r="FSQ209"/>
      <c r="FSR209"/>
      <c r="FSS209"/>
      <c r="FST209"/>
      <c r="FSU209"/>
      <c r="FSV209"/>
      <c r="FSW209"/>
      <c r="FSX209"/>
      <c r="FSY209"/>
      <c r="FSZ209"/>
      <c r="FTA209"/>
      <c r="FTB209"/>
      <c r="FTC209"/>
      <c r="FTD209"/>
      <c r="FTE209"/>
      <c r="FTF209"/>
      <c r="FTG209"/>
      <c r="FTH209"/>
      <c r="FTI209"/>
      <c r="FTJ209"/>
      <c r="FTK209"/>
      <c r="FTL209"/>
      <c r="FTM209"/>
      <c r="FTN209"/>
      <c r="FTO209"/>
      <c r="FTP209"/>
      <c r="FTQ209"/>
      <c r="FTR209"/>
      <c r="FTS209"/>
      <c r="FTT209"/>
      <c r="FTU209"/>
      <c r="FTV209"/>
      <c r="FTW209"/>
      <c r="FTX209"/>
      <c r="FTY209"/>
      <c r="FTZ209"/>
      <c r="FUA209"/>
      <c r="FUB209"/>
      <c r="FUC209"/>
      <c r="FUD209"/>
      <c r="FUE209"/>
      <c r="FUF209"/>
      <c r="FUG209"/>
      <c r="FUH209"/>
      <c r="FUI209"/>
      <c r="FUJ209"/>
      <c r="FUK209"/>
      <c r="FUL209"/>
      <c r="FUM209"/>
      <c r="FUN209"/>
      <c r="FUO209"/>
      <c r="FUP209"/>
      <c r="FUQ209"/>
      <c r="FUR209"/>
      <c r="FUS209"/>
      <c r="FUT209"/>
      <c r="FUU209"/>
      <c r="FUV209"/>
      <c r="FUW209"/>
      <c r="FUX209"/>
      <c r="FUY209"/>
      <c r="FUZ209"/>
      <c r="FVA209"/>
      <c r="FVB209"/>
      <c r="FVC209"/>
      <c r="FVD209"/>
      <c r="FVE209"/>
      <c r="FVF209"/>
      <c r="FVG209"/>
      <c r="FVH209"/>
      <c r="FVI209"/>
      <c r="FVJ209"/>
      <c r="FVK209"/>
      <c r="FVL209"/>
      <c r="FVM209"/>
      <c r="FVN209"/>
      <c r="FVO209"/>
      <c r="FVP209"/>
      <c r="FVQ209"/>
      <c r="FVR209"/>
      <c r="FVS209"/>
      <c r="FVT209"/>
      <c r="FVU209"/>
      <c r="FVV209"/>
      <c r="FVW209"/>
      <c r="FVX209"/>
      <c r="FVY209"/>
      <c r="FVZ209"/>
      <c r="FWA209"/>
      <c r="FWB209"/>
      <c r="FWC209"/>
      <c r="FWD209"/>
      <c r="FWE209"/>
      <c r="FWF209"/>
      <c r="FWG209"/>
      <c r="FWH209"/>
      <c r="FWI209"/>
      <c r="FWJ209"/>
      <c r="FWK209"/>
      <c r="FWL209"/>
      <c r="FWM209"/>
      <c r="FWN209"/>
      <c r="FWO209"/>
      <c r="FWP209"/>
      <c r="FWQ209"/>
      <c r="FWR209"/>
      <c r="FWS209"/>
      <c r="FWT209"/>
      <c r="FWU209"/>
      <c r="FWV209"/>
      <c r="FWW209"/>
      <c r="FWX209"/>
      <c r="FWY209"/>
      <c r="FWZ209"/>
      <c r="FXA209"/>
      <c r="FXB209"/>
      <c r="FXC209"/>
      <c r="FXD209"/>
      <c r="FXE209"/>
      <c r="FXF209"/>
      <c r="FXG209"/>
      <c r="FXH209"/>
      <c r="FXI209"/>
      <c r="FXJ209"/>
      <c r="FXK209"/>
      <c r="FXL209"/>
      <c r="FXM209"/>
      <c r="FXN209"/>
      <c r="FXO209"/>
      <c r="FXP209"/>
      <c r="FXQ209"/>
      <c r="FXR209"/>
      <c r="FXS209"/>
      <c r="FXT209"/>
      <c r="FXU209"/>
      <c r="FXV209"/>
      <c r="FXW209"/>
      <c r="FXX209"/>
      <c r="FXY209"/>
      <c r="FXZ209"/>
      <c r="FYA209"/>
      <c r="FYB209"/>
      <c r="FYC209"/>
      <c r="FYD209"/>
      <c r="FYE209"/>
      <c r="FYF209"/>
      <c r="FYG209"/>
      <c r="FYH209"/>
      <c r="FYI209"/>
      <c r="FYJ209"/>
      <c r="FYK209"/>
      <c r="FYL209"/>
      <c r="FYM209"/>
      <c r="FYN209"/>
      <c r="FYO209"/>
      <c r="FYP209"/>
      <c r="FYQ209"/>
      <c r="FYR209"/>
      <c r="FYS209"/>
      <c r="FYT209"/>
      <c r="FYU209"/>
      <c r="FYV209"/>
      <c r="FYW209"/>
      <c r="FYX209"/>
      <c r="FYY209"/>
      <c r="FYZ209"/>
      <c r="FZA209"/>
      <c r="FZB209"/>
      <c r="FZC209"/>
      <c r="FZD209"/>
      <c r="FZE209"/>
      <c r="FZF209"/>
      <c r="FZG209"/>
      <c r="FZH209"/>
      <c r="FZI209"/>
      <c r="FZJ209"/>
      <c r="FZK209"/>
      <c r="FZL209"/>
      <c r="FZM209"/>
      <c r="FZN209"/>
      <c r="FZO209"/>
      <c r="FZP209"/>
      <c r="FZQ209"/>
      <c r="FZR209"/>
      <c r="FZS209"/>
      <c r="FZT209"/>
      <c r="FZU209"/>
      <c r="FZV209"/>
      <c r="FZW209"/>
      <c r="FZX209"/>
      <c r="FZY209"/>
      <c r="FZZ209"/>
      <c r="GAA209"/>
      <c r="GAB209"/>
      <c r="GAC209"/>
      <c r="GAD209"/>
      <c r="GAE209"/>
      <c r="GAF209"/>
      <c r="GAG209"/>
      <c r="GAH209"/>
      <c r="GAI209"/>
      <c r="GAJ209"/>
      <c r="GAK209"/>
      <c r="GAL209"/>
      <c r="GAM209"/>
      <c r="GAN209"/>
      <c r="GAO209"/>
      <c r="GAP209"/>
      <c r="GAQ209"/>
      <c r="GAR209"/>
      <c r="GAS209"/>
      <c r="GAT209"/>
      <c r="GAU209"/>
      <c r="GAV209"/>
      <c r="GAW209"/>
      <c r="GAX209"/>
      <c r="GAY209"/>
      <c r="GAZ209"/>
      <c r="GBA209"/>
      <c r="GBB209"/>
      <c r="GBC209"/>
      <c r="GBD209"/>
      <c r="GBE209"/>
      <c r="GBF209"/>
      <c r="GBG209"/>
      <c r="GBH209"/>
      <c r="GBI209"/>
      <c r="GBJ209"/>
      <c r="GBK209"/>
      <c r="GBL209"/>
      <c r="GBM209"/>
      <c r="GBN209"/>
      <c r="GBO209"/>
      <c r="GBP209"/>
      <c r="GBQ209"/>
      <c r="GBR209"/>
      <c r="GBS209"/>
      <c r="GBT209"/>
      <c r="GBU209"/>
      <c r="GBV209"/>
      <c r="GBW209"/>
      <c r="GBX209"/>
      <c r="GBY209"/>
      <c r="GBZ209"/>
      <c r="GCA209"/>
      <c r="GCB209"/>
      <c r="GCC209"/>
      <c r="GCD209"/>
      <c r="GCE209"/>
      <c r="GCF209"/>
      <c r="GCG209"/>
      <c r="GCH209"/>
      <c r="GCI209"/>
      <c r="GCJ209"/>
      <c r="GCK209"/>
      <c r="GCL209"/>
      <c r="GCM209"/>
      <c r="GCN209"/>
      <c r="GCO209"/>
      <c r="GCP209"/>
      <c r="GCQ209"/>
      <c r="GCR209"/>
      <c r="GCS209"/>
      <c r="GCT209"/>
      <c r="GCU209"/>
      <c r="GCV209"/>
      <c r="GCW209"/>
      <c r="GCX209"/>
      <c r="GCY209"/>
      <c r="GCZ209"/>
      <c r="GDA209"/>
      <c r="GDB209"/>
      <c r="GDC209"/>
      <c r="GDD209"/>
      <c r="GDE209"/>
      <c r="GDF209"/>
      <c r="GDG209"/>
      <c r="GDH209"/>
      <c r="GDI209"/>
      <c r="GDJ209"/>
      <c r="GDK209"/>
      <c r="GDL209"/>
      <c r="GDM209"/>
      <c r="GDN209"/>
      <c r="GDO209"/>
      <c r="GDP209"/>
      <c r="GDQ209"/>
      <c r="GDR209"/>
      <c r="GDS209"/>
      <c r="GDT209"/>
      <c r="GDU209"/>
      <c r="GDV209"/>
      <c r="GDW209"/>
      <c r="GDX209"/>
      <c r="GDY209"/>
      <c r="GDZ209"/>
      <c r="GEA209"/>
      <c r="GEB209"/>
      <c r="GEC209"/>
      <c r="GED209"/>
      <c r="GEE209"/>
      <c r="GEF209"/>
      <c r="GEG209"/>
      <c r="GEH209"/>
      <c r="GEI209"/>
      <c r="GEJ209"/>
      <c r="GEK209"/>
      <c r="GEL209"/>
      <c r="GEM209"/>
      <c r="GEN209"/>
      <c r="GEO209"/>
      <c r="GEP209"/>
      <c r="GEQ209"/>
      <c r="GER209"/>
      <c r="GES209"/>
      <c r="GET209"/>
      <c r="GEU209"/>
      <c r="GEV209"/>
      <c r="GEW209"/>
      <c r="GEX209"/>
      <c r="GEY209"/>
      <c r="GEZ209"/>
      <c r="GFA209"/>
      <c r="GFB209"/>
      <c r="GFC209"/>
      <c r="GFD209"/>
      <c r="GFE209"/>
      <c r="GFF209"/>
      <c r="GFG209"/>
      <c r="GFH209"/>
      <c r="GFI209"/>
      <c r="GFJ209"/>
      <c r="GFK209"/>
      <c r="GFL209"/>
      <c r="GFM209"/>
      <c r="GFN209"/>
      <c r="GFO209"/>
      <c r="GFP209"/>
      <c r="GFQ209"/>
      <c r="GFR209"/>
      <c r="GFS209"/>
      <c r="GFT209"/>
      <c r="GFU209"/>
      <c r="GFV209"/>
      <c r="GFW209"/>
      <c r="GFX209"/>
      <c r="GFY209"/>
      <c r="GFZ209"/>
      <c r="GGA209"/>
      <c r="GGB209"/>
      <c r="GGC209"/>
      <c r="GGD209"/>
      <c r="GGE209"/>
      <c r="GGF209"/>
      <c r="GGG209"/>
      <c r="GGH209"/>
      <c r="GGI209"/>
      <c r="GGJ209"/>
      <c r="GGK209"/>
      <c r="GGL209"/>
      <c r="GGM209"/>
      <c r="GGN209"/>
      <c r="GGO209"/>
      <c r="GGP209"/>
      <c r="GGQ209"/>
      <c r="GGR209"/>
      <c r="GGS209"/>
      <c r="GGT209"/>
      <c r="GGU209"/>
      <c r="GGV209"/>
      <c r="GGW209"/>
      <c r="GGX209"/>
      <c r="GGY209"/>
      <c r="GGZ209"/>
      <c r="GHA209"/>
      <c r="GHB209"/>
      <c r="GHC209"/>
      <c r="GHD209"/>
      <c r="GHE209"/>
      <c r="GHF209"/>
      <c r="GHG209"/>
      <c r="GHH209"/>
      <c r="GHI209"/>
      <c r="GHJ209"/>
      <c r="GHK209"/>
      <c r="GHL209"/>
      <c r="GHM209"/>
      <c r="GHN209"/>
      <c r="GHO209"/>
      <c r="GHP209"/>
      <c r="GHQ209"/>
      <c r="GHR209"/>
      <c r="GHS209"/>
      <c r="GHT209"/>
      <c r="GHU209"/>
      <c r="GHV209"/>
      <c r="GHW209"/>
      <c r="GHX209"/>
      <c r="GHY209"/>
      <c r="GHZ209"/>
      <c r="GIA209"/>
      <c r="GIB209"/>
      <c r="GIC209"/>
      <c r="GID209"/>
      <c r="GIE209"/>
      <c r="GIF209"/>
      <c r="GIG209"/>
      <c r="GIH209"/>
      <c r="GII209"/>
      <c r="GIJ209"/>
      <c r="GIK209"/>
      <c r="GIL209"/>
      <c r="GIM209"/>
      <c r="GIN209"/>
      <c r="GIO209"/>
      <c r="GIP209"/>
      <c r="GIQ209"/>
      <c r="GIR209"/>
      <c r="GIS209"/>
      <c r="GIT209"/>
      <c r="GIU209"/>
      <c r="GIV209"/>
      <c r="GIW209"/>
      <c r="GIX209"/>
      <c r="GIY209"/>
      <c r="GIZ209"/>
      <c r="GJA209"/>
      <c r="GJB209"/>
      <c r="GJC209"/>
      <c r="GJD209"/>
      <c r="GJE209"/>
      <c r="GJF209"/>
      <c r="GJG209"/>
      <c r="GJH209"/>
      <c r="GJI209"/>
      <c r="GJJ209"/>
      <c r="GJK209"/>
      <c r="GJL209"/>
      <c r="GJM209"/>
      <c r="GJN209"/>
      <c r="GJO209"/>
      <c r="GJP209"/>
      <c r="GJQ209"/>
      <c r="GJR209"/>
      <c r="GJS209"/>
      <c r="GJT209"/>
      <c r="GJU209"/>
      <c r="GJV209"/>
      <c r="GJW209"/>
      <c r="GJX209"/>
      <c r="GJY209"/>
      <c r="GJZ209"/>
      <c r="GKA209"/>
      <c r="GKB209"/>
      <c r="GKC209"/>
      <c r="GKD209"/>
      <c r="GKE209"/>
      <c r="GKF209"/>
      <c r="GKG209"/>
      <c r="GKH209"/>
      <c r="GKI209"/>
      <c r="GKJ209"/>
      <c r="GKK209"/>
      <c r="GKL209"/>
      <c r="GKM209"/>
      <c r="GKN209"/>
      <c r="GKO209"/>
      <c r="GKP209"/>
      <c r="GKQ209"/>
      <c r="GKR209"/>
      <c r="GKS209"/>
      <c r="GKT209"/>
      <c r="GKU209"/>
      <c r="GKV209"/>
      <c r="GKW209"/>
      <c r="GKX209"/>
      <c r="GKY209"/>
      <c r="GKZ209"/>
      <c r="GLA209"/>
      <c r="GLB209"/>
      <c r="GLC209"/>
      <c r="GLD209"/>
      <c r="GLE209"/>
      <c r="GLF209"/>
      <c r="GLG209"/>
      <c r="GLH209"/>
      <c r="GLI209"/>
      <c r="GLJ209"/>
      <c r="GLK209"/>
      <c r="GLL209"/>
      <c r="GLM209"/>
      <c r="GLN209"/>
      <c r="GLO209"/>
      <c r="GLP209"/>
      <c r="GLQ209"/>
      <c r="GLR209"/>
      <c r="GLS209"/>
      <c r="GLT209"/>
      <c r="GLU209"/>
      <c r="GLV209"/>
      <c r="GLW209"/>
      <c r="GLX209"/>
      <c r="GLY209"/>
      <c r="GLZ209"/>
      <c r="GMA209"/>
      <c r="GMB209"/>
      <c r="GMC209"/>
      <c r="GMD209"/>
      <c r="GME209"/>
      <c r="GMF209"/>
      <c r="GMG209"/>
      <c r="GMH209"/>
      <c r="GMI209"/>
      <c r="GMJ209"/>
      <c r="GMK209"/>
      <c r="GML209"/>
      <c r="GMM209"/>
      <c r="GMN209"/>
      <c r="GMO209"/>
      <c r="GMP209"/>
      <c r="GMQ209"/>
      <c r="GMR209"/>
      <c r="GMS209"/>
      <c r="GMT209"/>
      <c r="GMU209"/>
      <c r="GMV209"/>
      <c r="GMW209"/>
      <c r="GMX209"/>
      <c r="GMY209"/>
      <c r="GMZ209"/>
      <c r="GNA209"/>
      <c r="GNB209"/>
      <c r="GNC209"/>
      <c r="GND209"/>
      <c r="GNE209"/>
      <c r="GNF209"/>
      <c r="GNG209"/>
      <c r="GNH209"/>
      <c r="GNI209"/>
      <c r="GNJ209"/>
      <c r="GNK209"/>
      <c r="GNL209"/>
      <c r="GNM209"/>
      <c r="GNN209"/>
      <c r="GNO209"/>
      <c r="GNP209"/>
      <c r="GNQ209"/>
      <c r="GNR209"/>
      <c r="GNS209"/>
      <c r="GNT209"/>
      <c r="GNU209"/>
      <c r="GNV209"/>
      <c r="GNW209"/>
      <c r="GNX209"/>
      <c r="GNY209"/>
      <c r="GNZ209"/>
      <c r="GOA209"/>
      <c r="GOB209"/>
      <c r="GOC209"/>
      <c r="GOD209"/>
      <c r="GOE209"/>
      <c r="GOF209"/>
      <c r="GOG209"/>
      <c r="GOH209"/>
      <c r="GOI209"/>
      <c r="GOJ209"/>
      <c r="GOK209"/>
      <c r="GOL209"/>
      <c r="GOM209"/>
      <c r="GON209"/>
      <c r="GOO209"/>
      <c r="GOP209"/>
      <c r="GOQ209"/>
      <c r="GOR209"/>
      <c r="GOS209"/>
      <c r="GOT209"/>
      <c r="GOU209"/>
      <c r="GOV209"/>
      <c r="GOW209"/>
      <c r="GOX209"/>
      <c r="GOY209"/>
      <c r="GOZ209"/>
      <c r="GPA209"/>
      <c r="GPB209"/>
      <c r="GPC209"/>
      <c r="GPD209"/>
      <c r="GPE209"/>
      <c r="GPF209"/>
      <c r="GPG209"/>
      <c r="GPH209"/>
      <c r="GPI209"/>
      <c r="GPJ209"/>
      <c r="GPK209"/>
      <c r="GPL209"/>
      <c r="GPM209"/>
      <c r="GPN209"/>
      <c r="GPO209"/>
      <c r="GPP209"/>
      <c r="GPQ209"/>
      <c r="GPR209"/>
      <c r="GPS209"/>
      <c r="GPT209"/>
      <c r="GPU209"/>
      <c r="GPV209"/>
      <c r="GPW209"/>
      <c r="GPX209"/>
      <c r="GPY209"/>
      <c r="GPZ209"/>
      <c r="GQA209"/>
      <c r="GQB209"/>
      <c r="GQC209"/>
      <c r="GQD209"/>
      <c r="GQE209"/>
      <c r="GQF209"/>
      <c r="GQG209"/>
      <c r="GQH209"/>
      <c r="GQI209"/>
      <c r="GQJ209"/>
      <c r="GQK209"/>
      <c r="GQL209"/>
      <c r="GQM209"/>
      <c r="GQN209"/>
      <c r="GQO209"/>
      <c r="GQP209"/>
      <c r="GQQ209"/>
      <c r="GQR209"/>
      <c r="GQS209"/>
      <c r="GQT209"/>
      <c r="GQU209"/>
      <c r="GQV209"/>
      <c r="GQW209"/>
      <c r="GQX209"/>
      <c r="GQY209"/>
      <c r="GQZ209"/>
      <c r="GRA209"/>
      <c r="GRB209"/>
      <c r="GRC209"/>
      <c r="GRD209"/>
      <c r="GRE209"/>
      <c r="GRF209"/>
      <c r="GRG209"/>
      <c r="GRH209"/>
      <c r="GRI209"/>
      <c r="GRJ209"/>
      <c r="GRK209"/>
      <c r="GRL209"/>
      <c r="GRM209"/>
      <c r="GRN209"/>
      <c r="GRO209"/>
      <c r="GRP209"/>
      <c r="GRQ209"/>
      <c r="GRR209"/>
      <c r="GRS209"/>
      <c r="GRT209"/>
      <c r="GRU209"/>
      <c r="GRV209"/>
      <c r="GRW209"/>
      <c r="GRX209"/>
      <c r="GRY209"/>
      <c r="GRZ209"/>
      <c r="GSA209"/>
      <c r="GSB209"/>
      <c r="GSC209"/>
      <c r="GSD209"/>
      <c r="GSE209"/>
      <c r="GSF209"/>
      <c r="GSG209"/>
      <c r="GSH209"/>
      <c r="GSI209"/>
      <c r="GSJ209"/>
      <c r="GSK209"/>
      <c r="GSL209"/>
      <c r="GSM209"/>
      <c r="GSN209"/>
      <c r="GSO209"/>
      <c r="GSP209"/>
      <c r="GSQ209"/>
      <c r="GSR209"/>
      <c r="GSS209"/>
      <c r="GST209"/>
      <c r="GSU209"/>
      <c r="GSV209"/>
      <c r="GSW209"/>
      <c r="GSX209"/>
      <c r="GSY209"/>
      <c r="GSZ209"/>
      <c r="GTA209"/>
      <c r="GTB209"/>
      <c r="GTC209"/>
      <c r="GTD209"/>
      <c r="GTE209"/>
      <c r="GTF209"/>
      <c r="GTG209"/>
      <c r="GTH209"/>
      <c r="GTI209"/>
      <c r="GTJ209"/>
      <c r="GTK209"/>
      <c r="GTL209"/>
      <c r="GTM209"/>
      <c r="GTN209"/>
      <c r="GTO209"/>
      <c r="GTP209"/>
      <c r="GTQ209"/>
      <c r="GTR209"/>
      <c r="GTS209"/>
      <c r="GTT209"/>
      <c r="GTU209"/>
      <c r="GTV209"/>
      <c r="GTW209"/>
      <c r="GTX209"/>
      <c r="GTY209"/>
      <c r="GTZ209"/>
      <c r="GUA209"/>
      <c r="GUB209"/>
      <c r="GUC209"/>
      <c r="GUD209"/>
      <c r="GUE209"/>
      <c r="GUF209"/>
      <c r="GUG209"/>
      <c r="GUH209"/>
      <c r="GUI209"/>
      <c r="GUJ209"/>
      <c r="GUK209"/>
      <c r="GUL209"/>
      <c r="GUM209"/>
      <c r="GUN209"/>
      <c r="GUO209"/>
      <c r="GUP209"/>
      <c r="GUQ209"/>
      <c r="GUR209"/>
      <c r="GUS209"/>
      <c r="GUT209"/>
      <c r="GUU209"/>
      <c r="GUV209"/>
      <c r="GUW209"/>
      <c r="GUX209"/>
      <c r="GUY209"/>
      <c r="GUZ209"/>
      <c r="GVA209"/>
      <c r="GVB209"/>
      <c r="GVC209"/>
      <c r="GVD209"/>
      <c r="GVE209"/>
      <c r="GVF209"/>
      <c r="GVG209"/>
      <c r="GVH209"/>
      <c r="GVI209"/>
      <c r="GVJ209"/>
      <c r="GVK209"/>
      <c r="GVL209"/>
      <c r="GVM209"/>
      <c r="GVN209"/>
      <c r="GVO209"/>
      <c r="GVP209"/>
      <c r="GVQ209"/>
      <c r="GVR209"/>
      <c r="GVS209"/>
      <c r="GVT209"/>
      <c r="GVU209"/>
      <c r="GVV209"/>
      <c r="GVW209"/>
      <c r="GVX209"/>
      <c r="GVY209"/>
      <c r="GVZ209"/>
      <c r="GWA209"/>
      <c r="GWB209"/>
      <c r="GWC209"/>
      <c r="GWD209"/>
      <c r="GWE209"/>
      <c r="GWF209"/>
      <c r="GWG209"/>
      <c r="GWH209"/>
      <c r="GWI209"/>
      <c r="GWJ209"/>
      <c r="GWK209"/>
      <c r="GWL209"/>
      <c r="GWM209"/>
      <c r="GWN209"/>
      <c r="GWO209"/>
      <c r="GWP209"/>
      <c r="GWQ209"/>
      <c r="GWR209"/>
      <c r="GWS209"/>
      <c r="GWT209"/>
      <c r="GWU209"/>
      <c r="GWV209"/>
      <c r="GWW209"/>
      <c r="GWX209"/>
      <c r="GWY209"/>
      <c r="GWZ209"/>
      <c r="GXA209"/>
      <c r="GXB209"/>
      <c r="GXC209"/>
      <c r="GXD209"/>
      <c r="GXE209"/>
      <c r="GXF209"/>
      <c r="GXG209"/>
      <c r="GXH209"/>
      <c r="GXI209"/>
      <c r="GXJ209"/>
      <c r="GXK209"/>
      <c r="GXL209"/>
      <c r="GXM209"/>
      <c r="GXN209"/>
      <c r="GXO209"/>
      <c r="GXP209"/>
      <c r="GXQ209"/>
      <c r="GXR209"/>
      <c r="GXS209"/>
      <c r="GXT209"/>
      <c r="GXU209"/>
      <c r="GXV209"/>
      <c r="GXW209"/>
      <c r="GXX209"/>
      <c r="GXY209"/>
      <c r="GXZ209"/>
      <c r="GYA209"/>
      <c r="GYB209"/>
      <c r="GYC209"/>
      <c r="GYD209"/>
      <c r="GYE209"/>
      <c r="GYF209"/>
      <c r="GYG209"/>
      <c r="GYH209"/>
      <c r="GYI209"/>
      <c r="GYJ209"/>
      <c r="GYK209"/>
      <c r="GYL209"/>
      <c r="GYM209"/>
      <c r="GYN209"/>
      <c r="GYO209"/>
      <c r="GYP209"/>
      <c r="GYQ209"/>
      <c r="GYR209"/>
      <c r="GYS209"/>
      <c r="GYT209"/>
      <c r="GYU209"/>
      <c r="GYV209"/>
      <c r="GYW209"/>
      <c r="GYX209"/>
      <c r="GYY209"/>
      <c r="GYZ209"/>
      <c r="GZA209"/>
      <c r="GZB209"/>
      <c r="GZC209"/>
      <c r="GZD209"/>
      <c r="GZE209"/>
      <c r="GZF209"/>
      <c r="GZG209"/>
      <c r="GZH209"/>
      <c r="GZI209"/>
      <c r="GZJ209"/>
      <c r="GZK209"/>
      <c r="GZL209"/>
      <c r="GZM209"/>
      <c r="GZN209"/>
      <c r="GZO209"/>
      <c r="GZP209"/>
      <c r="GZQ209"/>
      <c r="GZR209"/>
      <c r="GZS209"/>
      <c r="GZT209"/>
      <c r="GZU209"/>
      <c r="GZV209"/>
      <c r="GZW209"/>
      <c r="GZX209"/>
      <c r="GZY209"/>
      <c r="GZZ209"/>
      <c r="HAA209"/>
      <c r="HAB209"/>
      <c r="HAC209"/>
      <c r="HAD209"/>
      <c r="HAE209"/>
      <c r="HAF209"/>
      <c r="HAG209"/>
      <c r="HAH209"/>
      <c r="HAI209"/>
      <c r="HAJ209"/>
      <c r="HAK209"/>
      <c r="HAL209"/>
      <c r="HAM209"/>
      <c r="HAN209"/>
      <c r="HAO209"/>
      <c r="HAP209"/>
      <c r="HAQ209"/>
      <c r="HAR209"/>
      <c r="HAS209"/>
      <c r="HAT209"/>
      <c r="HAU209"/>
      <c r="HAV209"/>
      <c r="HAW209"/>
      <c r="HAX209"/>
      <c r="HAY209"/>
      <c r="HAZ209"/>
      <c r="HBA209"/>
      <c r="HBB209"/>
      <c r="HBC209"/>
      <c r="HBD209"/>
      <c r="HBE209"/>
      <c r="HBF209"/>
      <c r="HBG209"/>
      <c r="HBH209"/>
      <c r="HBI209"/>
      <c r="HBJ209"/>
      <c r="HBK209"/>
      <c r="HBL209"/>
      <c r="HBM209"/>
      <c r="HBN209"/>
      <c r="HBO209"/>
      <c r="HBP209"/>
      <c r="HBQ209"/>
      <c r="HBR209"/>
      <c r="HBS209"/>
      <c r="HBT209"/>
      <c r="HBU209"/>
      <c r="HBV209"/>
      <c r="HBW209"/>
      <c r="HBX209"/>
      <c r="HBY209"/>
      <c r="HBZ209"/>
      <c r="HCA209"/>
      <c r="HCB209"/>
      <c r="HCC209"/>
      <c r="HCD209"/>
      <c r="HCE209"/>
      <c r="HCF209"/>
      <c r="HCG209"/>
      <c r="HCH209"/>
      <c r="HCI209"/>
      <c r="HCJ209"/>
      <c r="HCK209"/>
      <c r="HCL209"/>
      <c r="HCM209"/>
      <c r="HCN209"/>
      <c r="HCO209"/>
      <c r="HCP209"/>
      <c r="HCQ209"/>
      <c r="HCR209"/>
      <c r="HCS209"/>
      <c r="HCT209"/>
      <c r="HCU209"/>
      <c r="HCV209"/>
      <c r="HCW209"/>
      <c r="HCX209"/>
      <c r="HCY209"/>
      <c r="HCZ209"/>
      <c r="HDA209"/>
      <c r="HDB209"/>
      <c r="HDC209"/>
      <c r="HDD209"/>
      <c r="HDE209"/>
      <c r="HDF209"/>
      <c r="HDG209"/>
      <c r="HDH209"/>
      <c r="HDI209"/>
      <c r="HDJ209"/>
      <c r="HDK209"/>
      <c r="HDL209"/>
      <c r="HDM209"/>
      <c r="HDN209"/>
      <c r="HDO209"/>
      <c r="HDP209"/>
      <c r="HDQ209"/>
      <c r="HDR209"/>
      <c r="HDS209"/>
      <c r="HDT209"/>
      <c r="HDU209"/>
      <c r="HDV209"/>
      <c r="HDW209"/>
      <c r="HDX209"/>
      <c r="HDY209"/>
      <c r="HDZ209"/>
      <c r="HEA209"/>
      <c r="HEB209"/>
      <c r="HEC209"/>
      <c r="HED209"/>
      <c r="HEE209"/>
      <c r="HEF209"/>
      <c r="HEG209"/>
      <c r="HEH209"/>
      <c r="HEI209"/>
      <c r="HEJ209"/>
      <c r="HEK209"/>
      <c r="HEL209"/>
      <c r="HEM209"/>
      <c r="HEN209"/>
      <c r="HEO209"/>
      <c r="HEP209"/>
      <c r="HEQ209"/>
      <c r="HER209"/>
      <c r="HES209"/>
      <c r="HET209"/>
      <c r="HEU209"/>
      <c r="HEV209"/>
      <c r="HEW209"/>
      <c r="HEX209"/>
      <c r="HEY209"/>
      <c r="HEZ209"/>
      <c r="HFA209"/>
      <c r="HFB209"/>
      <c r="HFC209"/>
      <c r="HFD209"/>
      <c r="HFE209"/>
      <c r="HFF209"/>
      <c r="HFG209"/>
      <c r="HFH209"/>
      <c r="HFI209"/>
      <c r="HFJ209"/>
      <c r="HFK209"/>
      <c r="HFL209"/>
      <c r="HFM209"/>
      <c r="HFN209"/>
      <c r="HFO209"/>
      <c r="HFP209"/>
      <c r="HFQ209"/>
      <c r="HFR209"/>
      <c r="HFS209"/>
      <c r="HFT209"/>
      <c r="HFU209"/>
      <c r="HFV209"/>
      <c r="HFW209"/>
      <c r="HFX209"/>
      <c r="HFY209"/>
      <c r="HFZ209"/>
      <c r="HGA209"/>
      <c r="HGB209"/>
      <c r="HGC209"/>
      <c r="HGD209"/>
      <c r="HGE209"/>
      <c r="HGF209"/>
      <c r="HGG209"/>
      <c r="HGH209"/>
      <c r="HGI209"/>
      <c r="HGJ209"/>
      <c r="HGK209"/>
      <c r="HGL209"/>
      <c r="HGM209"/>
      <c r="HGN209"/>
      <c r="HGO209"/>
      <c r="HGP209"/>
      <c r="HGQ209"/>
      <c r="HGR209"/>
      <c r="HGS209"/>
      <c r="HGT209"/>
      <c r="HGU209"/>
      <c r="HGV209"/>
      <c r="HGW209"/>
      <c r="HGX209"/>
      <c r="HGY209"/>
      <c r="HGZ209"/>
      <c r="HHA209"/>
      <c r="HHB209"/>
      <c r="HHC209"/>
      <c r="HHD209"/>
      <c r="HHE209"/>
      <c r="HHF209"/>
      <c r="HHG209"/>
      <c r="HHH209"/>
      <c r="HHI209"/>
      <c r="HHJ209"/>
      <c r="HHK209"/>
      <c r="HHL209"/>
      <c r="HHM209"/>
      <c r="HHN209"/>
      <c r="HHO209"/>
      <c r="HHP209"/>
      <c r="HHQ209"/>
      <c r="HHR209"/>
      <c r="HHS209"/>
      <c r="HHT209"/>
      <c r="HHU209"/>
      <c r="HHV209"/>
      <c r="HHW209"/>
      <c r="HHX209"/>
      <c r="HHY209"/>
      <c r="HHZ209"/>
      <c r="HIA209"/>
      <c r="HIB209"/>
      <c r="HIC209"/>
      <c r="HID209"/>
      <c r="HIE209"/>
      <c r="HIF209"/>
      <c r="HIG209"/>
      <c r="HIH209"/>
      <c r="HII209"/>
      <c r="HIJ209"/>
      <c r="HIK209"/>
      <c r="HIL209"/>
      <c r="HIM209"/>
      <c r="HIN209"/>
      <c r="HIO209"/>
      <c r="HIP209"/>
      <c r="HIQ209"/>
      <c r="HIR209"/>
      <c r="HIS209"/>
      <c r="HIT209"/>
      <c r="HIU209"/>
      <c r="HIV209"/>
      <c r="HIW209"/>
      <c r="HIX209"/>
      <c r="HIY209"/>
      <c r="HIZ209"/>
      <c r="HJA209"/>
      <c r="HJB209"/>
      <c r="HJC209"/>
      <c r="HJD209"/>
      <c r="HJE209"/>
      <c r="HJF209"/>
      <c r="HJG209"/>
      <c r="HJH209"/>
      <c r="HJI209"/>
      <c r="HJJ209"/>
      <c r="HJK209"/>
      <c r="HJL209"/>
      <c r="HJM209"/>
      <c r="HJN209"/>
      <c r="HJO209"/>
      <c r="HJP209"/>
      <c r="HJQ209"/>
      <c r="HJR209"/>
      <c r="HJS209"/>
      <c r="HJT209"/>
      <c r="HJU209"/>
      <c r="HJV209"/>
      <c r="HJW209"/>
      <c r="HJX209"/>
      <c r="HJY209"/>
      <c r="HJZ209"/>
      <c r="HKA209"/>
      <c r="HKB209"/>
      <c r="HKC209"/>
      <c r="HKD209"/>
      <c r="HKE209"/>
      <c r="HKF209"/>
      <c r="HKG209"/>
      <c r="HKH209"/>
      <c r="HKI209"/>
      <c r="HKJ209"/>
      <c r="HKK209"/>
      <c r="HKL209"/>
      <c r="HKM209"/>
      <c r="HKN209"/>
      <c r="HKO209"/>
      <c r="HKP209"/>
      <c r="HKQ209"/>
      <c r="HKR209"/>
      <c r="HKS209"/>
      <c r="HKT209"/>
      <c r="HKU209"/>
      <c r="HKV209"/>
      <c r="HKW209"/>
      <c r="HKX209"/>
      <c r="HKY209"/>
      <c r="HKZ209"/>
      <c r="HLA209"/>
      <c r="HLB209"/>
      <c r="HLC209"/>
      <c r="HLD209"/>
      <c r="HLE209"/>
      <c r="HLF209"/>
      <c r="HLG209"/>
      <c r="HLH209"/>
      <c r="HLI209"/>
      <c r="HLJ209"/>
      <c r="HLK209"/>
      <c r="HLL209"/>
      <c r="HLM209"/>
      <c r="HLN209"/>
      <c r="HLO209"/>
      <c r="HLP209"/>
      <c r="HLQ209"/>
      <c r="HLR209"/>
      <c r="HLS209"/>
      <c r="HLT209"/>
      <c r="HLU209"/>
      <c r="HLV209"/>
      <c r="HLW209"/>
      <c r="HLX209"/>
      <c r="HLY209"/>
      <c r="HLZ209"/>
      <c r="HMA209"/>
      <c r="HMB209"/>
      <c r="HMC209"/>
      <c r="HMD209"/>
      <c r="HME209"/>
      <c r="HMF209"/>
      <c r="HMG209"/>
      <c r="HMH209"/>
      <c r="HMI209"/>
      <c r="HMJ209"/>
      <c r="HMK209"/>
      <c r="HML209"/>
      <c r="HMM209"/>
      <c r="HMN209"/>
      <c r="HMO209"/>
      <c r="HMP209"/>
      <c r="HMQ209"/>
      <c r="HMR209"/>
      <c r="HMS209"/>
      <c r="HMT209"/>
      <c r="HMU209"/>
      <c r="HMV209"/>
      <c r="HMW209"/>
      <c r="HMX209"/>
      <c r="HMY209"/>
      <c r="HMZ209"/>
      <c r="HNA209"/>
      <c r="HNB209"/>
      <c r="HNC209"/>
      <c r="HND209"/>
      <c r="HNE209"/>
      <c r="HNF209"/>
      <c r="HNG209"/>
      <c r="HNH209"/>
      <c r="HNI209"/>
      <c r="HNJ209"/>
      <c r="HNK209"/>
      <c r="HNL209"/>
      <c r="HNM209"/>
      <c r="HNN209"/>
      <c r="HNO209"/>
      <c r="HNP209"/>
      <c r="HNQ209"/>
      <c r="HNR209"/>
      <c r="HNS209"/>
      <c r="HNT209"/>
      <c r="HNU209"/>
      <c r="HNV209"/>
      <c r="HNW209"/>
      <c r="HNX209"/>
      <c r="HNY209"/>
      <c r="HNZ209"/>
      <c r="HOA209"/>
      <c r="HOB209"/>
      <c r="HOC209"/>
      <c r="HOD209"/>
      <c r="HOE209"/>
      <c r="HOF209"/>
      <c r="HOG209"/>
      <c r="HOH209"/>
      <c r="HOI209"/>
      <c r="HOJ209"/>
      <c r="HOK209"/>
      <c r="HOL209"/>
      <c r="HOM209"/>
      <c r="HON209"/>
      <c r="HOO209"/>
      <c r="HOP209"/>
      <c r="HOQ209"/>
      <c r="HOR209"/>
      <c r="HOS209"/>
      <c r="HOT209"/>
      <c r="HOU209"/>
      <c r="HOV209"/>
      <c r="HOW209"/>
      <c r="HOX209"/>
      <c r="HOY209"/>
      <c r="HOZ209"/>
      <c r="HPA209"/>
      <c r="HPB209"/>
      <c r="HPC209"/>
      <c r="HPD209"/>
      <c r="HPE209"/>
      <c r="HPF209"/>
      <c r="HPG209"/>
      <c r="HPH209"/>
      <c r="HPI209"/>
      <c r="HPJ209"/>
      <c r="HPK209"/>
      <c r="HPL209"/>
      <c r="HPM209"/>
      <c r="HPN209"/>
      <c r="HPO209"/>
      <c r="HPP209"/>
      <c r="HPQ209"/>
      <c r="HPR209"/>
      <c r="HPS209"/>
      <c r="HPT209"/>
      <c r="HPU209"/>
      <c r="HPV209"/>
      <c r="HPW209"/>
      <c r="HPX209"/>
      <c r="HPY209"/>
      <c r="HPZ209"/>
      <c r="HQA209"/>
      <c r="HQB209"/>
      <c r="HQC209"/>
      <c r="HQD209"/>
      <c r="HQE209"/>
      <c r="HQF209"/>
      <c r="HQG209"/>
      <c r="HQH209"/>
      <c r="HQI209"/>
      <c r="HQJ209"/>
      <c r="HQK209"/>
      <c r="HQL209"/>
      <c r="HQM209"/>
      <c r="HQN209"/>
      <c r="HQO209"/>
      <c r="HQP209"/>
      <c r="HQQ209"/>
      <c r="HQR209"/>
      <c r="HQS209"/>
      <c r="HQT209"/>
      <c r="HQU209"/>
      <c r="HQV209"/>
      <c r="HQW209"/>
      <c r="HQX209"/>
      <c r="HQY209"/>
      <c r="HQZ209"/>
      <c r="HRA209"/>
      <c r="HRB209"/>
      <c r="HRC209"/>
      <c r="HRD209"/>
      <c r="HRE209"/>
      <c r="HRF209"/>
      <c r="HRG209"/>
      <c r="HRH209"/>
      <c r="HRI209"/>
      <c r="HRJ209"/>
      <c r="HRK209"/>
      <c r="HRL209"/>
      <c r="HRM209"/>
      <c r="HRN209"/>
      <c r="HRO209"/>
      <c r="HRP209"/>
      <c r="HRQ209"/>
      <c r="HRR209"/>
      <c r="HRS209"/>
      <c r="HRT209"/>
      <c r="HRU209"/>
      <c r="HRV209"/>
      <c r="HRW209"/>
      <c r="HRX209"/>
      <c r="HRY209"/>
      <c r="HRZ209"/>
      <c r="HSA209"/>
      <c r="HSB209"/>
      <c r="HSC209"/>
      <c r="HSD209"/>
      <c r="HSE209"/>
      <c r="HSF209"/>
      <c r="HSG209"/>
      <c r="HSH209"/>
      <c r="HSI209"/>
      <c r="HSJ209"/>
      <c r="HSK209"/>
      <c r="HSL209"/>
      <c r="HSM209"/>
      <c r="HSN209"/>
      <c r="HSO209"/>
      <c r="HSP209"/>
      <c r="HSQ209"/>
      <c r="HSR209"/>
      <c r="HSS209"/>
      <c r="HST209"/>
      <c r="HSU209"/>
      <c r="HSV209"/>
      <c r="HSW209"/>
      <c r="HSX209"/>
      <c r="HSY209"/>
      <c r="HSZ209"/>
      <c r="HTA209"/>
      <c r="HTB209"/>
      <c r="HTC209"/>
      <c r="HTD209"/>
      <c r="HTE209"/>
      <c r="HTF209"/>
      <c r="HTG209"/>
      <c r="HTH209"/>
      <c r="HTI209"/>
      <c r="HTJ209"/>
      <c r="HTK209"/>
      <c r="HTL209"/>
      <c r="HTM209"/>
      <c r="HTN209"/>
      <c r="HTO209"/>
      <c r="HTP209"/>
      <c r="HTQ209"/>
      <c r="HTR209"/>
      <c r="HTS209"/>
      <c r="HTT209"/>
      <c r="HTU209"/>
      <c r="HTV209"/>
      <c r="HTW209"/>
      <c r="HTX209"/>
      <c r="HTY209"/>
      <c r="HTZ209"/>
      <c r="HUA209"/>
      <c r="HUB209"/>
      <c r="HUC209"/>
      <c r="HUD209"/>
      <c r="HUE209"/>
      <c r="HUF209"/>
      <c r="HUG209"/>
      <c r="HUH209"/>
      <c r="HUI209"/>
      <c r="HUJ209"/>
      <c r="HUK209"/>
      <c r="HUL209"/>
      <c r="HUM209"/>
      <c r="HUN209"/>
      <c r="HUO209"/>
      <c r="HUP209"/>
      <c r="HUQ209"/>
      <c r="HUR209"/>
      <c r="HUS209"/>
      <c r="HUT209"/>
      <c r="HUU209"/>
      <c r="HUV209"/>
      <c r="HUW209"/>
      <c r="HUX209"/>
      <c r="HUY209"/>
      <c r="HUZ209"/>
      <c r="HVA209"/>
      <c r="HVB209"/>
      <c r="HVC209"/>
      <c r="HVD209"/>
      <c r="HVE209"/>
      <c r="HVF209"/>
      <c r="HVG209"/>
      <c r="HVH209"/>
      <c r="HVI209"/>
      <c r="HVJ209"/>
      <c r="HVK209"/>
      <c r="HVL209"/>
      <c r="HVM209"/>
      <c r="HVN209"/>
      <c r="HVO209"/>
      <c r="HVP209"/>
      <c r="HVQ209"/>
      <c r="HVR209"/>
      <c r="HVS209"/>
      <c r="HVT209"/>
      <c r="HVU209"/>
      <c r="HVV209"/>
      <c r="HVW209"/>
      <c r="HVX209"/>
      <c r="HVY209"/>
      <c r="HVZ209"/>
      <c r="HWA209"/>
      <c r="HWB209"/>
      <c r="HWC209"/>
      <c r="HWD209"/>
      <c r="HWE209"/>
      <c r="HWF209"/>
      <c r="HWG209"/>
      <c r="HWH209"/>
      <c r="HWI209"/>
      <c r="HWJ209"/>
      <c r="HWK209"/>
      <c r="HWL209"/>
      <c r="HWM209"/>
      <c r="HWN209"/>
      <c r="HWO209"/>
      <c r="HWP209"/>
      <c r="HWQ209"/>
      <c r="HWR209"/>
      <c r="HWS209"/>
      <c r="HWT209"/>
      <c r="HWU209"/>
      <c r="HWV209"/>
      <c r="HWW209"/>
      <c r="HWX209"/>
      <c r="HWY209"/>
      <c r="HWZ209"/>
      <c r="HXA209"/>
      <c r="HXB209"/>
      <c r="HXC209"/>
      <c r="HXD209"/>
      <c r="HXE209"/>
      <c r="HXF209"/>
      <c r="HXG209"/>
      <c r="HXH209"/>
      <c r="HXI209"/>
      <c r="HXJ209"/>
      <c r="HXK209"/>
      <c r="HXL209"/>
      <c r="HXM209"/>
      <c r="HXN209"/>
      <c r="HXO209"/>
      <c r="HXP209"/>
      <c r="HXQ209"/>
      <c r="HXR209"/>
      <c r="HXS209"/>
      <c r="HXT209"/>
      <c r="HXU209"/>
      <c r="HXV209"/>
      <c r="HXW209"/>
      <c r="HXX209"/>
      <c r="HXY209"/>
      <c r="HXZ209"/>
      <c r="HYA209"/>
      <c r="HYB209"/>
      <c r="HYC209"/>
      <c r="HYD209"/>
      <c r="HYE209"/>
      <c r="HYF209"/>
      <c r="HYG209"/>
      <c r="HYH209"/>
      <c r="HYI209"/>
      <c r="HYJ209"/>
      <c r="HYK209"/>
      <c r="HYL209"/>
      <c r="HYM209"/>
      <c r="HYN209"/>
      <c r="HYO209"/>
      <c r="HYP209"/>
      <c r="HYQ209"/>
      <c r="HYR209"/>
      <c r="HYS209"/>
      <c r="HYT209"/>
      <c r="HYU209"/>
      <c r="HYV209"/>
      <c r="HYW209"/>
      <c r="HYX209"/>
      <c r="HYY209"/>
      <c r="HYZ209"/>
      <c r="HZA209"/>
      <c r="HZB209"/>
      <c r="HZC209"/>
      <c r="HZD209"/>
      <c r="HZE209"/>
      <c r="HZF209"/>
      <c r="HZG209"/>
      <c r="HZH209"/>
      <c r="HZI209"/>
      <c r="HZJ209"/>
      <c r="HZK209"/>
      <c r="HZL209"/>
      <c r="HZM209"/>
      <c r="HZN209"/>
      <c r="HZO209"/>
      <c r="HZP209"/>
      <c r="HZQ209"/>
      <c r="HZR209"/>
      <c r="HZS209"/>
      <c r="HZT209"/>
      <c r="HZU209"/>
      <c r="HZV209"/>
      <c r="HZW209"/>
      <c r="HZX209"/>
      <c r="HZY209"/>
      <c r="HZZ209"/>
      <c r="IAA209"/>
      <c r="IAB209"/>
      <c r="IAC209"/>
      <c r="IAD209"/>
      <c r="IAE209"/>
      <c r="IAF209"/>
      <c r="IAG209"/>
      <c r="IAH209"/>
      <c r="IAI209"/>
      <c r="IAJ209"/>
      <c r="IAK209"/>
      <c r="IAL209"/>
      <c r="IAM209"/>
      <c r="IAN209"/>
      <c r="IAO209"/>
      <c r="IAP209"/>
      <c r="IAQ209"/>
      <c r="IAR209"/>
      <c r="IAS209"/>
      <c r="IAT209"/>
      <c r="IAU209"/>
      <c r="IAV209"/>
      <c r="IAW209"/>
      <c r="IAX209"/>
      <c r="IAY209"/>
      <c r="IAZ209"/>
      <c r="IBA209"/>
      <c r="IBB209"/>
      <c r="IBC209"/>
      <c r="IBD209"/>
      <c r="IBE209"/>
      <c r="IBF209"/>
      <c r="IBG209"/>
      <c r="IBH209"/>
      <c r="IBI209"/>
      <c r="IBJ209"/>
      <c r="IBK209"/>
      <c r="IBL209"/>
      <c r="IBM209"/>
      <c r="IBN209"/>
      <c r="IBO209"/>
      <c r="IBP209"/>
      <c r="IBQ209"/>
      <c r="IBR209"/>
      <c r="IBS209"/>
      <c r="IBT209"/>
      <c r="IBU209"/>
      <c r="IBV209"/>
      <c r="IBW209"/>
      <c r="IBX209"/>
      <c r="IBY209"/>
      <c r="IBZ209"/>
      <c r="ICA209"/>
      <c r="ICB209"/>
      <c r="ICC209"/>
      <c r="ICD209"/>
      <c r="ICE209"/>
      <c r="ICF209"/>
      <c r="ICG209"/>
      <c r="ICH209"/>
      <c r="ICI209"/>
      <c r="ICJ209"/>
      <c r="ICK209"/>
      <c r="ICL209"/>
      <c r="ICM209"/>
      <c r="ICN209"/>
      <c r="ICO209"/>
      <c r="ICP209"/>
      <c r="ICQ209"/>
      <c r="ICR209"/>
      <c r="ICS209"/>
      <c r="ICT209"/>
      <c r="ICU209"/>
      <c r="ICV209"/>
      <c r="ICW209"/>
      <c r="ICX209"/>
      <c r="ICY209"/>
      <c r="ICZ209"/>
      <c r="IDA209"/>
      <c r="IDB209"/>
      <c r="IDC209"/>
      <c r="IDD209"/>
      <c r="IDE209"/>
      <c r="IDF209"/>
      <c r="IDG209"/>
      <c r="IDH209"/>
      <c r="IDI209"/>
      <c r="IDJ209"/>
      <c r="IDK209"/>
      <c r="IDL209"/>
      <c r="IDM209"/>
      <c r="IDN209"/>
      <c r="IDO209"/>
      <c r="IDP209"/>
      <c r="IDQ209"/>
      <c r="IDR209"/>
      <c r="IDS209"/>
      <c r="IDT209"/>
      <c r="IDU209"/>
      <c r="IDV209"/>
      <c r="IDW209"/>
      <c r="IDX209"/>
      <c r="IDY209"/>
      <c r="IDZ209"/>
      <c r="IEA209"/>
      <c r="IEB209"/>
      <c r="IEC209"/>
      <c r="IED209"/>
      <c r="IEE209"/>
      <c r="IEF209"/>
      <c r="IEG209"/>
      <c r="IEH209"/>
      <c r="IEI209"/>
      <c r="IEJ209"/>
      <c r="IEK209"/>
      <c r="IEL209"/>
      <c r="IEM209"/>
      <c r="IEN209"/>
      <c r="IEO209"/>
      <c r="IEP209"/>
      <c r="IEQ209"/>
      <c r="IER209"/>
      <c r="IES209"/>
      <c r="IET209"/>
      <c r="IEU209"/>
      <c r="IEV209"/>
      <c r="IEW209"/>
      <c r="IEX209"/>
      <c r="IEY209"/>
      <c r="IEZ209"/>
      <c r="IFA209"/>
      <c r="IFB209"/>
      <c r="IFC209"/>
      <c r="IFD209"/>
      <c r="IFE209"/>
      <c r="IFF209"/>
      <c r="IFG209"/>
      <c r="IFH209"/>
      <c r="IFI209"/>
      <c r="IFJ209"/>
      <c r="IFK209"/>
      <c r="IFL209"/>
      <c r="IFM209"/>
      <c r="IFN209"/>
      <c r="IFO209"/>
      <c r="IFP209"/>
      <c r="IFQ209"/>
      <c r="IFR209"/>
      <c r="IFS209"/>
      <c r="IFT209"/>
      <c r="IFU209"/>
      <c r="IFV209"/>
      <c r="IFW209"/>
      <c r="IFX209"/>
      <c r="IFY209"/>
      <c r="IFZ209"/>
      <c r="IGA209"/>
      <c r="IGB209"/>
      <c r="IGC209"/>
      <c r="IGD209"/>
      <c r="IGE209"/>
      <c r="IGF209"/>
      <c r="IGG209"/>
      <c r="IGH209"/>
      <c r="IGI209"/>
      <c r="IGJ209"/>
      <c r="IGK209"/>
      <c r="IGL209"/>
      <c r="IGM209"/>
      <c r="IGN209"/>
      <c r="IGO209"/>
      <c r="IGP209"/>
      <c r="IGQ209"/>
      <c r="IGR209"/>
      <c r="IGS209"/>
      <c r="IGT209"/>
      <c r="IGU209"/>
      <c r="IGV209"/>
      <c r="IGW209"/>
      <c r="IGX209"/>
      <c r="IGY209"/>
      <c r="IGZ209"/>
      <c r="IHA209"/>
      <c r="IHB209"/>
      <c r="IHC209"/>
      <c r="IHD209"/>
      <c r="IHE209"/>
      <c r="IHF209"/>
      <c r="IHG209"/>
      <c r="IHH209"/>
      <c r="IHI209"/>
      <c r="IHJ209"/>
      <c r="IHK209"/>
      <c r="IHL209"/>
      <c r="IHM209"/>
      <c r="IHN209"/>
      <c r="IHO209"/>
      <c r="IHP209"/>
      <c r="IHQ209"/>
      <c r="IHR209"/>
      <c r="IHS209"/>
      <c r="IHT209"/>
      <c r="IHU209"/>
      <c r="IHV209"/>
      <c r="IHW209"/>
      <c r="IHX209"/>
      <c r="IHY209"/>
      <c r="IHZ209"/>
      <c r="IIA209"/>
      <c r="IIB209"/>
      <c r="IIC209"/>
      <c r="IID209"/>
      <c r="IIE209"/>
      <c r="IIF209"/>
      <c r="IIG209"/>
      <c r="IIH209"/>
      <c r="III209"/>
      <c r="IIJ209"/>
      <c r="IIK209"/>
      <c r="IIL209"/>
      <c r="IIM209"/>
      <c r="IIN209"/>
      <c r="IIO209"/>
      <c r="IIP209"/>
      <c r="IIQ209"/>
      <c r="IIR209"/>
      <c r="IIS209"/>
      <c r="IIT209"/>
      <c r="IIU209"/>
      <c r="IIV209"/>
      <c r="IIW209"/>
      <c r="IIX209"/>
      <c r="IIY209"/>
      <c r="IIZ209"/>
      <c r="IJA209"/>
      <c r="IJB209"/>
      <c r="IJC209"/>
      <c r="IJD209"/>
      <c r="IJE209"/>
      <c r="IJF209"/>
      <c r="IJG209"/>
      <c r="IJH209"/>
      <c r="IJI209"/>
      <c r="IJJ209"/>
      <c r="IJK209"/>
      <c r="IJL209"/>
      <c r="IJM209"/>
      <c r="IJN209"/>
      <c r="IJO209"/>
      <c r="IJP209"/>
      <c r="IJQ209"/>
      <c r="IJR209"/>
      <c r="IJS209"/>
      <c r="IJT209"/>
      <c r="IJU209"/>
      <c r="IJV209"/>
      <c r="IJW209"/>
      <c r="IJX209"/>
      <c r="IJY209"/>
      <c r="IJZ209"/>
      <c r="IKA209"/>
      <c r="IKB209"/>
      <c r="IKC209"/>
      <c r="IKD209"/>
      <c r="IKE209"/>
      <c r="IKF209"/>
      <c r="IKG209"/>
      <c r="IKH209"/>
      <c r="IKI209"/>
      <c r="IKJ209"/>
      <c r="IKK209"/>
      <c r="IKL209"/>
      <c r="IKM209"/>
      <c r="IKN209"/>
      <c r="IKO209"/>
      <c r="IKP209"/>
      <c r="IKQ209"/>
      <c r="IKR209"/>
      <c r="IKS209"/>
      <c r="IKT209"/>
      <c r="IKU209"/>
      <c r="IKV209"/>
      <c r="IKW209"/>
      <c r="IKX209"/>
      <c r="IKY209"/>
      <c r="IKZ209"/>
      <c r="ILA209"/>
      <c r="ILB209"/>
      <c r="ILC209"/>
      <c r="ILD209"/>
      <c r="ILE209"/>
      <c r="ILF209"/>
      <c r="ILG209"/>
      <c r="ILH209"/>
      <c r="ILI209"/>
      <c r="ILJ209"/>
      <c r="ILK209"/>
      <c r="ILL209"/>
      <c r="ILM209"/>
      <c r="ILN209"/>
      <c r="ILO209"/>
      <c r="ILP209"/>
      <c r="ILQ209"/>
      <c r="ILR209"/>
      <c r="ILS209"/>
      <c r="ILT209"/>
      <c r="ILU209"/>
      <c r="ILV209"/>
      <c r="ILW209"/>
      <c r="ILX209"/>
      <c r="ILY209"/>
      <c r="ILZ209"/>
      <c r="IMA209"/>
      <c r="IMB209"/>
      <c r="IMC209"/>
      <c r="IMD209"/>
      <c r="IME209"/>
      <c r="IMF209"/>
      <c r="IMG209"/>
      <c r="IMH209"/>
      <c r="IMI209"/>
      <c r="IMJ209"/>
      <c r="IMK209"/>
      <c r="IML209"/>
      <c r="IMM209"/>
      <c r="IMN209"/>
      <c r="IMO209"/>
      <c r="IMP209"/>
      <c r="IMQ209"/>
      <c r="IMR209"/>
      <c r="IMS209"/>
      <c r="IMT209"/>
      <c r="IMU209"/>
      <c r="IMV209"/>
      <c r="IMW209"/>
      <c r="IMX209"/>
      <c r="IMY209"/>
      <c r="IMZ209"/>
      <c r="INA209"/>
      <c r="INB209"/>
      <c r="INC209"/>
      <c r="IND209"/>
      <c r="INE209"/>
      <c r="INF209"/>
      <c r="ING209"/>
      <c r="INH209"/>
      <c r="INI209"/>
      <c r="INJ209"/>
      <c r="INK209"/>
      <c r="INL209"/>
      <c r="INM209"/>
      <c r="INN209"/>
      <c r="INO209"/>
      <c r="INP209"/>
      <c r="INQ209"/>
      <c r="INR209"/>
      <c r="INS209"/>
      <c r="INT209"/>
      <c r="INU209"/>
      <c r="INV209"/>
      <c r="INW209"/>
      <c r="INX209"/>
      <c r="INY209"/>
      <c r="INZ209"/>
      <c r="IOA209"/>
      <c r="IOB209"/>
      <c r="IOC209"/>
      <c r="IOD209"/>
      <c r="IOE209"/>
      <c r="IOF209"/>
      <c r="IOG209"/>
      <c r="IOH209"/>
      <c r="IOI209"/>
      <c r="IOJ209"/>
      <c r="IOK209"/>
      <c r="IOL209"/>
      <c r="IOM209"/>
      <c r="ION209"/>
      <c r="IOO209"/>
      <c r="IOP209"/>
      <c r="IOQ209"/>
      <c r="IOR209"/>
      <c r="IOS209"/>
      <c r="IOT209"/>
      <c r="IOU209"/>
      <c r="IOV209"/>
      <c r="IOW209"/>
      <c r="IOX209"/>
      <c r="IOY209"/>
      <c r="IOZ209"/>
      <c r="IPA209"/>
      <c r="IPB209"/>
      <c r="IPC209"/>
      <c r="IPD209"/>
      <c r="IPE209"/>
      <c r="IPF209"/>
      <c r="IPG209"/>
      <c r="IPH209"/>
      <c r="IPI209"/>
      <c r="IPJ209"/>
      <c r="IPK209"/>
      <c r="IPL209"/>
      <c r="IPM209"/>
      <c r="IPN209"/>
      <c r="IPO209"/>
      <c r="IPP209"/>
      <c r="IPQ209"/>
      <c r="IPR209"/>
      <c r="IPS209"/>
      <c r="IPT209"/>
      <c r="IPU209"/>
      <c r="IPV209"/>
      <c r="IPW209"/>
      <c r="IPX209"/>
      <c r="IPY209"/>
      <c r="IPZ209"/>
      <c r="IQA209"/>
      <c r="IQB209"/>
      <c r="IQC209"/>
      <c r="IQD209"/>
      <c r="IQE209"/>
      <c r="IQF209"/>
      <c r="IQG209"/>
      <c r="IQH209"/>
      <c r="IQI209"/>
      <c r="IQJ209"/>
      <c r="IQK209"/>
      <c r="IQL209"/>
      <c r="IQM209"/>
      <c r="IQN209"/>
      <c r="IQO209"/>
      <c r="IQP209"/>
      <c r="IQQ209"/>
      <c r="IQR209"/>
      <c r="IQS209"/>
      <c r="IQT209"/>
      <c r="IQU209"/>
      <c r="IQV209"/>
      <c r="IQW209"/>
      <c r="IQX209"/>
      <c r="IQY209"/>
      <c r="IQZ209"/>
      <c r="IRA209"/>
      <c r="IRB209"/>
      <c r="IRC209"/>
      <c r="IRD209"/>
      <c r="IRE209"/>
      <c r="IRF209"/>
      <c r="IRG209"/>
      <c r="IRH209"/>
      <c r="IRI209"/>
      <c r="IRJ209"/>
      <c r="IRK209"/>
      <c r="IRL209"/>
      <c r="IRM209"/>
      <c r="IRN209"/>
      <c r="IRO209"/>
      <c r="IRP209"/>
      <c r="IRQ209"/>
      <c r="IRR209"/>
      <c r="IRS209"/>
      <c r="IRT209"/>
      <c r="IRU209"/>
      <c r="IRV209"/>
      <c r="IRW209"/>
      <c r="IRX209"/>
      <c r="IRY209"/>
      <c r="IRZ209"/>
      <c r="ISA209"/>
      <c r="ISB209"/>
      <c r="ISC209"/>
      <c r="ISD209"/>
      <c r="ISE209"/>
      <c r="ISF209"/>
      <c r="ISG209"/>
      <c r="ISH209"/>
      <c r="ISI209"/>
      <c r="ISJ209"/>
      <c r="ISK209"/>
      <c r="ISL209"/>
      <c r="ISM209"/>
      <c r="ISN209"/>
      <c r="ISO209"/>
      <c r="ISP209"/>
      <c r="ISQ209"/>
      <c r="ISR209"/>
      <c r="ISS209"/>
      <c r="IST209"/>
      <c r="ISU209"/>
      <c r="ISV209"/>
      <c r="ISW209"/>
      <c r="ISX209"/>
      <c r="ISY209"/>
      <c r="ISZ209"/>
      <c r="ITA209"/>
      <c r="ITB209"/>
      <c r="ITC209"/>
      <c r="ITD209"/>
      <c r="ITE209"/>
      <c r="ITF209"/>
      <c r="ITG209"/>
      <c r="ITH209"/>
      <c r="ITI209"/>
      <c r="ITJ209"/>
      <c r="ITK209"/>
      <c r="ITL209"/>
      <c r="ITM209"/>
      <c r="ITN209"/>
      <c r="ITO209"/>
      <c r="ITP209"/>
      <c r="ITQ209"/>
      <c r="ITR209"/>
      <c r="ITS209"/>
      <c r="ITT209"/>
      <c r="ITU209"/>
      <c r="ITV209"/>
      <c r="ITW209"/>
      <c r="ITX209"/>
      <c r="ITY209"/>
      <c r="ITZ209"/>
      <c r="IUA209"/>
      <c r="IUB209"/>
      <c r="IUC209"/>
      <c r="IUD209"/>
      <c r="IUE209"/>
      <c r="IUF209"/>
      <c r="IUG209"/>
      <c r="IUH209"/>
      <c r="IUI209"/>
      <c r="IUJ209"/>
      <c r="IUK209"/>
      <c r="IUL209"/>
      <c r="IUM209"/>
      <c r="IUN209"/>
      <c r="IUO209"/>
      <c r="IUP209"/>
      <c r="IUQ209"/>
      <c r="IUR209"/>
      <c r="IUS209"/>
      <c r="IUT209"/>
      <c r="IUU209"/>
      <c r="IUV209"/>
      <c r="IUW209"/>
      <c r="IUX209"/>
      <c r="IUY209"/>
      <c r="IUZ209"/>
      <c r="IVA209"/>
      <c r="IVB209"/>
      <c r="IVC209"/>
      <c r="IVD209"/>
      <c r="IVE209"/>
      <c r="IVF209"/>
      <c r="IVG209"/>
      <c r="IVH209"/>
      <c r="IVI209"/>
      <c r="IVJ209"/>
      <c r="IVK209"/>
      <c r="IVL209"/>
      <c r="IVM209"/>
      <c r="IVN209"/>
      <c r="IVO209"/>
      <c r="IVP209"/>
      <c r="IVQ209"/>
      <c r="IVR209"/>
      <c r="IVS209"/>
      <c r="IVT209"/>
      <c r="IVU209"/>
      <c r="IVV209"/>
      <c r="IVW209"/>
      <c r="IVX209"/>
      <c r="IVY209"/>
      <c r="IVZ209"/>
      <c r="IWA209"/>
      <c r="IWB209"/>
      <c r="IWC209"/>
      <c r="IWD209"/>
      <c r="IWE209"/>
      <c r="IWF209"/>
      <c r="IWG209"/>
      <c r="IWH209"/>
      <c r="IWI209"/>
      <c r="IWJ209"/>
      <c r="IWK209"/>
      <c r="IWL209"/>
      <c r="IWM209"/>
      <c r="IWN209"/>
      <c r="IWO209"/>
      <c r="IWP209"/>
      <c r="IWQ209"/>
      <c r="IWR209"/>
      <c r="IWS209"/>
      <c r="IWT209"/>
      <c r="IWU209"/>
      <c r="IWV209"/>
      <c r="IWW209"/>
      <c r="IWX209"/>
      <c r="IWY209"/>
      <c r="IWZ209"/>
      <c r="IXA209"/>
      <c r="IXB209"/>
      <c r="IXC209"/>
      <c r="IXD209"/>
      <c r="IXE209"/>
      <c r="IXF209"/>
      <c r="IXG209"/>
      <c r="IXH209"/>
      <c r="IXI209"/>
      <c r="IXJ209"/>
      <c r="IXK209"/>
      <c r="IXL209"/>
      <c r="IXM209"/>
      <c r="IXN209"/>
      <c r="IXO209"/>
      <c r="IXP209"/>
      <c r="IXQ209"/>
      <c r="IXR209"/>
      <c r="IXS209"/>
      <c r="IXT209"/>
      <c r="IXU209"/>
      <c r="IXV209"/>
      <c r="IXW209"/>
      <c r="IXX209"/>
      <c r="IXY209"/>
      <c r="IXZ209"/>
      <c r="IYA209"/>
      <c r="IYB209"/>
      <c r="IYC209"/>
      <c r="IYD209"/>
      <c r="IYE209"/>
      <c r="IYF209"/>
      <c r="IYG209"/>
      <c r="IYH209"/>
      <c r="IYI209"/>
      <c r="IYJ209"/>
      <c r="IYK209"/>
      <c r="IYL209"/>
      <c r="IYM209"/>
      <c r="IYN209"/>
      <c r="IYO209"/>
      <c r="IYP209"/>
      <c r="IYQ209"/>
      <c r="IYR209"/>
      <c r="IYS209"/>
      <c r="IYT209"/>
      <c r="IYU209"/>
      <c r="IYV209"/>
      <c r="IYW209"/>
      <c r="IYX209"/>
      <c r="IYY209"/>
      <c r="IYZ209"/>
      <c r="IZA209"/>
      <c r="IZB209"/>
      <c r="IZC209"/>
      <c r="IZD209"/>
      <c r="IZE209"/>
      <c r="IZF209"/>
      <c r="IZG209"/>
      <c r="IZH209"/>
      <c r="IZI209"/>
      <c r="IZJ209"/>
      <c r="IZK209"/>
      <c r="IZL209"/>
      <c r="IZM209"/>
      <c r="IZN209"/>
      <c r="IZO209"/>
      <c r="IZP209"/>
      <c r="IZQ209"/>
      <c r="IZR209"/>
      <c r="IZS209"/>
      <c r="IZT209"/>
      <c r="IZU209"/>
      <c r="IZV209"/>
      <c r="IZW209"/>
      <c r="IZX209"/>
      <c r="IZY209"/>
      <c r="IZZ209"/>
      <c r="JAA209"/>
      <c r="JAB209"/>
      <c r="JAC209"/>
      <c r="JAD209"/>
      <c r="JAE209"/>
      <c r="JAF209"/>
      <c r="JAG209"/>
      <c r="JAH209"/>
      <c r="JAI209"/>
      <c r="JAJ209"/>
      <c r="JAK209"/>
      <c r="JAL209"/>
      <c r="JAM209"/>
      <c r="JAN209"/>
      <c r="JAO209"/>
      <c r="JAP209"/>
      <c r="JAQ209"/>
      <c r="JAR209"/>
      <c r="JAS209"/>
      <c r="JAT209"/>
      <c r="JAU209"/>
      <c r="JAV209"/>
      <c r="JAW209"/>
      <c r="JAX209"/>
      <c r="JAY209"/>
      <c r="JAZ209"/>
      <c r="JBA209"/>
      <c r="JBB209"/>
      <c r="JBC209"/>
      <c r="JBD209"/>
      <c r="JBE209"/>
      <c r="JBF209"/>
      <c r="JBG209"/>
      <c r="JBH209"/>
      <c r="JBI209"/>
      <c r="JBJ209"/>
      <c r="JBK209"/>
      <c r="JBL209"/>
      <c r="JBM209"/>
      <c r="JBN209"/>
      <c r="JBO209"/>
      <c r="JBP209"/>
      <c r="JBQ209"/>
      <c r="JBR209"/>
      <c r="JBS209"/>
      <c r="JBT209"/>
      <c r="JBU209"/>
      <c r="JBV209"/>
      <c r="JBW209"/>
      <c r="JBX209"/>
      <c r="JBY209"/>
      <c r="JBZ209"/>
      <c r="JCA209"/>
      <c r="JCB209"/>
      <c r="JCC209"/>
      <c r="JCD209"/>
      <c r="JCE209"/>
      <c r="JCF209"/>
      <c r="JCG209"/>
      <c r="JCH209"/>
      <c r="JCI209"/>
      <c r="JCJ209"/>
      <c r="JCK209"/>
      <c r="JCL209"/>
      <c r="JCM209"/>
      <c r="JCN209"/>
      <c r="JCO209"/>
      <c r="JCP209"/>
      <c r="JCQ209"/>
      <c r="JCR209"/>
      <c r="JCS209"/>
      <c r="JCT209"/>
      <c r="JCU209"/>
      <c r="JCV209"/>
      <c r="JCW209"/>
      <c r="JCX209"/>
      <c r="JCY209"/>
      <c r="JCZ209"/>
      <c r="JDA209"/>
      <c r="JDB209"/>
      <c r="JDC209"/>
      <c r="JDD209"/>
      <c r="JDE209"/>
      <c r="JDF209"/>
      <c r="JDG209"/>
      <c r="JDH209"/>
      <c r="JDI209"/>
      <c r="JDJ209"/>
      <c r="JDK209"/>
      <c r="JDL209"/>
      <c r="JDM209"/>
      <c r="JDN209"/>
      <c r="JDO209"/>
      <c r="JDP209"/>
      <c r="JDQ209"/>
      <c r="JDR209"/>
      <c r="JDS209"/>
      <c r="JDT209"/>
      <c r="JDU209"/>
      <c r="JDV209"/>
      <c r="JDW209"/>
      <c r="JDX209"/>
      <c r="JDY209"/>
      <c r="JDZ209"/>
      <c r="JEA209"/>
      <c r="JEB209"/>
      <c r="JEC209"/>
      <c r="JED209"/>
      <c r="JEE209"/>
      <c r="JEF209"/>
      <c r="JEG209"/>
      <c r="JEH209"/>
      <c r="JEI209"/>
      <c r="JEJ209"/>
      <c r="JEK209"/>
      <c r="JEL209"/>
      <c r="JEM209"/>
      <c r="JEN209"/>
      <c r="JEO209"/>
      <c r="JEP209"/>
      <c r="JEQ209"/>
      <c r="JER209"/>
      <c r="JES209"/>
      <c r="JET209"/>
      <c r="JEU209"/>
      <c r="JEV209"/>
      <c r="JEW209"/>
      <c r="JEX209"/>
      <c r="JEY209"/>
      <c r="JEZ209"/>
      <c r="JFA209"/>
      <c r="JFB209"/>
      <c r="JFC209"/>
      <c r="JFD209"/>
      <c r="JFE209"/>
      <c r="JFF209"/>
      <c r="JFG209"/>
      <c r="JFH209"/>
      <c r="JFI209"/>
      <c r="JFJ209"/>
      <c r="JFK209"/>
      <c r="JFL209"/>
      <c r="JFM209"/>
      <c r="JFN209"/>
      <c r="JFO209"/>
      <c r="JFP209"/>
      <c r="JFQ209"/>
      <c r="JFR209"/>
      <c r="JFS209"/>
      <c r="JFT209"/>
      <c r="JFU209"/>
      <c r="JFV209"/>
      <c r="JFW209"/>
      <c r="JFX209"/>
      <c r="JFY209"/>
      <c r="JFZ209"/>
      <c r="JGA209"/>
      <c r="JGB209"/>
      <c r="JGC209"/>
      <c r="JGD209"/>
      <c r="JGE209"/>
      <c r="JGF209"/>
      <c r="JGG209"/>
      <c r="JGH209"/>
      <c r="JGI209"/>
      <c r="JGJ209"/>
      <c r="JGK209"/>
      <c r="JGL209"/>
      <c r="JGM209"/>
      <c r="JGN209"/>
      <c r="JGO209"/>
      <c r="JGP209"/>
      <c r="JGQ209"/>
      <c r="JGR209"/>
      <c r="JGS209"/>
      <c r="JGT209"/>
      <c r="JGU209"/>
      <c r="JGV209"/>
      <c r="JGW209"/>
      <c r="JGX209"/>
      <c r="JGY209"/>
      <c r="JGZ209"/>
      <c r="JHA209"/>
      <c r="JHB209"/>
      <c r="JHC209"/>
      <c r="JHD209"/>
      <c r="JHE209"/>
      <c r="JHF209"/>
      <c r="JHG209"/>
      <c r="JHH209"/>
      <c r="JHI209"/>
      <c r="JHJ209"/>
      <c r="JHK209"/>
      <c r="JHL209"/>
      <c r="JHM209"/>
      <c r="JHN209"/>
      <c r="JHO209"/>
      <c r="JHP209"/>
      <c r="JHQ209"/>
      <c r="JHR209"/>
      <c r="JHS209"/>
      <c r="JHT209"/>
      <c r="JHU209"/>
      <c r="JHV209"/>
      <c r="JHW209"/>
      <c r="JHX209"/>
      <c r="JHY209"/>
      <c r="JHZ209"/>
      <c r="JIA209"/>
      <c r="JIB209"/>
      <c r="JIC209"/>
      <c r="JID209"/>
      <c r="JIE209"/>
      <c r="JIF209"/>
      <c r="JIG209"/>
      <c r="JIH209"/>
      <c r="JII209"/>
      <c r="JIJ209"/>
      <c r="JIK209"/>
      <c r="JIL209"/>
      <c r="JIM209"/>
      <c r="JIN209"/>
      <c r="JIO209"/>
      <c r="JIP209"/>
      <c r="JIQ209"/>
      <c r="JIR209"/>
      <c r="JIS209"/>
      <c r="JIT209"/>
      <c r="JIU209"/>
      <c r="JIV209"/>
      <c r="JIW209"/>
      <c r="JIX209"/>
      <c r="JIY209"/>
      <c r="JIZ209"/>
      <c r="JJA209"/>
      <c r="JJB209"/>
      <c r="JJC209"/>
      <c r="JJD209"/>
      <c r="JJE209"/>
      <c r="JJF209"/>
      <c r="JJG209"/>
      <c r="JJH209"/>
      <c r="JJI209"/>
      <c r="JJJ209"/>
      <c r="JJK209"/>
      <c r="JJL209"/>
      <c r="JJM209"/>
      <c r="JJN209"/>
      <c r="JJO209"/>
      <c r="JJP209"/>
      <c r="JJQ209"/>
      <c r="JJR209"/>
      <c r="JJS209"/>
      <c r="JJT209"/>
      <c r="JJU209"/>
      <c r="JJV209"/>
      <c r="JJW209"/>
      <c r="JJX209"/>
      <c r="JJY209"/>
      <c r="JJZ209"/>
      <c r="JKA209"/>
      <c r="JKB209"/>
      <c r="JKC209"/>
      <c r="JKD209"/>
      <c r="JKE209"/>
      <c r="JKF209"/>
      <c r="JKG209"/>
      <c r="JKH209"/>
      <c r="JKI209"/>
      <c r="JKJ209"/>
      <c r="JKK209"/>
      <c r="JKL209"/>
      <c r="JKM209"/>
      <c r="JKN209"/>
      <c r="JKO209"/>
      <c r="JKP209"/>
      <c r="JKQ209"/>
      <c r="JKR209"/>
      <c r="JKS209"/>
      <c r="JKT209"/>
      <c r="JKU209"/>
      <c r="JKV209"/>
      <c r="JKW209"/>
      <c r="JKX209"/>
      <c r="JKY209"/>
      <c r="JKZ209"/>
      <c r="JLA209"/>
      <c r="JLB209"/>
      <c r="JLC209"/>
      <c r="JLD209"/>
      <c r="JLE209"/>
      <c r="JLF209"/>
      <c r="JLG209"/>
      <c r="JLH209"/>
      <c r="JLI209"/>
      <c r="JLJ209"/>
      <c r="JLK209"/>
      <c r="JLL209"/>
      <c r="JLM209"/>
      <c r="JLN209"/>
      <c r="JLO209"/>
      <c r="JLP209"/>
      <c r="JLQ209"/>
      <c r="JLR209"/>
      <c r="JLS209"/>
      <c r="JLT209"/>
      <c r="JLU209"/>
      <c r="JLV209"/>
      <c r="JLW209"/>
      <c r="JLX209"/>
      <c r="JLY209"/>
      <c r="JLZ209"/>
      <c r="JMA209"/>
      <c r="JMB209"/>
      <c r="JMC209"/>
      <c r="JMD209"/>
      <c r="JME209"/>
      <c r="JMF209"/>
      <c r="JMG209"/>
      <c r="JMH209"/>
      <c r="JMI209"/>
      <c r="JMJ209"/>
      <c r="JMK209"/>
      <c r="JML209"/>
      <c r="JMM209"/>
      <c r="JMN209"/>
      <c r="JMO209"/>
      <c r="JMP209"/>
      <c r="JMQ209"/>
      <c r="JMR209"/>
      <c r="JMS209"/>
      <c r="JMT209"/>
      <c r="JMU209"/>
      <c r="JMV209"/>
      <c r="JMW209"/>
      <c r="JMX209"/>
      <c r="JMY209"/>
      <c r="JMZ209"/>
      <c r="JNA209"/>
      <c r="JNB209"/>
      <c r="JNC209"/>
      <c r="JND209"/>
      <c r="JNE209"/>
      <c r="JNF209"/>
      <c r="JNG209"/>
      <c r="JNH209"/>
      <c r="JNI209"/>
      <c r="JNJ209"/>
      <c r="JNK209"/>
      <c r="JNL209"/>
      <c r="JNM209"/>
      <c r="JNN209"/>
      <c r="JNO209"/>
      <c r="JNP209"/>
      <c r="JNQ209"/>
      <c r="JNR209"/>
      <c r="JNS209"/>
      <c r="JNT209"/>
      <c r="JNU209"/>
      <c r="JNV209"/>
      <c r="JNW209"/>
      <c r="JNX209"/>
      <c r="JNY209"/>
      <c r="JNZ209"/>
      <c r="JOA209"/>
      <c r="JOB209"/>
      <c r="JOC209"/>
      <c r="JOD209"/>
      <c r="JOE209"/>
      <c r="JOF209"/>
      <c r="JOG209"/>
      <c r="JOH209"/>
      <c r="JOI209"/>
      <c r="JOJ209"/>
      <c r="JOK209"/>
      <c r="JOL209"/>
      <c r="JOM209"/>
      <c r="JON209"/>
      <c r="JOO209"/>
      <c r="JOP209"/>
      <c r="JOQ209"/>
      <c r="JOR209"/>
      <c r="JOS209"/>
      <c r="JOT209"/>
      <c r="JOU209"/>
      <c r="JOV209"/>
      <c r="JOW209"/>
      <c r="JOX209"/>
      <c r="JOY209"/>
      <c r="JOZ209"/>
      <c r="JPA209"/>
      <c r="JPB209"/>
      <c r="JPC209"/>
      <c r="JPD209"/>
      <c r="JPE209"/>
      <c r="JPF209"/>
      <c r="JPG209"/>
      <c r="JPH209"/>
      <c r="JPI209"/>
      <c r="JPJ209"/>
      <c r="JPK209"/>
      <c r="JPL209"/>
      <c r="JPM209"/>
      <c r="JPN209"/>
      <c r="JPO209"/>
      <c r="JPP209"/>
      <c r="JPQ209"/>
      <c r="JPR209"/>
      <c r="JPS209"/>
      <c r="JPT209"/>
      <c r="JPU209"/>
      <c r="JPV209"/>
      <c r="JPW209"/>
      <c r="JPX209"/>
      <c r="JPY209"/>
      <c r="JPZ209"/>
      <c r="JQA209"/>
      <c r="JQB209"/>
      <c r="JQC209"/>
      <c r="JQD209"/>
      <c r="JQE209"/>
      <c r="JQF209"/>
      <c r="JQG209"/>
      <c r="JQH209"/>
      <c r="JQI209"/>
      <c r="JQJ209"/>
      <c r="JQK209"/>
      <c r="JQL209"/>
      <c r="JQM209"/>
      <c r="JQN209"/>
      <c r="JQO209"/>
      <c r="JQP209"/>
      <c r="JQQ209"/>
      <c r="JQR209"/>
      <c r="JQS209"/>
      <c r="JQT209"/>
      <c r="JQU209"/>
      <c r="JQV209"/>
      <c r="JQW209"/>
      <c r="JQX209"/>
      <c r="JQY209"/>
      <c r="JQZ209"/>
      <c r="JRA209"/>
      <c r="JRB209"/>
      <c r="JRC209"/>
      <c r="JRD209"/>
      <c r="JRE209"/>
      <c r="JRF209"/>
      <c r="JRG209"/>
      <c r="JRH209"/>
      <c r="JRI209"/>
      <c r="JRJ209"/>
      <c r="JRK209"/>
      <c r="JRL209"/>
      <c r="JRM209"/>
      <c r="JRN209"/>
      <c r="JRO209"/>
      <c r="JRP209"/>
      <c r="JRQ209"/>
      <c r="JRR209"/>
      <c r="JRS209"/>
      <c r="JRT209"/>
      <c r="JRU209"/>
      <c r="JRV209"/>
      <c r="JRW209"/>
      <c r="JRX209"/>
      <c r="JRY209"/>
      <c r="JRZ209"/>
      <c r="JSA209"/>
      <c r="JSB209"/>
      <c r="JSC209"/>
      <c r="JSD209"/>
      <c r="JSE209"/>
      <c r="JSF209"/>
      <c r="JSG209"/>
      <c r="JSH209"/>
      <c r="JSI209"/>
      <c r="JSJ209"/>
      <c r="JSK209"/>
      <c r="JSL209"/>
      <c r="JSM209"/>
      <c r="JSN209"/>
      <c r="JSO209"/>
      <c r="JSP209"/>
      <c r="JSQ209"/>
      <c r="JSR209"/>
      <c r="JSS209"/>
      <c r="JST209"/>
      <c r="JSU209"/>
      <c r="JSV209"/>
      <c r="JSW209"/>
      <c r="JSX209"/>
      <c r="JSY209"/>
      <c r="JSZ209"/>
      <c r="JTA209"/>
      <c r="JTB209"/>
      <c r="JTC209"/>
      <c r="JTD209"/>
      <c r="JTE209"/>
      <c r="JTF209"/>
      <c r="JTG209"/>
      <c r="JTH209"/>
      <c r="JTI209"/>
      <c r="JTJ209"/>
      <c r="JTK209"/>
      <c r="JTL209"/>
      <c r="JTM209"/>
      <c r="JTN209"/>
      <c r="JTO209"/>
      <c r="JTP209"/>
      <c r="JTQ209"/>
      <c r="JTR209"/>
      <c r="JTS209"/>
      <c r="JTT209"/>
      <c r="JTU209"/>
      <c r="JTV209"/>
      <c r="JTW209"/>
      <c r="JTX209"/>
      <c r="JTY209"/>
      <c r="JTZ209"/>
      <c r="JUA209"/>
      <c r="JUB209"/>
      <c r="JUC209"/>
      <c r="JUD209"/>
      <c r="JUE209"/>
      <c r="JUF209"/>
      <c r="JUG209"/>
      <c r="JUH209"/>
      <c r="JUI209"/>
      <c r="JUJ209"/>
      <c r="JUK209"/>
      <c r="JUL209"/>
      <c r="JUM209"/>
      <c r="JUN209"/>
      <c r="JUO209"/>
      <c r="JUP209"/>
      <c r="JUQ209"/>
      <c r="JUR209"/>
      <c r="JUS209"/>
      <c r="JUT209"/>
      <c r="JUU209"/>
      <c r="JUV209"/>
      <c r="JUW209"/>
      <c r="JUX209"/>
      <c r="JUY209"/>
      <c r="JUZ209"/>
      <c r="JVA209"/>
      <c r="JVB209"/>
      <c r="JVC209"/>
      <c r="JVD209"/>
      <c r="JVE209"/>
      <c r="JVF209"/>
      <c r="JVG209"/>
      <c r="JVH209"/>
      <c r="JVI209"/>
      <c r="JVJ209"/>
      <c r="JVK209"/>
      <c r="JVL209"/>
      <c r="JVM209"/>
      <c r="JVN209"/>
      <c r="JVO209"/>
      <c r="JVP209"/>
      <c r="JVQ209"/>
      <c r="JVR209"/>
      <c r="JVS209"/>
      <c r="JVT209"/>
      <c r="JVU209"/>
      <c r="JVV209"/>
      <c r="JVW209"/>
      <c r="JVX209"/>
      <c r="JVY209"/>
      <c r="JVZ209"/>
      <c r="JWA209"/>
      <c r="JWB209"/>
      <c r="JWC209"/>
      <c r="JWD209"/>
      <c r="JWE209"/>
      <c r="JWF209"/>
      <c r="JWG209"/>
      <c r="JWH209"/>
      <c r="JWI209"/>
      <c r="JWJ209"/>
      <c r="JWK209"/>
      <c r="JWL209"/>
      <c r="JWM209"/>
      <c r="JWN209"/>
      <c r="JWO209"/>
      <c r="JWP209"/>
      <c r="JWQ209"/>
      <c r="JWR209"/>
      <c r="JWS209"/>
      <c r="JWT209"/>
      <c r="JWU209"/>
      <c r="JWV209"/>
      <c r="JWW209"/>
      <c r="JWX209"/>
      <c r="JWY209"/>
      <c r="JWZ209"/>
      <c r="JXA209"/>
      <c r="JXB209"/>
      <c r="JXC209"/>
      <c r="JXD209"/>
      <c r="JXE209"/>
      <c r="JXF209"/>
      <c r="JXG209"/>
      <c r="JXH209"/>
      <c r="JXI209"/>
      <c r="JXJ209"/>
      <c r="JXK209"/>
      <c r="JXL209"/>
      <c r="JXM209"/>
      <c r="JXN209"/>
      <c r="JXO209"/>
      <c r="JXP209"/>
      <c r="JXQ209"/>
      <c r="JXR209"/>
      <c r="JXS209"/>
      <c r="JXT209"/>
      <c r="JXU209"/>
      <c r="JXV209"/>
      <c r="JXW209"/>
      <c r="JXX209"/>
      <c r="JXY209"/>
      <c r="JXZ209"/>
      <c r="JYA209"/>
      <c r="JYB209"/>
      <c r="JYC209"/>
      <c r="JYD209"/>
      <c r="JYE209"/>
      <c r="JYF209"/>
      <c r="JYG209"/>
      <c r="JYH209"/>
      <c r="JYI209"/>
      <c r="JYJ209"/>
      <c r="JYK209"/>
      <c r="JYL209"/>
      <c r="JYM209"/>
      <c r="JYN209"/>
      <c r="JYO209"/>
      <c r="JYP209"/>
      <c r="JYQ209"/>
      <c r="JYR209"/>
      <c r="JYS209"/>
      <c r="JYT209"/>
      <c r="JYU209"/>
      <c r="JYV209"/>
      <c r="JYW209"/>
      <c r="JYX209"/>
      <c r="JYY209"/>
      <c r="JYZ209"/>
      <c r="JZA209"/>
      <c r="JZB209"/>
      <c r="JZC209"/>
      <c r="JZD209"/>
      <c r="JZE209"/>
      <c r="JZF209"/>
      <c r="JZG209"/>
      <c r="JZH209"/>
      <c r="JZI209"/>
      <c r="JZJ209"/>
      <c r="JZK209"/>
      <c r="JZL209"/>
      <c r="JZM209"/>
      <c r="JZN209"/>
      <c r="JZO209"/>
      <c r="JZP209"/>
      <c r="JZQ209"/>
      <c r="JZR209"/>
      <c r="JZS209"/>
      <c r="JZT209"/>
      <c r="JZU209"/>
      <c r="JZV209"/>
      <c r="JZW209"/>
      <c r="JZX209"/>
      <c r="JZY209"/>
      <c r="JZZ209"/>
      <c r="KAA209"/>
      <c r="KAB209"/>
      <c r="KAC209"/>
      <c r="KAD209"/>
      <c r="KAE209"/>
      <c r="KAF209"/>
      <c r="KAG209"/>
      <c r="KAH209"/>
      <c r="KAI209"/>
      <c r="KAJ209"/>
      <c r="KAK209"/>
      <c r="KAL209"/>
      <c r="KAM209"/>
      <c r="KAN209"/>
      <c r="KAO209"/>
      <c r="KAP209"/>
      <c r="KAQ209"/>
      <c r="KAR209"/>
      <c r="KAS209"/>
      <c r="KAT209"/>
      <c r="KAU209"/>
      <c r="KAV209"/>
      <c r="KAW209"/>
      <c r="KAX209"/>
      <c r="KAY209"/>
      <c r="KAZ209"/>
      <c r="KBA209"/>
      <c r="KBB209"/>
      <c r="KBC209"/>
      <c r="KBD209"/>
      <c r="KBE209"/>
      <c r="KBF209"/>
      <c r="KBG209"/>
      <c r="KBH209"/>
      <c r="KBI209"/>
      <c r="KBJ209"/>
      <c r="KBK209"/>
      <c r="KBL209"/>
      <c r="KBM209"/>
      <c r="KBN209"/>
      <c r="KBO209"/>
      <c r="KBP209"/>
      <c r="KBQ209"/>
      <c r="KBR209"/>
      <c r="KBS209"/>
      <c r="KBT209"/>
      <c r="KBU209"/>
      <c r="KBV209"/>
      <c r="KBW209"/>
      <c r="KBX209"/>
      <c r="KBY209"/>
      <c r="KBZ209"/>
      <c r="KCA209"/>
      <c r="KCB209"/>
      <c r="KCC209"/>
      <c r="KCD209"/>
      <c r="KCE209"/>
      <c r="KCF209"/>
      <c r="KCG209"/>
      <c r="KCH209"/>
      <c r="KCI209"/>
      <c r="KCJ209"/>
      <c r="KCK209"/>
      <c r="KCL209"/>
      <c r="KCM209"/>
      <c r="KCN209"/>
      <c r="KCO209"/>
      <c r="KCP209"/>
      <c r="KCQ209"/>
      <c r="KCR209"/>
      <c r="KCS209"/>
      <c r="KCT209"/>
      <c r="KCU209"/>
      <c r="KCV209"/>
      <c r="KCW209"/>
      <c r="KCX209"/>
      <c r="KCY209"/>
      <c r="KCZ209"/>
      <c r="KDA209"/>
      <c r="KDB209"/>
      <c r="KDC209"/>
      <c r="KDD209"/>
      <c r="KDE209"/>
      <c r="KDF209"/>
      <c r="KDG209"/>
      <c r="KDH209"/>
      <c r="KDI209"/>
      <c r="KDJ209"/>
      <c r="KDK209"/>
      <c r="KDL209"/>
      <c r="KDM209"/>
      <c r="KDN209"/>
      <c r="KDO209"/>
      <c r="KDP209"/>
      <c r="KDQ209"/>
      <c r="KDR209"/>
      <c r="KDS209"/>
      <c r="KDT209"/>
      <c r="KDU209"/>
      <c r="KDV209"/>
      <c r="KDW209"/>
      <c r="KDX209"/>
      <c r="KDY209"/>
      <c r="KDZ209"/>
      <c r="KEA209"/>
      <c r="KEB209"/>
      <c r="KEC209"/>
      <c r="KED209"/>
      <c r="KEE209"/>
      <c r="KEF209"/>
      <c r="KEG209"/>
      <c r="KEH209"/>
      <c r="KEI209"/>
      <c r="KEJ209"/>
      <c r="KEK209"/>
      <c r="KEL209"/>
      <c r="KEM209"/>
      <c r="KEN209"/>
      <c r="KEO209"/>
      <c r="KEP209"/>
      <c r="KEQ209"/>
      <c r="KER209"/>
      <c r="KES209"/>
      <c r="KET209"/>
      <c r="KEU209"/>
      <c r="KEV209"/>
      <c r="KEW209"/>
      <c r="KEX209"/>
      <c r="KEY209"/>
      <c r="KEZ209"/>
      <c r="KFA209"/>
      <c r="KFB209"/>
      <c r="KFC209"/>
      <c r="KFD209"/>
      <c r="KFE209"/>
      <c r="KFF209"/>
      <c r="KFG209"/>
      <c r="KFH209"/>
      <c r="KFI209"/>
      <c r="KFJ209"/>
      <c r="KFK209"/>
      <c r="KFL209"/>
      <c r="KFM209"/>
      <c r="KFN209"/>
      <c r="KFO209"/>
      <c r="KFP209"/>
      <c r="KFQ209"/>
      <c r="KFR209"/>
      <c r="KFS209"/>
      <c r="KFT209"/>
      <c r="KFU209"/>
      <c r="KFV209"/>
      <c r="KFW209"/>
      <c r="KFX209"/>
      <c r="KFY209"/>
      <c r="KFZ209"/>
      <c r="KGA209"/>
      <c r="KGB209"/>
      <c r="KGC209"/>
      <c r="KGD209"/>
      <c r="KGE209"/>
      <c r="KGF209"/>
      <c r="KGG209"/>
      <c r="KGH209"/>
      <c r="KGI209"/>
      <c r="KGJ209"/>
      <c r="KGK209"/>
      <c r="KGL209"/>
      <c r="KGM209"/>
      <c r="KGN209"/>
      <c r="KGO209"/>
      <c r="KGP209"/>
      <c r="KGQ209"/>
      <c r="KGR209"/>
      <c r="KGS209"/>
      <c r="KGT209"/>
      <c r="KGU209"/>
      <c r="KGV209"/>
      <c r="KGW209"/>
      <c r="KGX209"/>
      <c r="KGY209"/>
      <c r="KGZ209"/>
      <c r="KHA209"/>
      <c r="KHB209"/>
      <c r="KHC209"/>
      <c r="KHD209"/>
      <c r="KHE209"/>
      <c r="KHF209"/>
      <c r="KHG209"/>
      <c r="KHH209"/>
      <c r="KHI209"/>
      <c r="KHJ209"/>
      <c r="KHK209"/>
      <c r="KHL209"/>
      <c r="KHM209"/>
      <c r="KHN209"/>
      <c r="KHO209"/>
      <c r="KHP209"/>
      <c r="KHQ209"/>
      <c r="KHR209"/>
      <c r="KHS209"/>
      <c r="KHT209"/>
      <c r="KHU209"/>
      <c r="KHV209"/>
      <c r="KHW209"/>
      <c r="KHX209"/>
      <c r="KHY209"/>
      <c r="KHZ209"/>
      <c r="KIA209"/>
      <c r="KIB209"/>
      <c r="KIC209"/>
      <c r="KID209"/>
      <c r="KIE209"/>
      <c r="KIF209"/>
      <c r="KIG209"/>
      <c r="KIH209"/>
      <c r="KII209"/>
      <c r="KIJ209"/>
      <c r="KIK209"/>
      <c r="KIL209"/>
      <c r="KIM209"/>
      <c r="KIN209"/>
      <c r="KIO209"/>
      <c r="KIP209"/>
      <c r="KIQ209"/>
      <c r="KIR209"/>
      <c r="KIS209"/>
      <c r="KIT209"/>
      <c r="KIU209"/>
      <c r="KIV209"/>
      <c r="KIW209"/>
      <c r="KIX209"/>
      <c r="KIY209"/>
      <c r="KIZ209"/>
      <c r="KJA209"/>
      <c r="KJB209"/>
      <c r="KJC209"/>
      <c r="KJD209"/>
      <c r="KJE209"/>
      <c r="KJF209"/>
      <c r="KJG209"/>
      <c r="KJH209"/>
      <c r="KJI209"/>
      <c r="KJJ209"/>
      <c r="KJK209"/>
      <c r="KJL209"/>
      <c r="KJM209"/>
      <c r="KJN209"/>
      <c r="KJO209"/>
      <c r="KJP209"/>
      <c r="KJQ209"/>
      <c r="KJR209"/>
      <c r="KJS209"/>
      <c r="KJT209"/>
      <c r="KJU209"/>
      <c r="KJV209"/>
      <c r="KJW209"/>
      <c r="KJX209"/>
      <c r="KJY209"/>
      <c r="KJZ209"/>
      <c r="KKA209"/>
      <c r="KKB209"/>
      <c r="KKC209"/>
      <c r="KKD209"/>
      <c r="KKE209"/>
      <c r="KKF209"/>
      <c r="KKG209"/>
      <c r="KKH209"/>
      <c r="KKI209"/>
      <c r="KKJ209"/>
      <c r="KKK209"/>
      <c r="KKL209"/>
      <c r="KKM209"/>
      <c r="KKN209"/>
      <c r="KKO209"/>
      <c r="KKP209"/>
      <c r="KKQ209"/>
      <c r="KKR209"/>
      <c r="KKS209"/>
      <c r="KKT209"/>
      <c r="KKU209"/>
      <c r="KKV209"/>
      <c r="KKW209"/>
      <c r="KKX209"/>
      <c r="KKY209"/>
      <c r="KKZ209"/>
      <c r="KLA209"/>
      <c r="KLB209"/>
      <c r="KLC209"/>
      <c r="KLD209"/>
      <c r="KLE209"/>
      <c r="KLF209"/>
      <c r="KLG209"/>
      <c r="KLH209"/>
      <c r="KLI209"/>
      <c r="KLJ209"/>
      <c r="KLK209"/>
      <c r="KLL209"/>
      <c r="KLM209"/>
      <c r="KLN209"/>
      <c r="KLO209"/>
      <c r="KLP209"/>
      <c r="KLQ209"/>
      <c r="KLR209"/>
      <c r="KLS209"/>
      <c r="KLT209"/>
      <c r="KLU209"/>
      <c r="KLV209"/>
      <c r="KLW209"/>
      <c r="KLX209"/>
      <c r="KLY209"/>
      <c r="KLZ209"/>
      <c r="KMA209"/>
      <c r="KMB209"/>
      <c r="KMC209"/>
      <c r="KMD209"/>
      <c r="KME209"/>
      <c r="KMF209"/>
      <c r="KMG209"/>
      <c r="KMH209"/>
      <c r="KMI209"/>
      <c r="KMJ209"/>
      <c r="KMK209"/>
      <c r="KML209"/>
      <c r="KMM209"/>
      <c r="KMN209"/>
      <c r="KMO209"/>
      <c r="KMP209"/>
      <c r="KMQ209"/>
      <c r="KMR209"/>
      <c r="KMS209"/>
      <c r="KMT209"/>
      <c r="KMU209"/>
      <c r="KMV209"/>
      <c r="KMW209"/>
      <c r="KMX209"/>
      <c r="KMY209"/>
      <c r="KMZ209"/>
      <c r="KNA209"/>
      <c r="KNB209"/>
      <c r="KNC209"/>
      <c r="KND209"/>
      <c r="KNE209"/>
      <c r="KNF209"/>
      <c r="KNG209"/>
      <c r="KNH209"/>
      <c r="KNI209"/>
      <c r="KNJ209"/>
      <c r="KNK209"/>
      <c r="KNL209"/>
      <c r="KNM209"/>
      <c r="KNN209"/>
      <c r="KNO209"/>
      <c r="KNP209"/>
      <c r="KNQ209"/>
      <c r="KNR209"/>
      <c r="KNS209"/>
      <c r="KNT209"/>
      <c r="KNU209"/>
      <c r="KNV209"/>
      <c r="KNW209"/>
      <c r="KNX209"/>
      <c r="KNY209"/>
      <c r="KNZ209"/>
      <c r="KOA209"/>
      <c r="KOB209"/>
      <c r="KOC209"/>
      <c r="KOD209"/>
      <c r="KOE209"/>
      <c r="KOF209"/>
      <c r="KOG209"/>
      <c r="KOH209"/>
      <c r="KOI209"/>
      <c r="KOJ209"/>
      <c r="KOK209"/>
      <c r="KOL209"/>
      <c r="KOM209"/>
      <c r="KON209"/>
      <c r="KOO209"/>
      <c r="KOP209"/>
      <c r="KOQ209"/>
      <c r="KOR209"/>
      <c r="KOS209"/>
      <c r="KOT209"/>
      <c r="KOU209"/>
      <c r="KOV209"/>
      <c r="KOW209"/>
      <c r="KOX209"/>
      <c r="KOY209"/>
      <c r="KOZ209"/>
      <c r="KPA209"/>
      <c r="KPB209"/>
      <c r="KPC209"/>
      <c r="KPD209"/>
      <c r="KPE209"/>
      <c r="KPF209"/>
      <c r="KPG209"/>
      <c r="KPH209"/>
      <c r="KPI209"/>
      <c r="KPJ209"/>
      <c r="KPK209"/>
      <c r="KPL209"/>
      <c r="KPM209"/>
      <c r="KPN209"/>
      <c r="KPO209"/>
      <c r="KPP209"/>
      <c r="KPQ209"/>
      <c r="KPR209"/>
      <c r="KPS209"/>
      <c r="KPT209"/>
      <c r="KPU209"/>
      <c r="KPV209"/>
      <c r="KPW209"/>
      <c r="KPX209"/>
      <c r="KPY209"/>
      <c r="KPZ209"/>
      <c r="KQA209"/>
      <c r="KQB209"/>
      <c r="KQC209"/>
      <c r="KQD209"/>
      <c r="KQE209"/>
      <c r="KQF209"/>
      <c r="KQG209"/>
      <c r="KQH209"/>
      <c r="KQI209"/>
      <c r="KQJ209"/>
      <c r="KQK209"/>
      <c r="KQL209"/>
      <c r="KQM209"/>
      <c r="KQN209"/>
      <c r="KQO209"/>
      <c r="KQP209"/>
      <c r="KQQ209"/>
      <c r="KQR209"/>
      <c r="KQS209"/>
      <c r="KQT209"/>
      <c r="KQU209"/>
      <c r="KQV209"/>
      <c r="KQW209"/>
      <c r="KQX209"/>
      <c r="KQY209"/>
      <c r="KQZ209"/>
      <c r="KRA209"/>
      <c r="KRB209"/>
      <c r="KRC209"/>
      <c r="KRD209"/>
      <c r="KRE209"/>
      <c r="KRF209"/>
      <c r="KRG209"/>
      <c r="KRH209"/>
      <c r="KRI209"/>
      <c r="KRJ209"/>
      <c r="KRK209"/>
      <c r="KRL209"/>
      <c r="KRM209"/>
      <c r="KRN209"/>
      <c r="KRO209"/>
      <c r="KRP209"/>
      <c r="KRQ209"/>
      <c r="KRR209"/>
      <c r="KRS209"/>
      <c r="KRT209"/>
      <c r="KRU209"/>
      <c r="KRV209"/>
      <c r="KRW209"/>
      <c r="KRX209"/>
      <c r="KRY209"/>
      <c r="KRZ209"/>
      <c r="KSA209"/>
      <c r="KSB209"/>
      <c r="KSC209"/>
      <c r="KSD209"/>
      <c r="KSE209"/>
      <c r="KSF209"/>
      <c r="KSG209"/>
      <c r="KSH209"/>
      <c r="KSI209"/>
      <c r="KSJ209"/>
      <c r="KSK209"/>
      <c r="KSL209"/>
      <c r="KSM209"/>
      <c r="KSN209"/>
      <c r="KSO209"/>
      <c r="KSP209"/>
      <c r="KSQ209"/>
      <c r="KSR209"/>
      <c r="KSS209"/>
      <c r="KST209"/>
      <c r="KSU209"/>
      <c r="KSV209"/>
      <c r="KSW209"/>
      <c r="KSX209"/>
      <c r="KSY209"/>
      <c r="KSZ209"/>
      <c r="KTA209"/>
      <c r="KTB209"/>
      <c r="KTC209"/>
      <c r="KTD209"/>
      <c r="KTE209"/>
      <c r="KTF209"/>
      <c r="KTG209"/>
      <c r="KTH209"/>
      <c r="KTI209"/>
      <c r="KTJ209"/>
      <c r="KTK209"/>
      <c r="KTL209"/>
      <c r="KTM209"/>
      <c r="KTN209"/>
      <c r="KTO209"/>
      <c r="KTP209"/>
      <c r="KTQ209"/>
      <c r="KTR209"/>
      <c r="KTS209"/>
      <c r="KTT209"/>
      <c r="KTU209"/>
      <c r="KTV209"/>
      <c r="KTW209"/>
      <c r="KTX209"/>
      <c r="KTY209"/>
      <c r="KTZ209"/>
      <c r="KUA209"/>
      <c r="KUB209"/>
      <c r="KUC209"/>
      <c r="KUD209"/>
      <c r="KUE209"/>
      <c r="KUF209"/>
      <c r="KUG209"/>
      <c r="KUH209"/>
      <c r="KUI209"/>
      <c r="KUJ209"/>
      <c r="KUK209"/>
      <c r="KUL209"/>
      <c r="KUM209"/>
      <c r="KUN209"/>
      <c r="KUO209"/>
      <c r="KUP209"/>
      <c r="KUQ209"/>
      <c r="KUR209"/>
      <c r="KUS209"/>
      <c r="KUT209"/>
      <c r="KUU209"/>
      <c r="KUV209"/>
      <c r="KUW209"/>
      <c r="KUX209"/>
      <c r="KUY209"/>
      <c r="KUZ209"/>
      <c r="KVA209"/>
      <c r="KVB209"/>
      <c r="KVC209"/>
      <c r="KVD209"/>
      <c r="KVE209"/>
      <c r="KVF209"/>
      <c r="KVG209"/>
      <c r="KVH209"/>
      <c r="KVI209"/>
      <c r="KVJ209"/>
      <c r="KVK209"/>
      <c r="KVL209"/>
      <c r="KVM209"/>
      <c r="KVN209"/>
      <c r="KVO209"/>
      <c r="KVP209"/>
      <c r="KVQ209"/>
      <c r="KVR209"/>
      <c r="KVS209"/>
      <c r="KVT209"/>
      <c r="KVU209"/>
      <c r="KVV209"/>
      <c r="KVW209"/>
      <c r="KVX209"/>
      <c r="KVY209"/>
      <c r="KVZ209"/>
      <c r="KWA209"/>
      <c r="KWB209"/>
      <c r="KWC209"/>
      <c r="KWD209"/>
      <c r="KWE209"/>
      <c r="KWF209"/>
      <c r="KWG209"/>
      <c r="KWH209"/>
      <c r="KWI209"/>
      <c r="KWJ209"/>
      <c r="KWK209"/>
      <c r="KWL209"/>
      <c r="KWM209"/>
      <c r="KWN209"/>
      <c r="KWO209"/>
      <c r="KWP209"/>
      <c r="KWQ209"/>
      <c r="KWR209"/>
      <c r="KWS209"/>
      <c r="KWT209"/>
      <c r="KWU209"/>
      <c r="KWV209"/>
      <c r="KWW209"/>
      <c r="KWX209"/>
      <c r="KWY209"/>
      <c r="KWZ209"/>
      <c r="KXA209"/>
      <c r="KXB209"/>
      <c r="KXC209"/>
      <c r="KXD209"/>
      <c r="KXE209"/>
      <c r="KXF209"/>
      <c r="KXG209"/>
      <c r="KXH209"/>
      <c r="KXI209"/>
      <c r="KXJ209"/>
      <c r="KXK209"/>
      <c r="KXL209"/>
      <c r="KXM209"/>
      <c r="KXN209"/>
      <c r="KXO209"/>
      <c r="KXP209"/>
      <c r="KXQ209"/>
      <c r="KXR209"/>
      <c r="KXS209"/>
      <c r="KXT209"/>
      <c r="KXU209"/>
      <c r="KXV209"/>
      <c r="KXW209"/>
      <c r="KXX209"/>
      <c r="KXY209"/>
      <c r="KXZ209"/>
      <c r="KYA209"/>
      <c r="KYB209"/>
      <c r="KYC209"/>
      <c r="KYD209"/>
      <c r="KYE209"/>
      <c r="KYF209"/>
      <c r="KYG209"/>
      <c r="KYH209"/>
      <c r="KYI209"/>
      <c r="KYJ209"/>
      <c r="KYK209"/>
      <c r="KYL209"/>
      <c r="KYM209"/>
      <c r="KYN209"/>
      <c r="KYO209"/>
      <c r="KYP209"/>
      <c r="KYQ209"/>
      <c r="KYR209"/>
      <c r="KYS209"/>
      <c r="KYT209"/>
      <c r="KYU209"/>
      <c r="KYV209"/>
      <c r="KYW209"/>
      <c r="KYX209"/>
      <c r="KYY209"/>
      <c r="KYZ209"/>
      <c r="KZA209"/>
      <c r="KZB209"/>
      <c r="KZC209"/>
      <c r="KZD209"/>
      <c r="KZE209"/>
      <c r="KZF209"/>
      <c r="KZG209"/>
      <c r="KZH209"/>
      <c r="KZI209"/>
      <c r="KZJ209"/>
      <c r="KZK209"/>
      <c r="KZL209"/>
      <c r="KZM209"/>
      <c r="KZN209"/>
      <c r="KZO209"/>
      <c r="KZP209"/>
      <c r="KZQ209"/>
      <c r="KZR209"/>
      <c r="KZS209"/>
      <c r="KZT209"/>
      <c r="KZU209"/>
      <c r="KZV209"/>
      <c r="KZW209"/>
      <c r="KZX209"/>
      <c r="KZY209"/>
      <c r="KZZ209"/>
      <c r="LAA209"/>
      <c r="LAB209"/>
      <c r="LAC209"/>
      <c r="LAD209"/>
      <c r="LAE209"/>
      <c r="LAF209"/>
      <c r="LAG209"/>
      <c r="LAH209"/>
      <c r="LAI209"/>
      <c r="LAJ209"/>
      <c r="LAK209"/>
      <c r="LAL209"/>
      <c r="LAM209"/>
      <c r="LAN209"/>
      <c r="LAO209"/>
      <c r="LAP209"/>
      <c r="LAQ209"/>
      <c r="LAR209"/>
      <c r="LAS209"/>
      <c r="LAT209"/>
      <c r="LAU209"/>
      <c r="LAV209"/>
      <c r="LAW209"/>
      <c r="LAX209"/>
      <c r="LAY209"/>
      <c r="LAZ209"/>
      <c r="LBA209"/>
      <c r="LBB209"/>
      <c r="LBC209"/>
      <c r="LBD209"/>
      <c r="LBE209"/>
      <c r="LBF209"/>
      <c r="LBG209"/>
      <c r="LBH209"/>
      <c r="LBI209"/>
      <c r="LBJ209"/>
      <c r="LBK209"/>
      <c r="LBL209"/>
      <c r="LBM209"/>
      <c r="LBN209"/>
      <c r="LBO209"/>
      <c r="LBP209"/>
      <c r="LBQ209"/>
      <c r="LBR209"/>
      <c r="LBS209"/>
      <c r="LBT209"/>
      <c r="LBU209"/>
      <c r="LBV209"/>
      <c r="LBW209"/>
      <c r="LBX209"/>
      <c r="LBY209"/>
      <c r="LBZ209"/>
      <c r="LCA209"/>
      <c r="LCB209"/>
      <c r="LCC209"/>
      <c r="LCD209"/>
      <c r="LCE209"/>
      <c r="LCF209"/>
      <c r="LCG209"/>
      <c r="LCH209"/>
      <c r="LCI209"/>
      <c r="LCJ209"/>
      <c r="LCK209"/>
      <c r="LCL209"/>
      <c r="LCM209"/>
      <c r="LCN209"/>
      <c r="LCO209"/>
      <c r="LCP209"/>
      <c r="LCQ209"/>
      <c r="LCR209"/>
      <c r="LCS209"/>
      <c r="LCT209"/>
      <c r="LCU209"/>
      <c r="LCV209"/>
      <c r="LCW209"/>
      <c r="LCX209"/>
      <c r="LCY209"/>
      <c r="LCZ209"/>
      <c r="LDA209"/>
      <c r="LDB209"/>
      <c r="LDC209"/>
      <c r="LDD209"/>
      <c r="LDE209"/>
      <c r="LDF209"/>
      <c r="LDG209"/>
      <c r="LDH209"/>
      <c r="LDI209"/>
      <c r="LDJ209"/>
      <c r="LDK209"/>
      <c r="LDL209"/>
      <c r="LDM209"/>
      <c r="LDN209"/>
      <c r="LDO209"/>
      <c r="LDP209"/>
      <c r="LDQ209"/>
      <c r="LDR209"/>
      <c r="LDS209"/>
      <c r="LDT209"/>
      <c r="LDU209"/>
      <c r="LDV209"/>
      <c r="LDW209"/>
      <c r="LDX209"/>
      <c r="LDY209"/>
      <c r="LDZ209"/>
      <c r="LEA209"/>
      <c r="LEB209"/>
      <c r="LEC209"/>
      <c r="LED209"/>
      <c r="LEE209"/>
      <c r="LEF209"/>
      <c r="LEG209"/>
      <c r="LEH209"/>
      <c r="LEI209"/>
      <c r="LEJ209"/>
      <c r="LEK209"/>
      <c r="LEL209"/>
      <c r="LEM209"/>
      <c r="LEN209"/>
      <c r="LEO209"/>
      <c r="LEP209"/>
      <c r="LEQ209"/>
      <c r="LER209"/>
      <c r="LES209"/>
      <c r="LET209"/>
      <c r="LEU209"/>
      <c r="LEV209"/>
      <c r="LEW209"/>
      <c r="LEX209"/>
      <c r="LEY209"/>
      <c r="LEZ209"/>
      <c r="LFA209"/>
      <c r="LFB209"/>
      <c r="LFC209"/>
      <c r="LFD209"/>
      <c r="LFE209"/>
      <c r="LFF209"/>
      <c r="LFG209"/>
      <c r="LFH209"/>
      <c r="LFI209"/>
      <c r="LFJ209"/>
      <c r="LFK209"/>
      <c r="LFL209"/>
      <c r="LFM209"/>
      <c r="LFN209"/>
      <c r="LFO209"/>
      <c r="LFP209"/>
      <c r="LFQ209"/>
      <c r="LFR209"/>
      <c r="LFS209"/>
      <c r="LFT209"/>
      <c r="LFU209"/>
      <c r="LFV209"/>
      <c r="LFW209"/>
      <c r="LFX209"/>
      <c r="LFY209"/>
      <c r="LFZ209"/>
      <c r="LGA209"/>
      <c r="LGB209"/>
      <c r="LGC209"/>
      <c r="LGD209"/>
      <c r="LGE209"/>
      <c r="LGF209"/>
      <c r="LGG209"/>
      <c r="LGH209"/>
      <c r="LGI209"/>
      <c r="LGJ209"/>
      <c r="LGK209"/>
      <c r="LGL209"/>
      <c r="LGM209"/>
      <c r="LGN209"/>
      <c r="LGO209"/>
      <c r="LGP209"/>
      <c r="LGQ209"/>
      <c r="LGR209"/>
      <c r="LGS209"/>
      <c r="LGT209"/>
      <c r="LGU209"/>
      <c r="LGV209"/>
      <c r="LGW209"/>
      <c r="LGX209"/>
      <c r="LGY209"/>
      <c r="LGZ209"/>
      <c r="LHA209"/>
      <c r="LHB209"/>
      <c r="LHC209"/>
      <c r="LHD209"/>
      <c r="LHE209"/>
      <c r="LHF209"/>
      <c r="LHG209"/>
      <c r="LHH209"/>
      <c r="LHI209"/>
      <c r="LHJ209"/>
      <c r="LHK209"/>
      <c r="LHL209"/>
      <c r="LHM209"/>
      <c r="LHN209"/>
      <c r="LHO209"/>
      <c r="LHP209"/>
      <c r="LHQ209"/>
      <c r="LHR209"/>
      <c r="LHS209"/>
      <c r="LHT209"/>
      <c r="LHU209"/>
      <c r="LHV209"/>
      <c r="LHW209"/>
      <c r="LHX209"/>
      <c r="LHY209"/>
      <c r="LHZ209"/>
      <c r="LIA209"/>
      <c r="LIB209"/>
      <c r="LIC209"/>
      <c r="LID209"/>
      <c r="LIE209"/>
      <c r="LIF209"/>
      <c r="LIG209"/>
      <c r="LIH209"/>
      <c r="LII209"/>
      <c r="LIJ209"/>
      <c r="LIK209"/>
      <c r="LIL209"/>
      <c r="LIM209"/>
      <c r="LIN209"/>
      <c r="LIO209"/>
      <c r="LIP209"/>
      <c r="LIQ209"/>
      <c r="LIR209"/>
      <c r="LIS209"/>
      <c r="LIT209"/>
      <c r="LIU209"/>
      <c r="LIV209"/>
      <c r="LIW209"/>
      <c r="LIX209"/>
      <c r="LIY209"/>
      <c r="LIZ209"/>
      <c r="LJA209"/>
      <c r="LJB209"/>
      <c r="LJC209"/>
      <c r="LJD209"/>
      <c r="LJE209"/>
      <c r="LJF209"/>
      <c r="LJG209"/>
      <c r="LJH209"/>
      <c r="LJI209"/>
      <c r="LJJ209"/>
      <c r="LJK209"/>
      <c r="LJL209"/>
      <c r="LJM209"/>
      <c r="LJN209"/>
      <c r="LJO209"/>
      <c r="LJP209"/>
      <c r="LJQ209"/>
      <c r="LJR209"/>
      <c r="LJS209"/>
      <c r="LJT209"/>
      <c r="LJU209"/>
      <c r="LJV209"/>
      <c r="LJW209"/>
      <c r="LJX209"/>
      <c r="LJY209"/>
      <c r="LJZ209"/>
      <c r="LKA209"/>
      <c r="LKB209"/>
      <c r="LKC209"/>
      <c r="LKD209"/>
      <c r="LKE209"/>
      <c r="LKF209"/>
      <c r="LKG209"/>
      <c r="LKH209"/>
      <c r="LKI209"/>
      <c r="LKJ209"/>
      <c r="LKK209"/>
      <c r="LKL209"/>
      <c r="LKM209"/>
      <c r="LKN209"/>
      <c r="LKO209"/>
      <c r="LKP209"/>
      <c r="LKQ209"/>
      <c r="LKR209"/>
      <c r="LKS209"/>
      <c r="LKT209"/>
      <c r="LKU209"/>
      <c r="LKV209"/>
      <c r="LKW209"/>
      <c r="LKX209"/>
      <c r="LKY209"/>
      <c r="LKZ209"/>
      <c r="LLA209"/>
      <c r="LLB209"/>
      <c r="LLC209"/>
      <c r="LLD209"/>
      <c r="LLE209"/>
      <c r="LLF209"/>
      <c r="LLG209"/>
      <c r="LLH209"/>
      <c r="LLI209"/>
      <c r="LLJ209"/>
      <c r="LLK209"/>
      <c r="LLL209"/>
      <c r="LLM209"/>
      <c r="LLN209"/>
      <c r="LLO209"/>
      <c r="LLP209"/>
      <c r="LLQ209"/>
      <c r="LLR209"/>
      <c r="LLS209"/>
      <c r="LLT209"/>
      <c r="LLU209"/>
      <c r="LLV209"/>
      <c r="LLW209"/>
      <c r="LLX209"/>
      <c r="LLY209"/>
      <c r="LLZ209"/>
      <c r="LMA209"/>
      <c r="LMB209"/>
      <c r="LMC209"/>
      <c r="LMD209"/>
      <c r="LME209"/>
      <c r="LMF209"/>
      <c r="LMG209"/>
      <c r="LMH209"/>
      <c r="LMI209"/>
      <c r="LMJ209"/>
      <c r="LMK209"/>
      <c r="LML209"/>
      <c r="LMM209"/>
      <c r="LMN209"/>
      <c r="LMO209"/>
      <c r="LMP209"/>
      <c r="LMQ209"/>
      <c r="LMR209"/>
      <c r="LMS209"/>
      <c r="LMT209"/>
      <c r="LMU209"/>
      <c r="LMV209"/>
      <c r="LMW209"/>
      <c r="LMX209"/>
      <c r="LMY209"/>
      <c r="LMZ209"/>
      <c r="LNA209"/>
      <c r="LNB209"/>
      <c r="LNC209"/>
      <c r="LND209"/>
      <c r="LNE209"/>
      <c r="LNF209"/>
      <c r="LNG209"/>
      <c r="LNH209"/>
      <c r="LNI209"/>
      <c r="LNJ209"/>
      <c r="LNK209"/>
      <c r="LNL209"/>
      <c r="LNM209"/>
      <c r="LNN209"/>
      <c r="LNO209"/>
      <c r="LNP209"/>
      <c r="LNQ209"/>
      <c r="LNR209"/>
      <c r="LNS209"/>
      <c r="LNT209"/>
      <c r="LNU209"/>
      <c r="LNV209"/>
      <c r="LNW209"/>
      <c r="LNX209"/>
      <c r="LNY209"/>
      <c r="LNZ209"/>
      <c r="LOA209"/>
      <c r="LOB209"/>
      <c r="LOC209"/>
      <c r="LOD209"/>
      <c r="LOE209"/>
      <c r="LOF209"/>
      <c r="LOG209"/>
      <c r="LOH209"/>
      <c r="LOI209"/>
      <c r="LOJ209"/>
      <c r="LOK209"/>
      <c r="LOL209"/>
      <c r="LOM209"/>
      <c r="LON209"/>
      <c r="LOO209"/>
      <c r="LOP209"/>
      <c r="LOQ209"/>
      <c r="LOR209"/>
      <c r="LOS209"/>
      <c r="LOT209"/>
      <c r="LOU209"/>
      <c r="LOV209"/>
      <c r="LOW209"/>
      <c r="LOX209"/>
      <c r="LOY209"/>
      <c r="LOZ209"/>
      <c r="LPA209"/>
      <c r="LPB209"/>
      <c r="LPC209"/>
      <c r="LPD209"/>
      <c r="LPE209"/>
      <c r="LPF209"/>
      <c r="LPG209"/>
      <c r="LPH209"/>
      <c r="LPI209"/>
      <c r="LPJ209"/>
      <c r="LPK209"/>
      <c r="LPL209"/>
      <c r="LPM209"/>
      <c r="LPN209"/>
      <c r="LPO209"/>
      <c r="LPP209"/>
      <c r="LPQ209"/>
      <c r="LPR209"/>
      <c r="LPS209"/>
      <c r="LPT209"/>
      <c r="LPU209"/>
      <c r="LPV209"/>
      <c r="LPW209"/>
      <c r="LPX209"/>
      <c r="LPY209"/>
      <c r="LPZ209"/>
      <c r="LQA209"/>
      <c r="LQB209"/>
      <c r="LQC209"/>
      <c r="LQD209"/>
      <c r="LQE209"/>
      <c r="LQF209"/>
      <c r="LQG209"/>
      <c r="LQH209"/>
      <c r="LQI209"/>
      <c r="LQJ209"/>
      <c r="LQK209"/>
      <c r="LQL209"/>
      <c r="LQM209"/>
      <c r="LQN209"/>
      <c r="LQO209"/>
      <c r="LQP209"/>
      <c r="LQQ209"/>
      <c r="LQR209"/>
      <c r="LQS209"/>
      <c r="LQT209"/>
      <c r="LQU209"/>
      <c r="LQV209"/>
      <c r="LQW209"/>
      <c r="LQX209"/>
      <c r="LQY209"/>
      <c r="LQZ209"/>
      <c r="LRA209"/>
      <c r="LRB209"/>
      <c r="LRC209"/>
      <c r="LRD209"/>
      <c r="LRE209"/>
      <c r="LRF209"/>
      <c r="LRG209"/>
      <c r="LRH209"/>
      <c r="LRI209"/>
      <c r="LRJ209"/>
      <c r="LRK209"/>
      <c r="LRL209"/>
      <c r="LRM209"/>
      <c r="LRN209"/>
      <c r="LRO209"/>
      <c r="LRP209"/>
      <c r="LRQ209"/>
      <c r="LRR209"/>
      <c r="LRS209"/>
      <c r="LRT209"/>
      <c r="LRU209"/>
      <c r="LRV209"/>
      <c r="LRW209"/>
      <c r="LRX209"/>
      <c r="LRY209"/>
      <c r="LRZ209"/>
      <c r="LSA209"/>
      <c r="LSB209"/>
      <c r="LSC209"/>
      <c r="LSD209"/>
      <c r="LSE209"/>
      <c r="LSF209"/>
      <c r="LSG209"/>
      <c r="LSH209"/>
      <c r="LSI209"/>
      <c r="LSJ209"/>
      <c r="LSK209"/>
      <c r="LSL209"/>
      <c r="LSM209"/>
      <c r="LSN209"/>
      <c r="LSO209"/>
      <c r="LSP209"/>
      <c r="LSQ209"/>
      <c r="LSR209"/>
      <c r="LSS209"/>
      <c r="LST209"/>
      <c r="LSU209"/>
      <c r="LSV209"/>
      <c r="LSW209"/>
      <c r="LSX209"/>
      <c r="LSY209"/>
      <c r="LSZ209"/>
      <c r="LTA209"/>
      <c r="LTB209"/>
      <c r="LTC209"/>
      <c r="LTD209"/>
      <c r="LTE209"/>
      <c r="LTF209"/>
      <c r="LTG209"/>
      <c r="LTH209"/>
      <c r="LTI209"/>
      <c r="LTJ209"/>
      <c r="LTK209"/>
      <c r="LTL209"/>
      <c r="LTM209"/>
      <c r="LTN209"/>
      <c r="LTO209"/>
      <c r="LTP209"/>
      <c r="LTQ209"/>
      <c r="LTR209"/>
      <c r="LTS209"/>
      <c r="LTT209"/>
      <c r="LTU209"/>
      <c r="LTV209"/>
      <c r="LTW209"/>
      <c r="LTX209"/>
      <c r="LTY209"/>
      <c r="LTZ209"/>
      <c r="LUA209"/>
      <c r="LUB209"/>
      <c r="LUC209"/>
      <c r="LUD209"/>
      <c r="LUE209"/>
      <c r="LUF209"/>
      <c r="LUG209"/>
      <c r="LUH209"/>
      <c r="LUI209"/>
      <c r="LUJ209"/>
      <c r="LUK209"/>
      <c r="LUL209"/>
      <c r="LUM209"/>
      <c r="LUN209"/>
      <c r="LUO209"/>
      <c r="LUP209"/>
      <c r="LUQ209"/>
      <c r="LUR209"/>
      <c r="LUS209"/>
      <c r="LUT209"/>
      <c r="LUU209"/>
      <c r="LUV209"/>
      <c r="LUW209"/>
      <c r="LUX209"/>
      <c r="LUY209"/>
      <c r="LUZ209"/>
      <c r="LVA209"/>
      <c r="LVB209"/>
      <c r="LVC209"/>
      <c r="LVD209"/>
      <c r="LVE209"/>
      <c r="LVF209"/>
      <c r="LVG209"/>
      <c r="LVH209"/>
      <c r="LVI209"/>
      <c r="LVJ209"/>
      <c r="LVK209"/>
      <c r="LVL209"/>
      <c r="LVM209"/>
      <c r="LVN209"/>
      <c r="LVO209"/>
      <c r="LVP209"/>
      <c r="LVQ209"/>
      <c r="LVR209"/>
      <c r="LVS209"/>
      <c r="LVT209"/>
      <c r="LVU209"/>
      <c r="LVV209"/>
      <c r="LVW209"/>
      <c r="LVX209"/>
      <c r="LVY209"/>
      <c r="LVZ209"/>
      <c r="LWA209"/>
      <c r="LWB209"/>
      <c r="LWC209"/>
      <c r="LWD209"/>
      <c r="LWE209"/>
      <c r="LWF209"/>
      <c r="LWG209"/>
      <c r="LWH209"/>
      <c r="LWI209"/>
      <c r="LWJ209"/>
      <c r="LWK209"/>
      <c r="LWL209"/>
      <c r="LWM209"/>
      <c r="LWN209"/>
      <c r="LWO209"/>
      <c r="LWP209"/>
      <c r="LWQ209"/>
      <c r="LWR209"/>
      <c r="LWS209"/>
      <c r="LWT209"/>
      <c r="LWU209"/>
      <c r="LWV209"/>
      <c r="LWW209"/>
      <c r="LWX209"/>
      <c r="LWY209"/>
      <c r="LWZ209"/>
      <c r="LXA209"/>
      <c r="LXB209"/>
      <c r="LXC209"/>
      <c r="LXD209"/>
      <c r="LXE209"/>
      <c r="LXF209"/>
      <c r="LXG209"/>
      <c r="LXH209"/>
      <c r="LXI209"/>
      <c r="LXJ209"/>
      <c r="LXK209"/>
      <c r="LXL209"/>
      <c r="LXM209"/>
      <c r="LXN209"/>
      <c r="LXO209"/>
      <c r="LXP209"/>
      <c r="LXQ209"/>
      <c r="LXR209"/>
      <c r="LXS209"/>
      <c r="LXT209"/>
      <c r="LXU209"/>
      <c r="LXV209"/>
      <c r="LXW209"/>
      <c r="LXX209"/>
      <c r="LXY209"/>
      <c r="LXZ209"/>
      <c r="LYA209"/>
      <c r="LYB209"/>
      <c r="LYC209"/>
      <c r="LYD209"/>
      <c r="LYE209"/>
      <c r="LYF209"/>
      <c r="LYG209"/>
      <c r="LYH209"/>
      <c r="LYI209"/>
      <c r="LYJ209"/>
      <c r="LYK209"/>
      <c r="LYL209"/>
      <c r="LYM209"/>
      <c r="LYN209"/>
      <c r="LYO209"/>
      <c r="LYP209"/>
      <c r="LYQ209"/>
      <c r="LYR209"/>
      <c r="LYS209"/>
      <c r="LYT209"/>
      <c r="LYU209"/>
      <c r="LYV209"/>
      <c r="LYW209"/>
      <c r="LYX209"/>
      <c r="LYY209"/>
      <c r="LYZ209"/>
      <c r="LZA209"/>
      <c r="LZB209"/>
      <c r="LZC209"/>
      <c r="LZD209"/>
      <c r="LZE209"/>
      <c r="LZF209"/>
      <c r="LZG209"/>
      <c r="LZH209"/>
      <c r="LZI209"/>
      <c r="LZJ209"/>
      <c r="LZK209"/>
      <c r="LZL209"/>
      <c r="LZM209"/>
      <c r="LZN209"/>
      <c r="LZO209"/>
      <c r="LZP209"/>
      <c r="LZQ209"/>
      <c r="LZR209"/>
      <c r="LZS209"/>
      <c r="LZT209"/>
      <c r="LZU209"/>
      <c r="LZV209"/>
      <c r="LZW209"/>
      <c r="LZX209"/>
      <c r="LZY209"/>
      <c r="LZZ209"/>
      <c r="MAA209"/>
      <c r="MAB209"/>
      <c r="MAC209"/>
      <c r="MAD209"/>
      <c r="MAE209"/>
      <c r="MAF209"/>
      <c r="MAG209"/>
      <c r="MAH209"/>
      <c r="MAI209"/>
      <c r="MAJ209"/>
      <c r="MAK209"/>
      <c r="MAL209"/>
      <c r="MAM209"/>
      <c r="MAN209"/>
      <c r="MAO209"/>
      <c r="MAP209"/>
      <c r="MAQ209"/>
      <c r="MAR209"/>
      <c r="MAS209"/>
      <c r="MAT209"/>
      <c r="MAU209"/>
      <c r="MAV209"/>
      <c r="MAW209"/>
      <c r="MAX209"/>
      <c r="MAY209"/>
      <c r="MAZ209"/>
      <c r="MBA209"/>
      <c r="MBB209"/>
      <c r="MBC209"/>
      <c r="MBD209"/>
      <c r="MBE209"/>
      <c r="MBF209"/>
      <c r="MBG209"/>
      <c r="MBH209"/>
      <c r="MBI209"/>
      <c r="MBJ209"/>
      <c r="MBK209"/>
      <c r="MBL209"/>
      <c r="MBM209"/>
      <c r="MBN209"/>
      <c r="MBO209"/>
      <c r="MBP209"/>
      <c r="MBQ209"/>
      <c r="MBR209"/>
      <c r="MBS209"/>
      <c r="MBT209"/>
      <c r="MBU209"/>
      <c r="MBV209"/>
      <c r="MBW209"/>
      <c r="MBX209"/>
      <c r="MBY209"/>
      <c r="MBZ209"/>
      <c r="MCA209"/>
      <c r="MCB209"/>
      <c r="MCC209"/>
      <c r="MCD209"/>
      <c r="MCE209"/>
      <c r="MCF209"/>
      <c r="MCG209"/>
      <c r="MCH209"/>
      <c r="MCI209"/>
      <c r="MCJ209"/>
      <c r="MCK209"/>
      <c r="MCL209"/>
      <c r="MCM209"/>
      <c r="MCN209"/>
      <c r="MCO209"/>
      <c r="MCP209"/>
      <c r="MCQ209"/>
      <c r="MCR209"/>
      <c r="MCS209"/>
      <c r="MCT209"/>
      <c r="MCU209"/>
      <c r="MCV209"/>
      <c r="MCW209"/>
      <c r="MCX209"/>
      <c r="MCY209"/>
      <c r="MCZ209"/>
      <c r="MDA209"/>
      <c r="MDB209"/>
      <c r="MDC209"/>
      <c r="MDD209"/>
      <c r="MDE209"/>
      <c r="MDF209"/>
      <c r="MDG209"/>
      <c r="MDH209"/>
      <c r="MDI209"/>
      <c r="MDJ209"/>
      <c r="MDK209"/>
      <c r="MDL209"/>
      <c r="MDM209"/>
      <c r="MDN209"/>
      <c r="MDO209"/>
      <c r="MDP209"/>
      <c r="MDQ209"/>
      <c r="MDR209"/>
      <c r="MDS209"/>
      <c r="MDT209"/>
      <c r="MDU209"/>
      <c r="MDV209"/>
      <c r="MDW209"/>
      <c r="MDX209"/>
      <c r="MDY209"/>
      <c r="MDZ209"/>
      <c r="MEA209"/>
      <c r="MEB209"/>
      <c r="MEC209"/>
      <c r="MED209"/>
      <c r="MEE209"/>
      <c r="MEF209"/>
      <c r="MEG209"/>
      <c r="MEH209"/>
      <c r="MEI209"/>
      <c r="MEJ209"/>
      <c r="MEK209"/>
      <c r="MEL209"/>
      <c r="MEM209"/>
      <c r="MEN209"/>
      <c r="MEO209"/>
      <c r="MEP209"/>
      <c r="MEQ209"/>
      <c r="MER209"/>
      <c r="MES209"/>
      <c r="MET209"/>
      <c r="MEU209"/>
      <c r="MEV209"/>
      <c r="MEW209"/>
      <c r="MEX209"/>
      <c r="MEY209"/>
      <c r="MEZ209"/>
      <c r="MFA209"/>
      <c r="MFB209"/>
      <c r="MFC209"/>
      <c r="MFD209"/>
      <c r="MFE209"/>
      <c r="MFF209"/>
      <c r="MFG209"/>
      <c r="MFH209"/>
      <c r="MFI209"/>
      <c r="MFJ209"/>
      <c r="MFK209"/>
      <c r="MFL209"/>
      <c r="MFM209"/>
      <c r="MFN209"/>
      <c r="MFO209"/>
      <c r="MFP209"/>
      <c r="MFQ209"/>
      <c r="MFR209"/>
      <c r="MFS209"/>
      <c r="MFT209"/>
      <c r="MFU209"/>
      <c r="MFV209"/>
      <c r="MFW209"/>
      <c r="MFX209"/>
      <c r="MFY209"/>
      <c r="MFZ209"/>
      <c r="MGA209"/>
      <c r="MGB209"/>
      <c r="MGC209"/>
      <c r="MGD209"/>
      <c r="MGE209"/>
      <c r="MGF209"/>
      <c r="MGG209"/>
      <c r="MGH209"/>
      <c r="MGI209"/>
      <c r="MGJ209"/>
      <c r="MGK209"/>
      <c r="MGL209"/>
      <c r="MGM209"/>
      <c r="MGN209"/>
      <c r="MGO209"/>
      <c r="MGP209"/>
      <c r="MGQ209"/>
      <c r="MGR209"/>
      <c r="MGS209"/>
      <c r="MGT209"/>
      <c r="MGU209"/>
      <c r="MGV209"/>
      <c r="MGW209"/>
      <c r="MGX209"/>
      <c r="MGY209"/>
      <c r="MGZ209"/>
      <c r="MHA209"/>
      <c r="MHB209"/>
      <c r="MHC209"/>
      <c r="MHD209"/>
      <c r="MHE209"/>
      <c r="MHF209"/>
      <c r="MHG209"/>
      <c r="MHH209"/>
      <c r="MHI209"/>
      <c r="MHJ209"/>
      <c r="MHK209"/>
      <c r="MHL209"/>
      <c r="MHM209"/>
      <c r="MHN209"/>
      <c r="MHO209"/>
      <c r="MHP209"/>
      <c r="MHQ209"/>
      <c r="MHR209"/>
      <c r="MHS209"/>
      <c r="MHT209"/>
      <c r="MHU209"/>
      <c r="MHV209"/>
      <c r="MHW209"/>
      <c r="MHX209"/>
      <c r="MHY209"/>
      <c r="MHZ209"/>
      <c r="MIA209"/>
      <c r="MIB209"/>
      <c r="MIC209"/>
      <c r="MID209"/>
      <c r="MIE209"/>
      <c r="MIF209"/>
      <c r="MIG209"/>
      <c r="MIH209"/>
      <c r="MII209"/>
      <c r="MIJ209"/>
      <c r="MIK209"/>
      <c r="MIL209"/>
      <c r="MIM209"/>
      <c r="MIN209"/>
      <c r="MIO209"/>
      <c r="MIP209"/>
      <c r="MIQ209"/>
      <c r="MIR209"/>
      <c r="MIS209"/>
      <c r="MIT209"/>
      <c r="MIU209"/>
      <c r="MIV209"/>
      <c r="MIW209"/>
      <c r="MIX209"/>
      <c r="MIY209"/>
      <c r="MIZ209"/>
      <c r="MJA209"/>
      <c r="MJB209"/>
      <c r="MJC209"/>
      <c r="MJD209"/>
      <c r="MJE209"/>
      <c r="MJF209"/>
      <c r="MJG209"/>
      <c r="MJH209"/>
      <c r="MJI209"/>
      <c r="MJJ209"/>
      <c r="MJK209"/>
      <c r="MJL209"/>
      <c r="MJM209"/>
      <c r="MJN209"/>
      <c r="MJO209"/>
      <c r="MJP209"/>
      <c r="MJQ209"/>
      <c r="MJR209"/>
      <c r="MJS209"/>
      <c r="MJT209"/>
      <c r="MJU209"/>
      <c r="MJV209"/>
      <c r="MJW209"/>
      <c r="MJX209"/>
      <c r="MJY209"/>
      <c r="MJZ209"/>
      <c r="MKA209"/>
      <c r="MKB209"/>
      <c r="MKC209"/>
      <c r="MKD209"/>
      <c r="MKE209"/>
      <c r="MKF209"/>
      <c r="MKG209"/>
      <c r="MKH209"/>
      <c r="MKI209"/>
      <c r="MKJ209"/>
      <c r="MKK209"/>
      <c r="MKL209"/>
      <c r="MKM209"/>
      <c r="MKN209"/>
      <c r="MKO209"/>
      <c r="MKP209"/>
      <c r="MKQ209"/>
      <c r="MKR209"/>
      <c r="MKS209"/>
      <c r="MKT209"/>
      <c r="MKU209"/>
      <c r="MKV209"/>
      <c r="MKW209"/>
      <c r="MKX209"/>
      <c r="MKY209"/>
      <c r="MKZ209"/>
      <c r="MLA209"/>
      <c r="MLB209"/>
      <c r="MLC209"/>
      <c r="MLD209"/>
      <c r="MLE209"/>
      <c r="MLF209"/>
      <c r="MLG209"/>
      <c r="MLH209"/>
      <c r="MLI209"/>
      <c r="MLJ209"/>
      <c r="MLK209"/>
      <c r="MLL209"/>
      <c r="MLM209"/>
      <c r="MLN209"/>
      <c r="MLO209"/>
      <c r="MLP209"/>
      <c r="MLQ209"/>
      <c r="MLR209"/>
      <c r="MLS209"/>
      <c r="MLT209"/>
      <c r="MLU209"/>
      <c r="MLV209"/>
      <c r="MLW209"/>
      <c r="MLX209"/>
      <c r="MLY209"/>
      <c r="MLZ209"/>
      <c r="MMA209"/>
      <c r="MMB209"/>
      <c r="MMC209"/>
      <c r="MMD209"/>
      <c r="MME209"/>
      <c r="MMF209"/>
      <c r="MMG209"/>
      <c r="MMH209"/>
      <c r="MMI209"/>
      <c r="MMJ209"/>
      <c r="MMK209"/>
      <c r="MML209"/>
      <c r="MMM209"/>
      <c r="MMN209"/>
      <c r="MMO209"/>
      <c r="MMP209"/>
      <c r="MMQ209"/>
      <c r="MMR209"/>
      <c r="MMS209"/>
      <c r="MMT209"/>
      <c r="MMU209"/>
      <c r="MMV209"/>
      <c r="MMW209"/>
      <c r="MMX209"/>
      <c r="MMY209"/>
      <c r="MMZ209"/>
      <c r="MNA209"/>
      <c r="MNB209"/>
      <c r="MNC209"/>
      <c r="MND209"/>
      <c r="MNE209"/>
      <c r="MNF209"/>
      <c r="MNG209"/>
      <c r="MNH209"/>
      <c r="MNI209"/>
      <c r="MNJ209"/>
      <c r="MNK209"/>
      <c r="MNL209"/>
      <c r="MNM209"/>
      <c r="MNN209"/>
      <c r="MNO209"/>
      <c r="MNP209"/>
      <c r="MNQ209"/>
      <c r="MNR209"/>
      <c r="MNS209"/>
      <c r="MNT209"/>
      <c r="MNU209"/>
      <c r="MNV209"/>
      <c r="MNW209"/>
      <c r="MNX209"/>
      <c r="MNY209"/>
      <c r="MNZ209"/>
      <c r="MOA209"/>
      <c r="MOB209"/>
      <c r="MOC209"/>
      <c r="MOD209"/>
      <c r="MOE209"/>
      <c r="MOF209"/>
      <c r="MOG209"/>
      <c r="MOH209"/>
      <c r="MOI209"/>
      <c r="MOJ209"/>
      <c r="MOK209"/>
      <c r="MOL209"/>
      <c r="MOM209"/>
      <c r="MON209"/>
      <c r="MOO209"/>
      <c r="MOP209"/>
      <c r="MOQ209"/>
      <c r="MOR209"/>
      <c r="MOS209"/>
      <c r="MOT209"/>
      <c r="MOU209"/>
      <c r="MOV209"/>
      <c r="MOW209"/>
      <c r="MOX209"/>
      <c r="MOY209"/>
      <c r="MOZ209"/>
      <c r="MPA209"/>
      <c r="MPB209"/>
      <c r="MPC209"/>
      <c r="MPD209"/>
      <c r="MPE209"/>
      <c r="MPF209"/>
      <c r="MPG209"/>
      <c r="MPH209"/>
      <c r="MPI209"/>
      <c r="MPJ209"/>
      <c r="MPK209"/>
      <c r="MPL209"/>
      <c r="MPM209"/>
      <c r="MPN209"/>
      <c r="MPO209"/>
      <c r="MPP209"/>
      <c r="MPQ209"/>
      <c r="MPR209"/>
      <c r="MPS209"/>
      <c r="MPT209"/>
      <c r="MPU209"/>
      <c r="MPV209"/>
      <c r="MPW209"/>
      <c r="MPX209"/>
      <c r="MPY209"/>
      <c r="MPZ209"/>
      <c r="MQA209"/>
      <c r="MQB209"/>
      <c r="MQC209"/>
      <c r="MQD209"/>
      <c r="MQE209"/>
      <c r="MQF209"/>
      <c r="MQG209"/>
      <c r="MQH209"/>
      <c r="MQI209"/>
      <c r="MQJ209"/>
      <c r="MQK209"/>
      <c r="MQL209"/>
      <c r="MQM209"/>
      <c r="MQN209"/>
      <c r="MQO209"/>
      <c r="MQP209"/>
      <c r="MQQ209"/>
      <c r="MQR209"/>
      <c r="MQS209"/>
      <c r="MQT209"/>
      <c r="MQU209"/>
      <c r="MQV209"/>
      <c r="MQW209"/>
      <c r="MQX209"/>
      <c r="MQY209"/>
      <c r="MQZ209"/>
      <c r="MRA209"/>
      <c r="MRB209"/>
      <c r="MRC209"/>
      <c r="MRD209"/>
      <c r="MRE209"/>
      <c r="MRF209"/>
      <c r="MRG209"/>
      <c r="MRH209"/>
      <c r="MRI209"/>
      <c r="MRJ209"/>
      <c r="MRK209"/>
      <c r="MRL209"/>
      <c r="MRM209"/>
      <c r="MRN209"/>
      <c r="MRO209"/>
      <c r="MRP209"/>
      <c r="MRQ209"/>
      <c r="MRR209"/>
      <c r="MRS209"/>
      <c r="MRT209"/>
      <c r="MRU209"/>
      <c r="MRV209"/>
      <c r="MRW209"/>
      <c r="MRX209"/>
      <c r="MRY209"/>
      <c r="MRZ209"/>
      <c r="MSA209"/>
      <c r="MSB209"/>
      <c r="MSC209"/>
      <c r="MSD209"/>
      <c r="MSE209"/>
      <c r="MSF209"/>
      <c r="MSG209"/>
      <c r="MSH209"/>
      <c r="MSI209"/>
      <c r="MSJ209"/>
      <c r="MSK209"/>
      <c r="MSL209"/>
      <c r="MSM209"/>
      <c r="MSN209"/>
      <c r="MSO209"/>
      <c r="MSP209"/>
      <c r="MSQ209"/>
      <c r="MSR209"/>
      <c r="MSS209"/>
      <c r="MST209"/>
      <c r="MSU209"/>
      <c r="MSV209"/>
      <c r="MSW209"/>
      <c r="MSX209"/>
      <c r="MSY209"/>
      <c r="MSZ209"/>
      <c r="MTA209"/>
      <c r="MTB209"/>
      <c r="MTC209"/>
      <c r="MTD209"/>
      <c r="MTE209"/>
      <c r="MTF209"/>
      <c r="MTG209"/>
      <c r="MTH209"/>
      <c r="MTI209"/>
      <c r="MTJ209"/>
      <c r="MTK209"/>
      <c r="MTL209"/>
      <c r="MTM209"/>
      <c r="MTN209"/>
      <c r="MTO209"/>
      <c r="MTP209"/>
      <c r="MTQ209"/>
      <c r="MTR209"/>
      <c r="MTS209"/>
      <c r="MTT209"/>
      <c r="MTU209"/>
      <c r="MTV209"/>
      <c r="MTW209"/>
      <c r="MTX209"/>
      <c r="MTY209"/>
      <c r="MTZ209"/>
      <c r="MUA209"/>
      <c r="MUB209"/>
      <c r="MUC209"/>
      <c r="MUD209"/>
      <c r="MUE209"/>
      <c r="MUF209"/>
      <c r="MUG209"/>
      <c r="MUH209"/>
      <c r="MUI209"/>
      <c r="MUJ209"/>
      <c r="MUK209"/>
      <c r="MUL209"/>
      <c r="MUM209"/>
      <c r="MUN209"/>
      <c r="MUO209"/>
      <c r="MUP209"/>
      <c r="MUQ209"/>
      <c r="MUR209"/>
      <c r="MUS209"/>
      <c r="MUT209"/>
      <c r="MUU209"/>
      <c r="MUV209"/>
      <c r="MUW209"/>
      <c r="MUX209"/>
      <c r="MUY209"/>
      <c r="MUZ209"/>
      <c r="MVA209"/>
      <c r="MVB209"/>
      <c r="MVC209"/>
      <c r="MVD209"/>
      <c r="MVE209"/>
      <c r="MVF209"/>
      <c r="MVG209"/>
      <c r="MVH209"/>
      <c r="MVI209"/>
      <c r="MVJ209"/>
      <c r="MVK209"/>
      <c r="MVL209"/>
      <c r="MVM209"/>
      <c r="MVN209"/>
      <c r="MVO209"/>
      <c r="MVP209"/>
      <c r="MVQ209"/>
      <c r="MVR209"/>
      <c r="MVS209"/>
      <c r="MVT209"/>
      <c r="MVU209"/>
      <c r="MVV209"/>
      <c r="MVW209"/>
      <c r="MVX209"/>
      <c r="MVY209"/>
      <c r="MVZ209"/>
      <c r="MWA209"/>
      <c r="MWB209"/>
      <c r="MWC209"/>
      <c r="MWD209"/>
      <c r="MWE209"/>
      <c r="MWF209"/>
      <c r="MWG209"/>
      <c r="MWH209"/>
      <c r="MWI209"/>
      <c r="MWJ209"/>
      <c r="MWK209"/>
      <c r="MWL209"/>
      <c r="MWM209"/>
      <c r="MWN209"/>
      <c r="MWO209"/>
      <c r="MWP209"/>
      <c r="MWQ209"/>
      <c r="MWR209"/>
      <c r="MWS209"/>
      <c r="MWT209"/>
      <c r="MWU209"/>
      <c r="MWV209"/>
      <c r="MWW209"/>
      <c r="MWX209"/>
      <c r="MWY209"/>
      <c r="MWZ209"/>
      <c r="MXA209"/>
      <c r="MXB209"/>
      <c r="MXC209"/>
      <c r="MXD209"/>
      <c r="MXE209"/>
      <c r="MXF209"/>
      <c r="MXG209"/>
      <c r="MXH209"/>
      <c r="MXI209"/>
      <c r="MXJ209"/>
      <c r="MXK209"/>
      <c r="MXL209"/>
      <c r="MXM209"/>
      <c r="MXN209"/>
      <c r="MXO209"/>
      <c r="MXP209"/>
      <c r="MXQ209"/>
      <c r="MXR209"/>
      <c r="MXS209"/>
      <c r="MXT209"/>
      <c r="MXU209"/>
      <c r="MXV209"/>
      <c r="MXW209"/>
      <c r="MXX209"/>
      <c r="MXY209"/>
      <c r="MXZ209"/>
      <c r="MYA209"/>
      <c r="MYB209"/>
      <c r="MYC209"/>
      <c r="MYD209"/>
      <c r="MYE209"/>
      <c r="MYF209"/>
      <c r="MYG209"/>
      <c r="MYH209"/>
      <c r="MYI209"/>
      <c r="MYJ209"/>
      <c r="MYK209"/>
      <c r="MYL209"/>
      <c r="MYM209"/>
      <c r="MYN209"/>
      <c r="MYO209"/>
      <c r="MYP209"/>
      <c r="MYQ209"/>
      <c r="MYR209"/>
      <c r="MYS209"/>
      <c r="MYT209"/>
      <c r="MYU209"/>
      <c r="MYV209"/>
      <c r="MYW209"/>
      <c r="MYX209"/>
      <c r="MYY209"/>
      <c r="MYZ209"/>
      <c r="MZA209"/>
      <c r="MZB209"/>
      <c r="MZC209"/>
      <c r="MZD209"/>
      <c r="MZE209"/>
      <c r="MZF209"/>
      <c r="MZG209"/>
      <c r="MZH209"/>
      <c r="MZI209"/>
      <c r="MZJ209"/>
      <c r="MZK209"/>
      <c r="MZL209"/>
      <c r="MZM209"/>
      <c r="MZN209"/>
      <c r="MZO209"/>
      <c r="MZP209"/>
      <c r="MZQ209"/>
      <c r="MZR209"/>
      <c r="MZS209"/>
      <c r="MZT209"/>
      <c r="MZU209"/>
      <c r="MZV209"/>
      <c r="MZW209"/>
      <c r="MZX209"/>
      <c r="MZY209"/>
      <c r="MZZ209"/>
      <c r="NAA209"/>
      <c r="NAB209"/>
      <c r="NAC209"/>
      <c r="NAD209"/>
      <c r="NAE209"/>
      <c r="NAF209"/>
      <c r="NAG209"/>
      <c r="NAH209"/>
      <c r="NAI209"/>
      <c r="NAJ209"/>
      <c r="NAK209"/>
      <c r="NAL209"/>
      <c r="NAM209"/>
      <c r="NAN209"/>
      <c r="NAO209"/>
      <c r="NAP209"/>
      <c r="NAQ209"/>
      <c r="NAR209"/>
      <c r="NAS209"/>
      <c r="NAT209"/>
      <c r="NAU209"/>
      <c r="NAV209"/>
      <c r="NAW209"/>
      <c r="NAX209"/>
      <c r="NAY209"/>
      <c r="NAZ209"/>
      <c r="NBA209"/>
      <c r="NBB209"/>
      <c r="NBC209"/>
      <c r="NBD209"/>
      <c r="NBE209"/>
      <c r="NBF209"/>
      <c r="NBG209"/>
      <c r="NBH209"/>
      <c r="NBI209"/>
      <c r="NBJ209"/>
      <c r="NBK209"/>
      <c r="NBL209"/>
      <c r="NBM209"/>
      <c r="NBN209"/>
      <c r="NBO209"/>
      <c r="NBP209"/>
      <c r="NBQ209"/>
      <c r="NBR209"/>
      <c r="NBS209"/>
      <c r="NBT209"/>
      <c r="NBU209"/>
      <c r="NBV209"/>
      <c r="NBW209"/>
      <c r="NBX209"/>
      <c r="NBY209"/>
      <c r="NBZ209"/>
      <c r="NCA209"/>
      <c r="NCB209"/>
      <c r="NCC209"/>
      <c r="NCD209"/>
      <c r="NCE209"/>
      <c r="NCF209"/>
      <c r="NCG209"/>
      <c r="NCH209"/>
      <c r="NCI209"/>
      <c r="NCJ209"/>
      <c r="NCK209"/>
      <c r="NCL209"/>
      <c r="NCM209"/>
      <c r="NCN209"/>
      <c r="NCO209"/>
      <c r="NCP209"/>
      <c r="NCQ209"/>
      <c r="NCR209"/>
      <c r="NCS209"/>
      <c r="NCT209"/>
      <c r="NCU209"/>
      <c r="NCV209"/>
      <c r="NCW209"/>
      <c r="NCX209"/>
      <c r="NCY209"/>
      <c r="NCZ209"/>
      <c r="NDA209"/>
      <c r="NDB209"/>
      <c r="NDC209"/>
      <c r="NDD209"/>
      <c r="NDE209"/>
      <c r="NDF209"/>
      <c r="NDG209"/>
      <c r="NDH209"/>
      <c r="NDI209"/>
      <c r="NDJ209"/>
      <c r="NDK209"/>
      <c r="NDL209"/>
      <c r="NDM209"/>
      <c r="NDN209"/>
      <c r="NDO209"/>
      <c r="NDP209"/>
      <c r="NDQ209"/>
      <c r="NDR209"/>
      <c r="NDS209"/>
      <c r="NDT209"/>
      <c r="NDU209"/>
      <c r="NDV209"/>
      <c r="NDW209"/>
      <c r="NDX209"/>
      <c r="NDY209"/>
      <c r="NDZ209"/>
      <c r="NEA209"/>
      <c r="NEB209"/>
      <c r="NEC209"/>
      <c r="NED209"/>
      <c r="NEE209"/>
      <c r="NEF209"/>
      <c r="NEG209"/>
      <c r="NEH209"/>
      <c r="NEI209"/>
      <c r="NEJ209"/>
      <c r="NEK209"/>
      <c r="NEL209"/>
      <c r="NEM209"/>
      <c r="NEN209"/>
      <c r="NEO209"/>
      <c r="NEP209"/>
      <c r="NEQ209"/>
      <c r="NER209"/>
      <c r="NES209"/>
      <c r="NET209"/>
      <c r="NEU209"/>
      <c r="NEV209"/>
      <c r="NEW209"/>
      <c r="NEX209"/>
      <c r="NEY209"/>
      <c r="NEZ209"/>
      <c r="NFA209"/>
      <c r="NFB209"/>
      <c r="NFC209"/>
      <c r="NFD209"/>
      <c r="NFE209"/>
      <c r="NFF209"/>
      <c r="NFG209"/>
      <c r="NFH209"/>
      <c r="NFI209"/>
      <c r="NFJ209"/>
      <c r="NFK209"/>
      <c r="NFL209"/>
      <c r="NFM209"/>
      <c r="NFN209"/>
      <c r="NFO209"/>
      <c r="NFP209"/>
      <c r="NFQ209"/>
      <c r="NFR209"/>
      <c r="NFS209"/>
      <c r="NFT209"/>
      <c r="NFU209"/>
      <c r="NFV209"/>
      <c r="NFW209"/>
      <c r="NFX209"/>
      <c r="NFY209"/>
      <c r="NFZ209"/>
      <c r="NGA209"/>
      <c r="NGB209"/>
      <c r="NGC209"/>
      <c r="NGD209"/>
      <c r="NGE209"/>
      <c r="NGF209"/>
      <c r="NGG209"/>
      <c r="NGH209"/>
      <c r="NGI209"/>
      <c r="NGJ209"/>
      <c r="NGK209"/>
      <c r="NGL209"/>
      <c r="NGM209"/>
      <c r="NGN209"/>
      <c r="NGO209"/>
      <c r="NGP209"/>
      <c r="NGQ209"/>
      <c r="NGR209"/>
      <c r="NGS209"/>
      <c r="NGT209"/>
      <c r="NGU209"/>
      <c r="NGV209"/>
      <c r="NGW209"/>
      <c r="NGX209"/>
      <c r="NGY209"/>
      <c r="NGZ209"/>
      <c r="NHA209"/>
      <c r="NHB209"/>
      <c r="NHC209"/>
      <c r="NHD209"/>
      <c r="NHE209"/>
      <c r="NHF209"/>
      <c r="NHG209"/>
      <c r="NHH209"/>
      <c r="NHI209"/>
      <c r="NHJ209"/>
      <c r="NHK209"/>
      <c r="NHL209"/>
      <c r="NHM209"/>
      <c r="NHN209"/>
      <c r="NHO209"/>
      <c r="NHP209"/>
      <c r="NHQ209"/>
      <c r="NHR209"/>
      <c r="NHS209"/>
      <c r="NHT209"/>
      <c r="NHU209"/>
      <c r="NHV209"/>
      <c r="NHW209"/>
      <c r="NHX209"/>
      <c r="NHY209"/>
      <c r="NHZ209"/>
      <c r="NIA209"/>
      <c r="NIB209"/>
      <c r="NIC209"/>
      <c r="NID209"/>
      <c r="NIE209"/>
      <c r="NIF209"/>
      <c r="NIG209"/>
      <c r="NIH209"/>
      <c r="NII209"/>
      <c r="NIJ209"/>
      <c r="NIK209"/>
      <c r="NIL209"/>
      <c r="NIM209"/>
      <c r="NIN209"/>
      <c r="NIO209"/>
      <c r="NIP209"/>
      <c r="NIQ209"/>
      <c r="NIR209"/>
      <c r="NIS209"/>
      <c r="NIT209"/>
      <c r="NIU209"/>
      <c r="NIV209"/>
      <c r="NIW209"/>
      <c r="NIX209"/>
      <c r="NIY209"/>
      <c r="NIZ209"/>
      <c r="NJA209"/>
      <c r="NJB209"/>
      <c r="NJC209"/>
      <c r="NJD209"/>
      <c r="NJE209"/>
      <c r="NJF209"/>
      <c r="NJG209"/>
      <c r="NJH209"/>
      <c r="NJI209"/>
      <c r="NJJ209"/>
      <c r="NJK209"/>
      <c r="NJL209"/>
      <c r="NJM209"/>
      <c r="NJN209"/>
      <c r="NJO209"/>
      <c r="NJP209"/>
      <c r="NJQ209"/>
      <c r="NJR209"/>
      <c r="NJS209"/>
      <c r="NJT209"/>
      <c r="NJU209"/>
      <c r="NJV209"/>
      <c r="NJW209"/>
      <c r="NJX209"/>
      <c r="NJY209"/>
      <c r="NJZ209"/>
      <c r="NKA209"/>
      <c r="NKB209"/>
      <c r="NKC209"/>
      <c r="NKD209"/>
      <c r="NKE209"/>
      <c r="NKF209"/>
      <c r="NKG209"/>
      <c r="NKH209"/>
      <c r="NKI209"/>
      <c r="NKJ209"/>
      <c r="NKK209"/>
      <c r="NKL209"/>
      <c r="NKM209"/>
      <c r="NKN209"/>
      <c r="NKO209"/>
      <c r="NKP209"/>
      <c r="NKQ209"/>
      <c r="NKR209"/>
      <c r="NKS209"/>
      <c r="NKT209"/>
      <c r="NKU209"/>
      <c r="NKV209"/>
      <c r="NKW209"/>
      <c r="NKX209"/>
      <c r="NKY209"/>
      <c r="NKZ209"/>
      <c r="NLA209"/>
      <c r="NLB209"/>
      <c r="NLC209"/>
      <c r="NLD209"/>
      <c r="NLE209"/>
      <c r="NLF209"/>
      <c r="NLG209"/>
      <c r="NLH209"/>
      <c r="NLI209"/>
      <c r="NLJ209"/>
      <c r="NLK209"/>
      <c r="NLL209"/>
      <c r="NLM209"/>
      <c r="NLN209"/>
      <c r="NLO209"/>
      <c r="NLP209"/>
      <c r="NLQ209"/>
      <c r="NLR209"/>
      <c r="NLS209"/>
      <c r="NLT209"/>
      <c r="NLU209"/>
      <c r="NLV209"/>
      <c r="NLW209"/>
      <c r="NLX209"/>
      <c r="NLY209"/>
      <c r="NLZ209"/>
      <c r="NMA209"/>
      <c r="NMB209"/>
      <c r="NMC209"/>
      <c r="NMD209"/>
      <c r="NME209"/>
      <c r="NMF209"/>
      <c r="NMG209"/>
      <c r="NMH209"/>
      <c r="NMI209"/>
      <c r="NMJ209"/>
      <c r="NMK209"/>
      <c r="NML209"/>
      <c r="NMM209"/>
      <c r="NMN209"/>
      <c r="NMO209"/>
      <c r="NMP209"/>
      <c r="NMQ209"/>
      <c r="NMR209"/>
      <c r="NMS209"/>
      <c r="NMT209"/>
      <c r="NMU209"/>
      <c r="NMV209"/>
      <c r="NMW209"/>
      <c r="NMX209"/>
      <c r="NMY209"/>
      <c r="NMZ209"/>
      <c r="NNA209"/>
      <c r="NNB209"/>
      <c r="NNC209"/>
      <c r="NND209"/>
      <c r="NNE209"/>
      <c r="NNF209"/>
      <c r="NNG209"/>
      <c r="NNH209"/>
      <c r="NNI209"/>
      <c r="NNJ209"/>
      <c r="NNK209"/>
      <c r="NNL209"/>
      <c r="NNM209"/>
      <c r="NNN209"/>
      <c r="NNO209"/>
      <c r="NNP209"/>
      <c r="NNQ209"/>
      <c r="NNR209"/>
      <c r="NNS209"/>
      <c r="NNT209"/>
      <c r="NNU209"/>
      <c r="NNV209"/>
      <c r="NNW209"/>
      <c r="NNX209"/>
      <c r="NNY209"/>
      <c r="NNZ209"/>
      <c r="NOA209"/>
      <c r="NOB209"/>
      <c r="NOC209"/>
      <c r="NOD209"/>
      <c r="NOE209"/>
      <c r="NOF209"/>
      <c r="NOG209"/>
      <c r="NOH209"/>
      <c r="NOI209"/>
      <c r="NOJ209"/>
      <c r="NOK209"/>
      <c r="NOL209"/>
      <c r="NOM209"/>
      <c r="NON209"/>
      <c r="NOO209"/>
      <c r="NOP209"/>
      <c r="NOQ209"/>
      <c r="NOR209"/>
      <c r="NOS209"/>
      <c r="NOT209"/>
      <c r="NOU209"/>
      <c r="NOV209"/>
      <c r="NOW209"/>
      <c r="NOX209"/>
      <c r="NOY209"/>
      <c r="NOZ209"/>
      <c r="NPA209"/>
      <c r="NPB209"/>
      <c r="NPC209"/>
      <c r="NPD209"/>
      <c r="NPE209"/>
      <c r="NPF209"/>
      <c r="NPG209"/>
      <c r="NPH209"/>
      <c r="NPI209"/>
      <c r="NPJ209"/>
      <c r="NPK209"/>
      <c r="NPL209"/>
      <c r="NPM209"/>
      <c r="NPN209"/>
      <c r="NPO209"/>
      <c r="NPP209"/>
      <c r="NPQ209"/>
      <c r="NPR209"/>
      <c r="NPS209"/>
      <c r="NPT209"/>
      <c r="NPU209"/>
      <c r="NPV209"/>
      <c r="NPW209"/>
      <c r="NPX209"/>
      <c r="NPY209"/>
      <c r="NPZ209"/>
      <c r="NQA209"/>
      <c r="NQB209"/>
      <c r="NQC209"/>
      <c r="NQD209"/>
      <c r="NQE209"/>
      <c r="NQF209"/>
      <c r="NQG209"/>
      <c r="NQH209"/>
      <c r="NQI209"/>
      <c r="NQJ209"/>
      <c r="NQK209"/>
      <c r="NQL209"/>
      <c r="NQM209"/>
      <c r="NQN209"/>
      <c r="NQO209"/>
      <c r="NQP209"/>
      <c r="NQQ209"/>
      <c r="NQR209"/>
      <c r="NQS209"/>
      <c r="NQT209"/>
      <c r="NQU209"/>
      <c r="NQV209"/>
      <c r="NQW209"/>
      <c r="NQX209"/>
      <c r="NQY209"/>
      <c r="NQZ209"/>
      <c r="NRA209"/>
      <c r="NRB209"/>
      <c r="NRC209"/>
      <c r="NRD209"/>
      <c r="NRE209"/>
      <c r="NRF209"/>
      <c r="NRG209"/>
      <c r="NRH209"/>
      <c r="NRI209"/>
      <c r="NRJ209"/>
      <c r="NRK209"/>
      <c r="NRL209"/>
      <c r="NRM209"/>
      <c r="NRN209"/>
      <c r="NRO209"/>
      <c r="NRP209"/>
      <c r="NRQ209"/>
      <c r="NRR209"/>
      <c r="NRS209"/>
      <c r="NRT209"/>
      <c r="NRU209"/>
      <c r="NRV209"/>
      <c r="NRW209"/>
      <c r="NRX209"/>
      <c r="NRY209"/>
      <c r="NRZ209"/>
      <c r="NSA209"/>
      <c r="NSB209"/>
      <c r="NSC209"/>
      <c r="NSD209"/>
      <c r="NSE209"/>
      <c r="NSF209"/>
      <c r="NSG209"/>
      <c r="NSH209"/>
      <c r="NSI209"/>
      <c r="NSJ209"/>
      <c r="NSK209"/>
      <c r="NSL209"/>
      <c r="NSM209"/>
      <c r="NSN209"/>
      <c r="NSO209"/>
      <c r="NSP209"/>
      <c r="NSQ209"/>
      <c r="NSR209"/>
      <c r="NSS209"/>
      <c r="NST209"/>
      <c r="NSU209"/>
      <c r="NSV209"/>
      <c r="NSW209"/>
      <c r="NSX209"/>
      <c r="NSY209"/>
      <c r="NSZ209"/>
      <c r="NTA209"/>
      <c r="NTB209"/>
      <c r="NTC209"/>
      <c r="NTD209"/>
      <c r="NTE209"/>
      <c r="NTF209"/>
      <c r="NTG209"/>
      <c r="NTH209"/>
      <c r="NTI209"/>
      <c r="NTJ209"/>
      <c r="NTK209"/>
      <c r="NTL209"/>
      <c r="NTM209"/>
      <c r="NTN209"/>
      <c r="NTO209"/>
      <c r="NTP209"/>
      <c r="NTQ209"/>
      <c r="NTR209"/>
      <c r="NTS209"/>
      <c r="NTT209"/>
      <c r="NTU209"/>
      <c r="NTV209"/>
      <c r="NTW209"/>
      <c r="NTX209"/>
      <c r="NTY209"/>
      <c r="NTZ209"/>
      <c r="NUA209"/>
      <c r="NUB209"/>
      <c r="NUC209"/>
      <c r="NUD209"/>
      <c r="NUE209"/>
      <c r="NUF209"/>
      <c r="NUG209"/>
      <c r="NUH209"/>
      <c r="NUI209"/>
      <c r="NUJ209"/>
      <c r="NUK209"/>
      <c r="NUL209"/>
      <c r="NUM209"/>
      <c r="NUN209"/>
      <c r="NUO209"/>
      <c r="NUP209"/>
      <c r="NUQ209"/>
      <c r="NUR209"/>
      <c r="NUS209"/>
      <c r="NUT209"/>
      <c r="NUU209"/>
      <c r="NUV209"/>
      <c r="NUW209"/>
      <c r="NUX209"/>
      <c r="NUY209"/>
      <c r="NUZ209"/>
      <c r="NVA209"/>
      <c r="NVB209"/>
      <c r="NVC209"/>
      <c r="NVD209"/>
      <c r="NVE209"/>
      <c r="NVF209"/>
      <c r="NVG209"/>
      <c r="NVH209"/>
      <c r="NVI209"/>
      <c r="NVJ209"/>
      <c r="NVK209"/>
      <c r="NVL209"/>
      <c r="NVM209"/>
      <c r="NVN209"/>
      <c r="NVO209"/>
      <c r="NVP209"/>
      <c r="NVQ209"/>
      <c r="NVR209"/>
      <c r="NVS209"/>
      <c r="NVT209"/>
      <c r="NVU209"/>
      <c r="NVV209"/>
      <c r="NVW209"/>
      <c r="NVX209"/>
      <c r="NVY209"/>
      <c r="NVZ209"/>
      <c r="NWA209"/>
      <c r="NWB209"/>
      <c r="NWC209"/>
      <c r="NWD209"/>
      <c r="NWE209"/>
      <c r="NWF209"/>
      <c r="NWG209"/>
      <c r="NWH209"/>
      <c r="NWI209"/>
      <c r="NWJ209"/>
      <c r="NWK209"/>
      <c r="NWL209"/>
      <c r="NWM209"/>
      <c r="NWN209"/>
      <c r="NWO209"/>
      <c r="NWP209"/>
      <c r="NWQ209"/>
      <c r="NWR209"/>
      <c r="NWS209"/>
      <c r="NWT209"/>
      <c r="NWU209"/>
      <c r="NWV209"/>
      <c r="NWW209"/>
      <c r="NWX209"/>
      <c r="NWY209"/>
      <c r="NWZ209"/>
      <c r="NXA209"/>
      <c r="NXB209"/>
      <c r="NXC209"/>
      <c r="NXD209"/>
      <c r="NXE209"/>
      <c r="NXF209"/>
      <c r="NXG209"/>
      <c r="NXH209"/>
      <c r="NXI209"/>
      <c r="NXJ209"/>
      <c r="NXK209"/>
      <c r="NXL209"/>
      <c r="NXM209"/>
      <c r="NXN209"/>
      <c r="NXO209"/>
      <c r="NXP209"/>
      <c r="NXQ209"/>
      <c r="NXR209"/>
      <c r="NXS209"/>
      <c r="NXT209"/>
      <c r="NXU209"/>
      <c r="NXV209"/>
      <c r="NXW209"/>
      <c r="NXX209"/>
      <c r="NXY209"/>
      <c r="NXZ209"/>
      <c r="NYA209"/>
      <c r="NYB209"/>
      <c r="NYC209"/>
      <c r="NYD209"/>
      <c r="NYE209"/>
      <c r="NYF209"/>
      <c r="NYG209"/>
      <c r="NYH209"/>
      <c r="NYI209"/>
      <c r="NYJ209"/>
      <c r="NYK209"/>
      <c r="NYL209"/>
      <c r="NYM209"/>
      <c r="NYN209"/>
      <c r="NYO209"/>
      <c r="NYP209"/>
      <c r="NYQ209"/>
      <c r="NYR209"/>
      <c r="NYS209"/>
      <c r="NYT209"/>
      <c r="NYU209"/>
      <c r="NYV209"/>
      <c r="NYW209"/>
      <c r="NYX209"/>
      <c r="NYY209"/>
      <c r="NYZ209"/>
      <c r="NZA209"/>
      <c r="NZB209"/>
      <c r="NZC209"/>
      <c r="NZD209"/>
      <c r="NZE209"/>
      <c r="NZF209"/>
      <c r="NZG209"/>
      <c r="NZH209"/>
      <c r="NZI209"/>
      <c r="NZJ209"/>
      <c r="NZK209"/>
      <c r="NZL209"/>
      <c r="NZM209"/>
      <c r="NZN209"/>
      <c r="NZO209"/>
      <c r="NZP209"/>
      <c r="NZQ209"/>
      <c r="NZR209"/>
      <c r="NZS209"/>
      <c r="NZT209"/>
      <c r="NZU209"/>
      <c r="NZV209"/>
      <c r="NZW209"/>
      <c r="NZX209"/>
      <c r="NZY209"/>
      <c r="NZZ209"/>
      <c r="OAA209"/>
      <c r="OAB209"/>
      <c r="OAC209"/>
      <c r="OAD209"/>
      <c r="OAE209"/>
      <c r="OAF209"/>
      <c r="OAG209"/>
      <c r="OAH209"/>
      <c r="OAI209"/>
      <c r="OAJ209"/>
      <c r="OAK209"/>
      <c r="OAL209"/>
      <c r="OAM209"/>
      <c r="OAN209"/>
      <c r="OAO209"/>
      <c r="OAP209"/>
      <c r="OAQ209"/>
      <c r="OAR209"/>
      <c r="OAS209"/>
      <c r="OAT209"/>
      <c r="OAU209"/>
      <c r="OAV209"/>
      <c r="OAW209"/>
      <c r="OAX209"/>
      <c r="OAY209"/>
      <c r="OAZ209"/>
      <c r="OBA209"/>
      <c r="OBB209"/>
      <c r="OBC209"/>
      <c r="OBD209"/>
      <c r="OBE209"/>
      <c r="OBF209"/>
      <c r="OBG209"/>
      <c r="OBH209"/>
      <c r="OBI209"/>
      <c r="OBJ209"/>
      <c r="OBK209"/>
      <c r="OBL209"/>
      <c r="OBM209"/>
      <c r="OBN209"/>
      <c r="OBO209"/>
      <c r="OBP209"/>
      <c r="OBQ209"/>
      <c r="OBR209"/>
      <c r="OBS209"/>
      <c r="OBT209"/>
      <c r="OBU209"/>
      <c r="OBV209"/>
      <c r="OBW209"/>
      <c r="OBX209"/>
      <c r="OBY209"/>
      <c r="OBZ209"/>
      <c r="OCA209"/>
      <c r="OCB209"/>
      <c r="OCC209"/>
      <c r="OCD209"/>
      <c r="OCE209"/>
      <c r="OCF209"/>
      <c r="OCG209"/>
      <c r="OCH209"/>
      <c r="OCI209"/>
      <c r="OCJ209"/>
      <c r="OCK209"/>
      <c r="OCL209"/>
      <c r="OCM209"/>
      <c r="OCN209"/>
      <c r="OCO209"/>
      <c r="OCP209"/>
      <c r="OCQ209"/>
      <c r="OCR209"/>
      <c r="OCS209"/>
      <c r="OCT209"/>
      <c r="OCU209"/>
      <c r="OCV209"/>
      <c r="OCW209"/>
      <c r="OCX209"/>
      <c r="OCY209"/>
      <c r="OCZ209"/>
      <c r="ODA209"/>
      <c r="ODB209"/>
      <c r="ODC209"/>
      <c r="ODD209"/>
      <c r="ODE209"/>
      <c r="ODF209"/>
      <c r="ODG209"/>
      <c r="ODH209"/>
      <c r="ODI209"/>
      <c r="ODJ209"/>
      <c r="ODK209"/>
      <c r="ODL209"/>
      <c r="ODM209"/>
      <c r="ODN209"/>
      <c r="ODO209"/>
      <c r="ODP209"/>
      <c r="ODQ209"/>
      <c r="ODR209"/>
      <c r="ODS209"/>
      <c r="ODT209"/>
      <c r="ODU209"/>
      <c r="ODV209"/>
      <c r="ODW209"/>
      <c r="ODX209"/>
      <c r="ODY209"/>
      <c r="ODZ209"/>
      <c r="OEA209"/>
      <c r="OEB209"/>
      <c r="OEC209"/>
      <c r="OED209"/>
      <c r="OEE209"/>
      <c r="OEF209"/>
      <c r="OEG209"/>
      <c r="OEH209"/>
      <c r="OEI209"/>
      <c r="OEJ209"/>
      <c r="OEK209"/>
      <c r="OEL209"/>
      <c r="OEM209"/>
      <c r="OEN209"/>
      <c r="OEO209"/>
      <c r="OEP209"/>
      <c r="OEQ209"/>
      <c r="OER209"/>
      <c r="OES209"/>
      <c r="OET209"/>
      <c r="OEU209"/>
      <c r="OEV209"/>
      <c r="OEW209"/>
      <c r="OEX209"/>
      <c r="OEY209"/>
      <c r="OEZ209"/>
      <c r="OFA209"/>
      <c r="OFB209"/>
      <c r="OFC209"/>
      <c r="OFD209"/>
      <c r="OFE209"/>
      <c r="OFF209"/>
      <c r="OFG209"/>
      <c r="OFH209"/>
      <c r="OFI209"/>
      <c r="OFJ209"/>
      <c r="OFK209"/>
      <c r="OFL209"/>
      <c r="OFM209"/>
      <c r="OFN209"/>
      <c r="OFO209"/>
      <c r="OFP209"/>
      <c r="OFQ209"/>
      <c r="OFR209"/>
      <c r="OFS209"/>
      <c r="OFT209"/>
      <c r="OFU209"/>
      <c r="OFV209"/>
      <c r="OFW209"/>
      <c r="OFX209"/>
      <c r="OFY209"/>
      <c r="OFZ209"/>
      <c r="OGA209"/>
      <c r="OGB209"/>
      <c r="OGC209"/>
      <c r="OGD209"/>
      <c r="OGE209"/>
      <c r="OGF209"/>
      <c r="OGG209"/>
      <c r="OGH209"/>
      <c r="OGI209"/>
      <c r="OGJ209"/>
      <c r="OGK209"/>
      <c r="OGL209"/>
      <c r="OGM209"/>
      <c r="OGN209"/>
      <c r="OGO209"/>
      <c r="OGP209"/>
      <c r="OGQ209"/>
      <c r="OGR209"/>
      <c r="OGS209"/>
      <c r="OGT209"/>
      <c r="OGU209"/>
      <c r="OGV209"/>
      <c r="OGW209"/>
      <c r="OGX209"/>
      <c r="OGY209"/>
      <c r="OGZ209"/>
      <c r="OHA209"/>
      <c r="OHB209"/>
      <c r="OHC209"/>
      <c r="OHD209"/>
      <c r="OHE209"/>
      <c r="OHF209"/>
      <c r="OHG209"/>
      <c r="OHH209"/>
      <c r="OHI209"/>
      <c r="OHJ209"/>
      <c r="OHK209"/>
      <c r="OHL209"/>
      <c r="OHM209"/>
      <c r="OHN209"/>
      <c r="OHO209"/>
      <c r="OHP209"/>
      <c r="OHQ209"/>
      <c r="OHR209"/>
      <c r="OHS209"/>
      <c r="OHT209"/>
      <c r="OHU209"/>
      <c r="OHV209"/>
      <c r="OHW209"/>
      <c r="OHX209"/>
      <c r="OHY209"/>
      <c r="OHZ209"/>
      <c r="OIA209"/>
      <c r="OIB209"/>
      <c r="OIC209"/>
      <c r="OID209"/>
      <c r="OIE209"/>
      <c r="OIF209"/>
      <c r="OIG209"/>
      <c r="OIH209"/>
      <c r="OII209"/>
      <c r="OIJ209"/>
      <c r="OIK209"/>
      <c r="OIL209"/>
      <c r="OIM209"/>
      <c r="OIN209"/>
      <c r="OIO209"/>
      <c r="OIP209"/>
      <c r="OIQ209"/>
      <c r="OIR209"/>
      <c r="OIS209"/>
      <c r="OIT209"/>
      <c r="OIU209"/>
      <c r="OIV209"/>
      <c r="OIW209"/>
      <c r="OIX209"/>
      <c r="OIY209"/>
      <c r="OIZ209"/>
      <c r="OJA209"/>
      <c r="OJB209"/>
      <c r="OJC209"/>
      <c r="OJD209"/>
      <c r="OJE209"/>
      <c r="OJF209"/>
      <c r="OJG209"/>
      <c r="OJH209"/>
      <c r="OJI209"/>
      <c r="OJJ209"/>
      <c r="OJK209"/>
      <c r="OJL209"/>
      <c r="OJM209"/>
      <c r="OJN209"/>
      <c r="OJO209"/>
      <c r="OJP209"/>
      <c r="OJQ209"/>
      <c r="OJR209"/>
      <c r="OJS209"/>
      <c r="OJT209"/>
      <c r="OJU209"/>
      <c r="OJV209"/>
      <c r="OJW209"/>
      <c r="OJX209"/>
      <c r="OJY209"/>
      <c r="OJZ209"/>
      <c r="OKA209"/>
      <c r="OKB209"/>
      <c r="OKC209"/>
      <c r="OKD209"/>
      <c r="OKE209"/>
      <c r="OKF209"/>
      <c r="OKG209"/>
      <c r="OKH209"/>
      <c r="OKI209"/>
      <c r="OKJ209"/>
      <c r="OKK209"/>
      <c r="OKL209"/>
      <c r="OKM209"/>
      <c r="OKN209"/>
      <c r="OKO209"/>
      <c r="OKP209"/>
      <c r="OKQ209"/>
      <c r="OKR209"/>
      <c r="OKS209"/>
      <c r="OKT209"/>
      <c r="OKU209"/>
      <c r="OKV209"/>
      <c r="OKW209"/>
      <c r="OKX209"/>
      <c r="OKY209"/>
      <c r="OKZ209"/>
      <c r="OLA209"/>
      <c r="OLB209"/>
      <c r="OLC209"/>
      <c r="OLD209"/>
      <c r="OLE209"/>
      <c r="OLF209"/>
      <c r="OLG209"/>
      <c r="OLH209"/>
      <c r="OLI209"/>
      <c r="OLJ209"/>
      <c r="OLK209"/>
      <c r="OLL209"/>
      <c r="OLM209"/>
      <c r="OLN209"/>
      <c r="OLO209"/>
      <c r="OLP209"/>
      <c r="OLQ209"/>
      <c r="OLR209"/>
      <c r="OLS209"/>
      <c r="OLT209"/>
      <c r="OLU209"/>
      <c r="OLV209"/>
      <c r="OLW209"/>
      <c r="OLX209"/>
      <c r="OLY209"/>
      <c r="OLZ209"/>
      <c r="OMA209"/>
      <c r="OMB209"/>
      <c r="OMC209"/>
      <c r="OMD209"/>
      <c r="OME209"/>
      <c r="OMF209"/>
      <c r="OMG209"/>
      <c r="OMH209"/>
      <c r="OMI209"/>
      <c r="OMJ209"/>
      <c r="OMK209"/>
      <c r="OML209"/>
      <c r="OMM209"/>
      <c r="OMN209"/>
      <c r="OMO209"/>
      <c r="OMP209"/>
      <c r="OMQ209"/>
      <c r="OMR209"/>
      <c r="OMS209"/>
      <c r="OMT209"/>
      <c r="OMU209"/>
      <c r="OMV209"/>
      <c r="OMW209"/>
      <c r="OMX209"/>
      <c r="OMY209"/>
      <c r="OMZ209"/>
      <c r="ONA209"/>
      <c r="ONB209"/>
      <c r="ONC209"/>
      <c r="OND209"/>
      <c r="ONE209"/>
      <c r="ONF209"/>
      <c r="ONG209"/>
      <c r="ONH209"/>
      <c r="ONI209"/>
      <c r="ONJ209"/>
      <c r="ONK209"/>
      <c r="ONL209"/>
      <c r="ONM209"/>
      <c r="ONN209"/>
      <c r="ONO209"/>
      <c r="ONP209"/>
      <c r="ONQ209"/>
      <c r="ONR209"/>
      <c r="ONS209"/>
      <c r="ONT209"/>
      <c r="ONU209"/>
      <c r="ONV209"/>
      <c r="ONW209"/>
      <c r="ONX209"/>
      <c r="ONY209"/>
      <c r="ONZ209"/>
      <c r="OOA209"/>
      <c r="OOB209"/>
      <c r="OOC209"/>
      <c r="OOD209"/>
      <c r="OOE209"/>
      <c r="OOF209"/>
      <c r="OOG209"/>
      <c r="OOH209"/>
      <c r="OOI209"/>
      <c r="OOJ209"/>
      <c r="OOK209"/>
      <c r="OOL209"/>
      <c r="OOM209"/>
      <c r="OON209"/>
      <c r="OOO209"/>
      <c r="OOP209"/>
      <c r="OOQ209"/>
      <c r="OOR209"/>
      <c r="OOS209"/>
      <c r="OOT209"/>
      <c r="OOU209"/>
      <c r="OOV209"/>
      <c r="OOW209"/>
      <c r="OOX209"/>
      <c r="OOY209"/>
      <c r="OOZ209"/>
      <c r="OPA209"/>
      <c r="OPB209"/>
      <c r="OPC209"/>
      <c r="OPD209"/>
      <c r="OPE209"/>
      <c r="OPF209"/>
      <c r="OPG209"/>
      <c r="OPH209"/>
      <c r="OPI209"/>
      <c r="OPJ209"/>
      <c r="OPK209"/>
      <c r="OPL209"/>
      <c r="OPM209"/>
      <c r="OPN209"/>
      <c r="OPO209"/>
      <c r="OPP209"/>
      <c r="OPQ209"/>
      <c r="OPR209"/>
      <c r="OPS209"/>
      <c r="OPT209"/>
      <c r="OPU209"/>
      <c r="OPV209"/>
      <c r="OPW209"/>
      <c r="OPX209"/>
      <c r="OPY209"/>
      <c r="OPZ209"/>
      <c r="OQA209"/>
      <c r="OQB209"/>
      <c r="OQC209"/>
      <c r="OQD209"/>
      <c r="OQE209"/>
      <c r="OQF209"/>
      <c r="OQG209"/>
      <c r="OQH209"/>
      <c r="OQI209"/>
      <c r="OQJ209"/>
      <c r="OQK209"/>
      <c r="OQL209"/>
      <c r="OQM209"/>
      <c r="OQN209"/>
      <c r="OQO209"/>
      <c r="OQP209"/>
      <c r="OQQ209"/>
      <c r="OQR209"/>
      <c r="OQS209"/>
      <c r="OQT209"/>
      <c r="OQU209"/>
      <c r="OQV209"/>
      <c r="OQW209"/>
      <c r="OQX209"/>
      <c r="OQY209"/>
      <c r="OQZ209"/>
      <c r="ORA209"/>
      <c r="ORB209"/>
      <c r="ORC209"/>
      <c r="ORD209"/>
      <c r="ORE209"/>
      <c r="ORF209"/>
      <c r="ORG209"/>
      <c r="ORH209"/>
      <c r="ORI209"/>
      <c r="ORJ209"/>
      <c r="ORK209"/>
      <c r="ORL209"/>
      <c r="ORM209"/>
      <c r="ORN209"/>
      <c r="ORO209"/>
      <c r="ORP209"/>
      <c r="ORQ209"/>
      <c r="ORR209"/>
      <c r="ORS209"/>
      <c r="ORT209"/>
      <c r="ORU209"/>
      <c r="ORV209"/>
      <c r="ORW209"/>
      <c r="ORX209"/>
      <c r="ORY209"/>
      <c r="ORZ209"/>
      <c r="OSA209"/>
      <c r="OSB209"/>
      <c r="OSC209"/>
      <c r="OSD209"/>
      <c r="OSE209"/>
      <c r="OSF209"/>
      <c r="OSG209"/>
      <c r="OSH209"/>
      <c r="OSI209"/>
      <c r="OSJ209"/>
      <c r="OSK209"/>
      <c r="OSL209"/>
      <c r="OSM209"/>
      <c r="OSN209"/>
      <c r="OSO209"/>
      <c r="OSP209"/>
      <c r="OSQ209"/>
      <c r="OSR209"/>
      <c r="OSS209"/>
      <c r="OST209"/>
      <c r="OSU209"/>
      <c r="OSV209"/>
      <c r="OSW209"/>
      <c r="OSX209"/>
      <c r="OSY209"/>
      <c r="OSZ209"/>
      <c r="OTA209"/>
      <c r="OTB209"/>
      <c r="OTC209"/>
      <c r="OTD209"/>
      <c r="OTE209"/>
      <c r="OTF209"/>
      <c r="OTG209"/>
      <c r="OTH209"/>
      <c r="OTI209"/>
      <c r="OTJ209"/>
      <c r="OTK209"/>
      <c r="OTL209"/>
      <c r="OTM209"/>
      <c r="OTN209"/>
      <c r="OTO209"/>
      <c r="OTP209"/>
      <c r="OTQ209"/>
      <c r="OTR209"/>
      <c r="OTS209"/>
      <c r="OTT209"/>
      <c r="OTU209"/>
      <c r="OTV209"/>
      <c r="OTW209"/>
      <c r="OTX209"/>
      <c r="OTY209"/>
      <c r="OTZ209"/>
      <c r="OUA209"/>
      <c r="OUB209"/>
      <c r="OUC209"/>
      <c r="OUD209"/>
      <c r="OUE209"/>
      <c r="OUF209"/>
      <c r="OUG209"/>
      <c r="OUH209"/>
      <c r="OUI209"/>
      <c r="OUJ209"/>
      <c r="OUK209"/>
      <c r="OUL209"/>
      <c r="OUM209"/>
      <c r="OUN209"/>
      <c r="OUO209"/>
      <c r="OUP209"/>
      <c r="OUQ209"/>
      <c r="OUR209"/>
      <c r="OUS209"/>
      <c r="OUT209"/>
      <c r="OUU209"/>
      <c r="OUV209"/>
      <c r="OUW209"/>
      <c r="OUX209"/>
      <c r="OUY209"/>
      <c r="OUZ209"/>
      <c r="OVA209"/>
      <c r="OVB209"/>
      <c r="OVC209"/>
      <c r="OVD209"/>
      <c r="OVE209"/>
      <c r="OVF209"/>
      <c r="OVG209"/>
      <c r="OVH209"/>
      <c r="OVI209"/>
      <c r="OVJ209"/>
      <c r="OVK209"/>
      <c r="OVL209"/>
      <c r="OVM209"/>
      <c r="OVN209"/>
      <c r="OVO209"/>
      <c r="OVP209"/>
      <c r="OVQ209"/>
      <c r="OVR209"/>
      <c r="OVS209"/>
      <c r="OVT209"/>
      <c r="OVU209"/>
      <c r="OVV209"/>
      <c r="OVW209"/>
      <c r="OVX209"/>
      <c r="OVY209"/>
      <c r="OVZ209"/>
      <c r="OWA209"/>
      <c r="OWB209"/>
      <c r="OWC209"/>
      <c r="OWD209"/>
      <c r="OWE209"/>
      <c r="OWF209"/>
      <c r="OWG209"/>
      <c r="OWH209"/>
      <c r="OWI209"/>
      <c r="OWJ209"/>
      <c r="OWK209"/>
      <c r="OWL209"/>
      <c r="OWM209"/>
      <c r="OWN209"/>
      <c r="OWO209"/>
      <c r="OWP209"/>
      <c r="OWQ209"/>
      <c r="OWR209"/>
      <c r="OWS209"/>
      <c r="OWT209"/>
      <c r="OWU209"/>
      <c r="OWV209"/>
      <c r="OWW209"/>
      <c r="OWX209"/>
      <c r="OWY209"/>
      <c r="OWZ209"/>
      <c r="OXA209"/>
      <c r="OXB209"/>
      <c r="OXC209"/>
      <c r="OXD209"/>
      <c r="OXE209"/>
      <c r="OXF209"/>
      <c r="OXG209"/>
      <c r="OXH209"/>
      <c r="OXI209"/>
      <c r="OXJ209"/>
      <c r="OXK209"/>
      <c r="OXL209"/>
      <c r="OXM209"/>
      <c r="OXN209"/>
      <c r="OXO209"/>
      <c r="OXP209"/>
      <c r="OXQ209"/>
      <c r="OXR209"/>
      <c r="OXS209"/>
      <c r="OXT209"/>
      <c r="OXU209"/>
      <c r="OXV209"/>
      <c r="OXW209"/>
      <c r="OXX209"/>
      <c r="OXY209"/>
      <c r="OXZ209"/>
      <c r="OYA209"/>
      <c r="OYB209"/>
      <c r="OYC209"/>
      <c r="OYD209"/>
      <c r="OYE209"/>
      <c r="OYF209"/>
      <c r="OYG209"/>
      <c r="OYH209"/>
      <c r="OYI209"/>
      <c r="OYJ209"/>
      <c r="OYK209"/>
      <c r="OYL209"/>
      <c r="OYM209"/>
      <c r="OYN209"/>
      <c r="OYO209"/>
      <c r="OYP209"/>
      <c r="OYQ209"/>
      <c r="OYR209"/>
      <c r="OYS209"/>
      <c r="OYT209"/>
      <c r="OYU209"/>
      <c r="OYV209"/>
      <c r="OYW209"/>
      <c r="OYX209"/>
      <c r="OYY209"/>
      <c r="OYZ209"/>
      <c r="OZA209"/>
      <c r="OZB209"/>
      <c r="OZC209"/>
      <c r="OZD209"/>
      <c r="OZE209"/>
      <c r="OZF209"/>
      <c r="OZG209"/>
      <c r="OZH209"/>
      <c r="OZI209"/>
      <c r="OZJ209"/>
      <c r="OZK209"/>
      <c r="OZL209"/>
      <c r="OZM209"/>
      <c r="OZN209"/>
      <c r="OZO209"/>
      <c r="OZP209"/>
      <c r="OZQ209"/>
      <c r="OZR209"/>
      <c r="OZS209"/>
      <c r="OZT209"/>
      <c r="OZU209"/>
      <c r="OZV209"/>
      <c r="OZW209"/>
      <c r="OZX209"/>
      <c r="OZY209"/>
      <c r="OZZ209"/>
      <c r="PAA209"/>
      <c r="PAB209"/>
      <c r="PAC209"/>
      <c r="PAD209"/>
      <c r="PAE209"/>
      <c r="PAF209"/>
      <c r="PAG209"/>
      <c r="PAH209"/>
      <c r="PAI209"/>
      <c r="PAJ209"/>
      <c r="PAK209"/>
      <c r="PAL209"/>
      <c r="PAM209"/>
      <c r="PAN209"/>
      <c r="PAO209"/>
      <c r="PAP209"/>
      <c r="PAQ209"/>
      <c r="PAR209"/>
      <c r="PAS209"/>
      <c r="PAT209"/>
      <c r="PAU209"/>
      <c r="PAV209"/>
      <c r="PAW209"/>
      <c r="PAX209"/>
      <c r="PAY209"/>
      <c r="PAZ209"/>
      <c r="PBA209"/>
      <c r="PBB209"/>
      <c r="PBC209"/>
      <c r="PBD209"/>
      <c r="PBE209"/>
      <c r="PBF209"/>
      <c r="PBG209"/>
      <c r="PBH209"/>
      <c r="PBI209"/>
      <c r="PBJ209"/>
      <c r="PBK209"/>
      <c r="PBL209"/>
      <c r="PBM209"/>
      <c r="PBN209"/>
      <c r="PBO209"/>
      <c r="PBP209"/>
      <c r="PBQ209"/>
      <c r="PBR209"/>
      <c r="PBS209"/>
      <c r="PBT209"/>
      <c r="PBU209"/>
      <c r="PBV209"/>
      <c r="PBW209"/>
      <c r="PBX209"/>
      <c r="PBY209"/>
      <c r="PBZ209"/>
      <c r="PCA209"/>
      <c r="PCB209"/>
      <c r="PCC209"/>
      <c r="PCD209"/>
      <c r="PCE209"/>
      <c r="PCF209"/>
      <c r="PCG209"/>
      <c r="PCH209"/>
      <c r="PCI209"/>
      <c r="PCJ209"/>
      <c r="PCK209"/>
      <c r="PCL209"/>
      <c r="PCM209"/>
      <c r="PCN209"/>
      <c r="PCO209"/>
      <c r="PCP209"/>
      <c r="PCQ209"/>
      <c r="PCR209"/>
      <c r="PCS209"/>
      <c r="PCT209"/>
      <c r="PCU209"/>
      <c r="PCV209"/>
      <c r="PCW209"/>
      <c r="PCX209"/>
      <c r="PCY209"/>
      <c r="PCZ209"/>
      <c r="PDA209"/>
      <c r="PDB209"/>
      <c r="PDC209"/>
      <c r="PDD209"/>
      <c r="PDE209"/>
      <c r="PDF209"/>
      <c r="PDG209"/>
      <c r="PDH209"/>
      <c r="PDI209"/>
      <c r="PDJ209"/>
      <c r="PDK209"/>
      <c r="PDL209"/>
      <c r="PDM209"/>
      <c r="PDN209"/>
      <c r="PDO209"/>
      <c r="PDP209"/>
      <c r="PDQ209"/>
      <c r="PDR209"/>
      <c r="PDS209"/>
      <c r="PDT209"/>
      <c r="PDU209"/>
      <c r="PDV209"/>
      <c r="PDW209"/>
      <c r="PDX209"/>
      <c r="PDY209"/>
      <c r="PDZ209"/>
      <c r="PEA209"/>
      <c r="PEB209"/>
      <c r="PEC209"/>
      <c r="PED209"/>
      <c r="PEE209"/>
      <c r="PEF209"/>
      <c r="PEG209"/>
      <c r="PEH209"/>
      <c r="PEI209"/>
      <c r="PEJ209"/>
      <c r="PEK209"/>
      <c r="PEL209"/>
      <c r="PEM209"/>
      <c r="PEN209"/>
      <c r="PEO209"/>
      <c r="PEP209"/>
      <c r="PEQ209"/>
      <c r="PER209"/>
      <c r="PES209"/>
      <c r="PET209"/>
      <c r="PEU209"/>
      <c r="PEV209"/>
      <c r="PEW209"/>
      <c r="PEX209"/>
      <c r="PEY209"/>
      <c r="PEZ209"/>
      <c r="PFA209"/>
      <c r="PFB209"/>
      <c r="PFC209"/>
      <c r="PFD209"/>
      <c r="PFE209"/>
      <c r="PFF209"/>
      <c r="PFG209"/>
      <c r="PFH209"/>
      <c r="PFI209"/>
      <c r="PFJ209"/>
      <c r="PFK209"/>
      <c r="PFL209"/>
      <c r="PFM209"/>
      <c r="PFN209"/>
      <c r="PFO209"/>
      <c r="PFP209"/>
      <c r="PFQ209"/>
      <c r="PFR209"/>
      <c r="PFS209"/>
      <c r="PFT209"/>
      <c r="PFU209"/>
      <c r="PFV209"/>
      <c r="PFW209"/>
      <c r="PFX209"/>
      <c r="PFY209"/>
      <c r="PFZ209"/>
      <c r="PGA209"/>
      <c r="PGB209"/>
      <c r="PGC209"/>
      <c r="PGD209"/>
      <c r="PGE209"/>
      <c r="PGF209"/>
      <c r="PGG209"/>
      <c r="PGH209"/>
      <c r="PGI209"/>
      <c r="PGJ209"/>
      <c r="PGK209"/>
      <c r="PGL209"/>
      <c r="PGM209"/>
      <c r="PGN209"/>
      <c r="PGO209"/>
      <c r="PGP209"/>
      <c r="PGQ209"/>
      <c r="PGR209"/>
      <c r="PGS209"/>
      <c r="PGT209"/>
      <c r="PGU209"/>
      <c r="PGV209"/>
      <c r="PGW209"/>
      <c r="PGX209"/>
      <c r="PGY209"/>
      <c r="PGZ209"/>
      <c r="PHA209"/>
      <c r="PHB209"/>
      <c r="PHC209"/>
      <c r="PHD209"/>
      <c r="PHE209"/>
      <c r="PHF209"/>
      <c r="PHG209"/>
      <c r="PHH209"/>
      <c r="PHI209"/>
      <c r="PHJ209"/>
      <c r="PHK209"/>
      <c r="PHL209"/>
      <c r="PHM209"/>
      <c r="PHN209"/>
      <c r="PHO209"/>
      <c r="PHP209"/>
      <c r="PHQ209"/>
      <c r="PHR209"/>
      <c r="PHS209"/>
      <c r="PHT209"/>
      <c r="PHU209"/>
      <c r="PHV209"/>
      <c r="PHW209"/>
      <c r="PHX209"/>
      <c r="PHY209"/>
      <c r="PHZ209"/>
      <c r="PIA209"/>
      <c r="PIB209"/>
      <c r="PIC209"/>
      <c r="PID209"/>
      <c r="PIE209"/>
      <c r="PIF209"/>
      <c r="PIG209"/>
      <c r="PIH209"/>
      <c r="PII209"/>
      <c r="PIJ209"/>
      <c r="PIK209"/>
      <c r="PIL209"/>
      <c r="PIM209"/>
      <c r="PIN209"/>
      <c r="PIO209"/>
      <c r="PIP209"/>
      <c r="PIQ209"/>
      <c r="PIR209"/>
      <c r="PIS209"/>
      <c r="PIT209"/>
      <c r="PIU209"/>
      <c r="PIV209"/>
      <c r="PIW209"/>
      <c r="PIX209"/>
      <c r="PIY209"/>
      <c r="PIZ209"/>
      <c r="PJA209"/>
      <c r="PJB209"/>
      <c r="PJC209"/>
      <c r="PJD209"/>
      <c r="PJE209"/>
      <c r="PJF209"/>
      <c r="PJG209"/>
      <c r="PJH209"/>
      <c r="PJI209"/>
      <c r="PJJ209"/>
      <c r="PJK209"/>
      <c r="PJL209"/>
      <c r="PJM209"/>
      <c r="PJN209"/>
      <c r="PJO209"/>
      <c r="PJP209"/>
      <c r="PJQ209"/>
      <c r="PJR209"/>
      <c r="PJS209"/>
      <c r="PJT209"/>
      <c r="PJU209"/>
      <c r="PJV209"/>
      <c r="PJW209"/>
      <c r="PJX209"/>
      <c r="PJY209"/>
      <c r="PJZ209"/>
      <c r="PKA209"/>
      <c r="PKB209"/>
      <c r="PKC209"/>
      <c r="PKD209"/>
      <c r="PKE209"/>
      <c r="PKF209"/>
      <c r="PKG209"/>
      <c r="PKH209"/>
      <c r="PKI209"/>
      <c r="PKJ209"/>
      <c r="PKK209"/>
      <c r="PKL209"/>
      <c r="PKM209"/>
      <c r="PKN209"/>
      <c r="PKO209"/>
      <c r="PKP209"/>
      <c r="PKQ209"/>
      <c r="PKR209"/>
      <c r="PKS209"/>
      <c r="PKT209"/>
      <c r="PKU209"/>
      <c r="PKV209"/>
      <c r="PKW209"/>
      <c r="PKX209"/>
      <c r="PKY209"/>
      <c r="PKZ209"/>
      <c r="PLA209"/>
      <c r="PLB209"/>
      <c r="PLC209"/>
      <c r="PLD209"/>
      <c r="PLE209"/>
      <c r="PLF209"/>
      <c r="PLG209"/>
      <c r="PLH209"/>
      <c r="PLI209"/>
      <c r="PLJ209"/>
      <c r="PLK209"/>
      <c r="PLL209"/>
      <c r="PLM209"/>
      <c r="PLN209"/>
      <c r="PLO209"/>
      <c r="PLP209"/>
      <c r="PLQ209"/>
      <c r="PLR209"/>
      <c r="PLS209"/>
      <c r="PLT209"/>
      <c r="PLU209"/>
      <c r="PLV209"/>
      <c r="PLW209"/>
      <c r="PLX209"/>
      <c r="PLY209"/>
      <c r="PLZ209"/>
      <c r="PMA209"/>
      <c r="PMB209"/>
      <c r="PMC209"/>
      <c r="PMD209"/>
      <c r="PME209"/>
      <c r="PMF209"/>
      <c r="PMG209"/>
      <c r="PMH209"/>
      <c r="PMI209"/>
      <c r="PMJ209"/>
      <c r="PMK209"/>
      <c r="PML209"/>
      <c r="PMM209"/>
      <c r="PMN209"/>
      <c r="PMO209"/>
      <c r="PMP209"/>
      <c r="PMQ209"/>
      <c r="PMR209"/>
      <c r="PMS209"/>
      <c r="PMT209"/>
      <c r="PMU209"/>
      <c r="PMV209"/>
      <c r="PMW209"/>
      <c r="PMX209"/>
      <c r="PMY209"/>
      <c r="PMZ209"/>
      <c r="PNA209"/>
      <c r="PNB209"/>
      <c r="PNC209"/>
      <c r="PND209"/>
      <c r="PNE209"/>
      <c r="PNF209"/>
      <c r="PNG209"/>
      <c r="PNH209"/>
      <c r="PNI209"/>
      <c r="PNJ209"/>
      <c r="PNK209"/>
      <c r="PNL209"/>
      <c r="PNM209"/>
      <c r="PNN209"/>
      <c r="PNO209"/>
      <c r="PNP209"/>
      <c r="PNQ209"/>
      <c r="PNR209"/>
      <c r="PNS209"/>
      <c r="PNT209"/>
      <c r="PNU209"/>
      <c r="PNV209"/>
      <c r="PNW209"/>
      <c r="PNX209"/>
      <c r="PNY209"/>
      <c r="PNZ209"/>
      <c r="POA209"/>
      <c r="POB209"/>
      <c r="POC209"/>
      <c r="POD209"/>
      <c r="POE209"/>
      <c r="POF209"/>
      <c r="POG209"/>
      <c r="POH209"/>
      <c r="POI209"/>
      <c r="POJ209"/>
      <c r="POK209"/>
      <c r="POL209"/>
      <c r="POM209"/>
      <c r="PON209"/>
      <c r="POO209"/>
      <c r="POP209"/>
      <c r="POQ209"/>
      <c r="POR209"/>
      <c r="POS209"/>
      <c r="POT209"/>
      <c r="POU209"/>
      <c r="POV209"/>
      <c r="POW209"/>
      <c r="POX209"/>
      <c r="POY209"/>
      <c r="POZ209"/>
      <c r="PPA209"/>
      <c r="PPB209"/>
      <c r="PPC209"/>
      <c r="PPD209"/>
      <c r="PPE209"/>
      <c r="PPF209"/>
      <c r="PPG209"/>
      <c r="PPH209"/>
      <c r="PPI209"/>
      <c r="PPJ209"/>
      <c r="PPK209"/>
      <c r="PPL209"/>
      <c r="PPM209"/>
      <c r="PPN209"/>
      <c r="PPO209"/>
      <c r="PPP209"/>
      <c r="PPQ209"/>
      <c r="PPR209"/>
      <c r="PPS209"/>
      <c r="PPT209"/>
      <c r="PPU209"/>
      <c r="PPV209"/>
      <c r="PPW209"/>
      <c r="PPX209"/>
      <c r="PPY209"/>
      <c r="PPZ209"/>
      <c r="PQA209"/>
      <c r="PQB209"/>
      <c r="PQC209"/>
      <c r="PQD209"/>
      <c r="PQE209"/>
      <c r="PQF209"/>
      <c r="PQG209"/>
      <c r="PQH209"/>
      <c r="PQI209"/>
      <c r="PQJ209"/>
      <c r="PQK209"/>
      <c r="PQL209"/>
      <c r="PQM209"/>
      <c r="PQN209"/>
      <c r="PQO209"/>
      <c r="PQP209"/>
      <c r="PQQ209"/>
      <c r="PQR209"/>
      <c r="PQS209"/>
      <c r="PQT209"/>
      <c r="PQU209"/>
      <c r="PQV209"/>
      <c r="PQW209"/>
      <c r="PQX209"/>
      <c r="PQY209"/>
      <c r="PQZ209"/>
      <c r="PRA209"/>
      <c r="PRB209"/>
      <c r="PRC209"/>
      <c r="PRD209"/>
      <c r="PRE209"/>
      <c r="PRF209"/>
      <c r="PRG209"/>
      <c r="PRH209"/>
      <c r="PRI209"/>
      <c r="PRJ209"/>
      <c r="PRK209"/>
      <c r="PRL209"/>
      <c r="PRM209"/>
      <c r="PRN209"/>
      <c r="PRO209"/>
      <c r="PRP209"/>
      <c r="PRQ209"/>
      <c r="PRR209"/>
      <c r="PRS209"/>
      <c r="PRT209"/>
      <c r="PRU209"/>
      <c r="PRV209"/>
      <c r="PRW209"/>
      <c r="PRX209"/>
      <c r="PRY209"/>
      <c r="PRZ209"/>
      <c r="PSA209"/>
      <c r="PSB209"/>
      <c r="PSC209"/>
      <c r="PSD209"/>
      <c r="PSE209"/>
      <c r="PSF209"/>
      <c r="PSG209"/>
      <c r="PSH209"/>
      <c r="PSI209"/>
      <c r="PSJ209"/>
      <c r="PSK209"/>
      <c r="PSL209"/>
      <c r="PSM209"/>
      <c r="PSN209"/>
      <c r="PSO209"/>
      <c r="PSP209"/>
      <c r="PSQ209"/>
      <c r="PSR209"/>
      <c r="PSS209"/>
      <c r="PST209"/>
      <c r="PSU209"/>
      <c r="PSV209"/>
      <c r="PSW209"/>
      <c r="PSX209"/>
      <c r="PSY209"/>
      <c r="PSZ209"/>
      <c r="PTA209"/>
      <c r="PTB209"/>
      <c r="PTC209"/>
      <c r="PTD209"/>
      <c r="PTE209"/>
      <c r="PTF209"/>
      <c r="PTG209"/>
      <c r="PTH209"/>
      <c r="PTI209"/>
      <c r="PTJ209"/>
      <c r="PTK209"/>
      <c r="PTL209"/>
      <c r="PTM209"/>
      <c r="PTN209"/>
      <c r="PTO209"/>
      <c r="PTP209"/>
      <c r="PTQ209"/>
      <c r="PTR209"/>
      <c r="PTS209"/>
      <c r="PTT209"/>
      <c r="PTU209"/>
      <c r="PTV209"/>
      <c r="PTW209"/>
      <c r="PTX209"/>
      <c r="PTY209"/>
      <c r="PTZ209"/>
      <c r="PUA209"/>
      <c r="PUB209"/>
      <c r="PUC209"/>
      <c r="PUD209"/>
      <c r="PUE209"/>
      <c r="PUF209"/>
      <c r="PUG209"/>
      <c r="PUH209"/>
      <c r="PUI209"/>
      <c r="PUJ209"/>
      <c r="PUK209"/>
      <c r="PUL209"/>
      <c r="PUM209"/>
      <c r="PUN209"/>
      <c r="PUO209"/>
      <c r="PUP209"/>
      <c r="PUQ209"/>
      <c r="PUR209"/>
      <c r="PUS209"/>
      <c r="PUT209"/>
      <c r="PUU209"/>
      <c r="PUV209"/>
      <c r="PUW209"/>
      <c r="PUX209"/>
      <c r="PUY209"/>
      <c r="PUZ209"/>
      <c r="PVA209"/>
      <c r="PVB209"/>
      <c r="PVC209"/>
      <c r="PVD209"/>
      <c r="PVE209"/>
      <c r="PVF209"/>
      <c r="PVG209"/>
      <c r="PVH209"/>
      <c r="PVI209"/>
      <c r="PVJ209"/>
      <c r="PVK209"/>
      <c r="PVL209"/>
      <c r="PVM209"/>
      <c r="PVN209"/>
      <c r="PVO209"/>
      <c r="PVP209"/>
      <c r="PVQ209"/>
      <c r="PVR209"/>
      <c r="PVS209"/>
      <c r="PVT209"/>
      <c r="PVU209"/>
      <c r="PVV209"/>
      <c r="PVW209"/>
      <c r="PVX209"/>
      <c r="PVY209"/>
      <c r="PVZ209"/>
      <c r="PWA209"/>
      <c r="PWB209"/>
      <c r="PWC209"/>
      <c r="PWD209"/>
      <c r="PWE209"/>
      <c r="PWF209"/>
      <c r="PWG209"/>
      <c r="PWH209"/>
      <c r="PWI209"/>
      <c r="PWJ209"/>
      <c r="PWK209"/>
      <c r="PWL209"/>
      <c r="PWM209"/>
      <c r="PWN209"/>
      <c r="PWO209"/>
      <c r="PWP209"/>
      <c r="PWQ209"/>
      <c r="PWR209"/>
      <c r="PWS209"/>
      <c r="PWT209"/>
      <c r="PWU209"/>
      <c r="PWV209"/>
      <c r="PWW209"/>
      <c r="PWX209"/>
      <c r="PWY209"/>
      <c r="PWZ209"/>
      <c r="PXA209"/>
      <c r="PXB209"/>
      <c r="PXC209"/>
      <c r="PXD209"/>
      <c r="PXE209"/>
      <c r="PXF209"/>
      <c r="PXG209"/>
      <c r="PXH209"/>
      <c r="PXI209"/>
      <c r="PXJ209"/>
      <c r="PXK209"/>
      <c r="PXL209"/>
      <c r="PXM209"/>
      <c r="PXN209"/>
      <c r="PXO209"/>
      <c r="PXP209"/>
      <c r="PXQ209"/>
      <c r="PXR209"/>
      <c r="PXS209"/>
      <c r="PXT209"/>
      <c r="PXU209"/>
      <c r="PXV209"/>
      <c r="PXW209"/>
      <c r="PXX209"/>
      <c r="PXY209"/>
      <c r="PXZ209"/>
      <c r="PYA209"/>
      <c r="PYB209"/>
      <c r="PYC209"/>
      <c r="PYD209"/>
      <c r="PYE209"/>
      <c r="PYF209"/>
      <c r="PYG209"/>
      <c r="PYH209"/>
      <c r="PYI209"/>
      <c r="PYJ209"/>
      <c r="PYK209"/>
      <c r="PYL209"/>
      <c r="PYM209"/>
      <c r="PYN209"/>
      <c r="PYO209"/>
      <c r="PYP209"/>
      <c r="PYQ209"/>
      <c r="PYR209"/>
      <c r="PYS209"/>
      <c r="PYT209"/>
      <c r="PYU209"/>
      <c r="PYV209"/>
      <c r="PYW209"/>
      <c r="PYX209"/>
      <c r="PYY209"/>
      <c r="PYZ209"/>
      <c r="PZA209"/>
      <c r="PZB209"/>
      <c r="PZC209"/>
      <c r="PZD209"/>
      <c r="PZE209"/>
      <c r="PZF209"/>
      <c r="PZG209"/>
      <c r="PZH209"/>
      <c r="PZI209"/>
      <c r="PZJ209"/>
      <c r="PZK209"/>
      <c r="PZL209"/>
      <c r="PZM209"/>
      <c r="PZN209"/>
      <c r="PZO209"/>
      <c r="PZP209"/>
      <c r="PZQ209"/>
      <c r="PZR209"/>
      <c r="PZS209"/>
      <c r="PZT209"/>
      <c r="PZU209"/>
      <c r="PZV209"/>
      <c r="PZW209"/>
      <c r="PZX209"/>
      <c r="PZY209"/>
      <c r="PZZ209"/>
      <c r="QAA209"/>
      <c r="QAB209"/>
      <c r="QAC209"/>
      <c r="QAD209"/>
      <c r="QAE209"/>
      <c r="QAF209"/>
      <c r="QAG209"/>
      <c r="QAH209"/>
      <c r="QAI209"/>
      <c r="QAJ209"/>
      <c r="QAK209"/>
      <c r="QAL209"/>
      <c r="QAM209"/>
      <c r="QAN209"/>
      <c r="QAO209"/>
      <c r="QAP209"/>
      <c r="QAQ209"/>
      <c r="QAR209"/>
      <c r="QAS209"/>
      <c r="QAT209"/>
      <c r="QAU209"/>
      <c r="QAV209"/>
      <c r="QAW209"/>
      <c r="QAX209"/>
      <c r="QAY209"/>
      <c r="QAZ209"/>
      <c r="QBA209"/>
      <c r="QBB209"/>
      <c r="QBC209"/>
      <c r="QBD209"/>
      <c r="QBE209"/>
      <c r="QBF209"/>
      <c r="QBG209"/>
      <c r="QBH209"/>
      <c r="QBI209"/>
      <c r="QBJ209"/>
      <c r="QBK209"/>
      <c r="QBL209"/>
      <c r="QBM209"/>
      <c r="QBN209"/>
      <c r="QBO209"/>
      <c r="QBP209"/>
      <c r="QBQ209"/>
      <c r="QBR209"/>
      <c r="QBS209"/>
      <c r="QBT209"/>
      <c r="QBU209"/>
      <c r="QBV209"/>
      <c r="QBW209"/>
      <c r="QBX209"/>
      <c r="QBY209"/>
      <c r="QBZ209"/>
      <c r="QCA209"/>
      <c r="QCB209"/>
      <c r="QCC209"/>
      <c r="QCD209"/>
      <c r="QCE209"/>
      <c r="QCF209"/>
      <c r="QCG209"/>
      <c r="QCH209"/>
      <c r="QCI209"/>
      <c r="QCJ209"/>
      <c r="QCK209"/>
      <c r="QCL209"/>
      <c r="QCM209"/>
      <c r="QCN209"/>
      <c r="QCO209"/>
      <c r="QCP209"/>
      <c r="QCQ209"/>
      <c r="QCR209"/>
      <c r="QCS209"/>
      <c r="QCT209"/>
      <c r="QCU209"/>
      <c r="QCV209"/>
      <c r="QCW209"/>
      <c r="QCX209"/>
      <c r="QCY209"/>
      <c r="QCZ209"/>
      <c r="QDA209"/>
      <c r="QDB209"/>
      <c r="QDC209"/>
      <c r="QDD209"/>
      <c r="QDE209"/>
      <c r="QDF209"/>
      <c r="QDG209"/>
      <c r="QDH209"/>
      <c r="QDI209"/>
      <c r="QDJ209"/>
      <c r="QDK209"/>
      <c r="QDL209"/>
      <c r="QDM209"/>
      <c r="QDN209"/>
      <c r="QDO209"/>
      <c r="QDP209"/>
      <c r="QDQ209"/>
      <c r="QDR209"/>
      <c r="QDS209"/>
      <c r="QDT209"/>
      <c r="QDU209"/>
      <c r="QDV209"/>
      <c r="QDW209"/>
      <c r="QDX209"/>
      <c r="QDY209"/>
      <c r="QDZ209"/>
      <c r="QEA209"/>
      <c r="QEB209"/>
      <c r="QEC209"/>
      <c r="QED209"/>
      <c r="QEE209"/>
      <c r="QEF209"/>
      <c r="QEG209"/>
      <c r="QEH209"/>
      <c r="QEI209"/>
      <c r="QEJ209"/>
      <c r="QEK209"/>
      <c r="QEL209"/>
      <c r="QEM209"/>
      <c r="QEN209"/>
      <c r="QEO209"/>
      <c r="QEP209"/>
      <c r="QEQ209"/>
      <c r="QER209"/>
      <c r="QES209"/>
      <c r="QET209"/>
      <c r="QEU209"/>
      <c r="QEV209"/>
      <c r="QEW209"/>
      <c r="QEX209"/>
      <c r="QEY209"/>
      <c r="QEZ209"/>
      <c r="QFA209"/>
      <c r="QFB209"/>
      <c r="QFC209"/>
      <c r="QFD209"/>
      <c r="QFE209"/>
      <c r="QFF209"/>
      <c r="QFG209"/>
      <c r="QFH209"/>
      <c r="QFI209"/>
      <c r="QFJ209"/>
      <c r="QFK209"/>
      <c r="QFL209"/>
      <c r="QFM209"/>
      <c r="QFN209"/>
      <c r="QFO209"/>
      <c r="QFP209"/>
      <c r="QFQ209"/>
      <c r="QFR209"/>
      <c r="QFS209"/>
      <c r="QFT209"/>
      <c r="QFU209"/>
      <c r="QFV209"/>
      <c r="QFW209"/>
      <c r="QFX209"/>
      <c r="QFY209"/>
      <c r="QFZ209"/>
      <c r="QGA209"/>
      <c r="QGB209"/>
      <c r="QGC209"/>
      <c r="QGD209"/>
      <c r="QGE209"/>
      <c r="QGF209"/>
      <c r="QGG209"/>
      <c r="QGH209"/>
      <c r="QGI209"/>
      <c r="QGJ209"/>
      <c r="QGK209"/>
      <c r="QGL209"/>
      <c r="QGM209"/>
      <c r="QGN209"/>
      <c r="QGO209"/>
      <c r="QGP209"/>
      <c r="QGQ209"/>
      <c r="QGR209"/>
      <c r="QGS209"/>
      <c r="QGT209"/>
      <c r="QGU209"/>
      <c r="QGV209"/>
      <c r="QGW209"/>
      <c r="QGX209"/>
      <c r="QGY209"/>
      <c r="QGZ209"/>
      <c r="QHA209"/>
      <c r="QHB209"/>
      <c r="QHC209"/>
      <c r="QHD209"/>
      <c r="QHE209"/>
      <c r="QHF209"/>
      <c r="QHG209"/>
      <c r="QHH209"/>
      <c r="QHI209"/>
      <c r="QHJ209"/>
      <c r="QHK209"/>
      <c r="QHL209"/>
      <c r="QHM209"/>
      <c r="QHN209"/>
      <c r="QHO209"/>
      <c r="QHP209"/>
      <c r="QHQ209"/>
      <c r="QHR209"/>
      <c r="QHS209"/>
      <c r="QHT209"/>
      <c r="QHU209"/>
      <c r="QHV209"/>
      <c r="QHW209"/>
      <c r="QHX209"/>
      <c r="QHY209"/>
      <c r="QHZ209"/>
      <c r="QIA209"/>
      <c r="QIB209"/>
      <c r="QIC209"/>
      <c r="QID209"/>
      <c r="QIE209"/>
      <c r="QIF209"/>
      <c r="QIG209"/>
      <c r="QIH209"/>
      <c r="QII209"/>
      <c r="QIJ209"/>
      <c r="QIK209"/>
      <c r="QIL209"/>
      <c r="QIM209"/>
      <c r="QIN209"/>
      <c r="QIO209"/>
      <c r="QIP209"/>
      <c r="QIQ209"/>
      <c r="QIR209"/>
      <c r="QIS209"/>
      <c r="QIT209"/>
      <c r="QIU209"/>
      <c r="QIV209"/>
      <c r="QIW209"/>
      <c r="QIX209"/>
      <c r="QIY209"/>
      <c r="QIZ209"/>
      <c r="QJA209"/>
      <c r="QJB209"/>
      <c r="QJC209"/>
      <c r="QJD209"/>
      <c r="QJE209"/>
      <c r="QJF209"/>
      <c r="QJG209"/>
      <c r="QJH209"/>
      <c r="QJI209"/>
      <c r="QJJ209"/>
      <c r="QJK209"/>
      <c r="QJL209"/>
      <c r="QJM209"/>
      <c r="QJN209"/>
      <c r="QJO209"/>
      <c r="QJP209"/>
      <c r="QJQ209"/>
      <c r="QJR209"/>
      <c r="QJS209"/>
      <c r="QJT209"/>
      <c r="QJU209"/>
      <c r="QJV209"/>
      <c r="QJW209"/>
      <c r="QJX209"/>
      <c r="QJY209"/>
      <c r="QJZ209"/>
      <c r="QKA209"/>
      <c r="QKB209"/>
      <c r="QKC209"/>
      <c r="QKD209"/>
      <c r="QKE209"/>
      <c r="QKF209"/>
      <c r="QKG209"/>
      <c r="QKH209"/>
      <c r="QKI209"/>
      <c r="QKJ209"/>
      <c r="QKK209"/>
      <c r="QKL209"/>
      <c r="QKM209"/>
      <c r="QKN209"/>
      <c r="QKO209"/>
      <c r="QKP209"/>
      <c r="QKQ209"/>
      <c r="QKR209"/>
      <c r="QKS209"/>
      <c r="QKT209"/>
      <c r="QKU209"/>
      <c r="QKV209"/>
      <c r="QKW209"/>
      <c r="QKX209"/>
      <c r="QKY209"/>
      <c r="QKZ209"/>
      <c r="QLA209"/>
      <c r="QLB209"/>
      <c r="QLC209"/>
      <c r="QLD209"/>
      <c r="QLE209"/>
      <c r="QLF209"/>
      <c r="QLG209"/>
      <c r="QLH209"/>
      <c r="QLI209"/>
      <c r="QLJ209"/>
      <c r="QLK209"/>
      <c r="QLL209"/>
      <c r="QLM209"/>
      <c r="QLN209"/>
      <c r="QLO209"/>
      <c r="QLP209"/>
      <c r="QLQ209"/>
      <c r="QLR209"/>
      <c r="QLS209"/>
      <c r="QLT209"/>
      <c r="QLU209"/>
      <c r="QLV209"/>
      <c r="QLW209"/>
      <c r="QLX209"/>
      <c r="QLY209"/>
      <c r="QLZ209"/>
      <c r="QMA209"/>
      <c r="QMB209"/>
      <c r="QMC209"/>
      <c r="QMD209"/>
      <c r="QME209"/>
      <c r="QMF209"/>
      <c r="QMG209"/>
      <c r="QMH209"/>
      <c r="QMI209"/>
      <c r="QMJ209"/>
      <c r="QMK209"/>
      <c r="QML209"/>
      <c r="QMM209"/>
      <c r="QMN209"/>
      <c r="QMO209"/>
      <c r="QMP209"/>
      <c r="QMQ209"/>
      <c r="QMR209"/>
      <c r="QMS209"/>
      <c r="QMT209"/>
      <c r="QMU209"/>
      <c r="QMV209"/>
      <c r="QMW209"/>
      <c r="QMX209"/>
      <c r="QMY209"/>
      <c r="QMZ209"/>
      <c r="QNA209"/>
      <c r="QNB209"/>
      <c r="QNC209"/>
      <c r="QND209"/>
      <c r="QNE209"/>
      <c r="QNF209"/>
      <c r="QNG209"/>
      <c r="QNH209"/>
      <c r="QNI209"/>
      <c r="QNJ209"/>
      <c r="QNK209"/>
      <c r="QNL209"/>
      <c r="QNM209"/>
      <c r="QNN209"/>
      <c r="QNO209"/>
      <c r="QNP209"/>
      <c r="QNQ209"/>
      <c r="QNR209"/>
      <c r="QNS209"/>
      <c r="QNT209"/>
      <c r="QNU209"/>
      <c r="QNV209"/>
      <c r="QNW209"/>
      <c r="QNX209"/>
      <c r="QNY209"/>
      <c r="QNZ209"/>
      <c r="QOA209"/>
      <c r="QOB209"/>
      <c r="QOC209"/>
      <c r="QOD209"/>
      <c r="QOE209"/>
      <c r="QOF209"/>
      <c r="QOG209"/>
      <c r="QOH209"/>
      <c r="QOI209"/>
      <c r="QOJ209"/>
      <c r="QOK209"/>
      <c r="QOL209"/>
      <c r="QOM209"/>
      <c r="QON209"/>
      <c r="QOO209"/>
      <c r="QOP209"/>
      <c r="QOQ209"/>
      <c r="QOR209"/>
      <c r="QOS209"/>
      <c r="QOT209"/>
      <c r="QOU209"/>
      <c r="QOV209"/>
      <c r="QOW209"/>
      <c r="QOX209"/>
      <c r="QOY209"/>
      <c r="QOZ209"/>
      <c r="QPA209"/>
      <c r="QPB209"/>
      <c r="QPC209"/>
      <c r="QPD209"/>
      <c r="QPE209"/>
      <c r="QPF209"/>
      <c r="QPG209"/>
      <c r="QPH209"/>
      <c r="QPI209"/>
      <c r="QPJ209"/>
      <c r="QPK209"/>
      <c r="QPL209"/>
      <c r="QPM209"/>
      <c r="QPN209"/>
      <c r="QPO209"/>
      <c r="QPP209"/>
      <c r="QPQ209"/>
      <c r="QPR209"/>
      <c r="QPS209"/>
      <c r="QPT209"/>
      <c r="QPU209"/>
      <c r="QPV209"/>
      <c r="QPW209"/>
      <c r="QPX209"/>
      <c r="QPY209"/>
      <c r="QPZ209"/>
      <c r="QQA209"/>
      <c r="QQB209"/>
      <c r="QQC209"/>
      <c r="QQD209"/>
      <c r="QQE209"/>
      <c r="QQF209"/>
      <c r="QQG209"/>
      <c r="QQH209"/>
      <c r="QQI209"/>
      <c r="QQJ209"/>
      <c r="QQK209"/>
      <c r="QQL209"/>
      <c r="QQM209"/>
      <c r="QQN209"/>
      <c r="QQO209"/>
      <c r="QQP209"/>
      <c r="QQQ209"/>
      <c r="QQR209"/>
      <c r="QQS209"/>
      <c r="QQT209"/>
      <c r="QQU209"/>
      <c r="QQV209"/>
      <c r="QQW209"/>
      <c r="QQX209"/>
      <c r="QQY209"/>
      <c r="QQZ209"/>
      <c r="QRA209"/>
      <c r="QRB209"/>
      <c r="QRC209"/>
      <c r="QRD209"/>
      <c r="QRE209"/>
      <c r="QRF209"/>
      <c r="QRG209"/>
      <c r="QRH209"/>
      <c r="QRI209"/>
      <c r="QRJ209"/>
      <c r="QRK209"/>
      <c r="QRL209"/>
      <c r="QRM209"/>
      <c r="QRN209"/>
      <c r="QRO209"/>
      <c r="QRP209"/>
      <c r="QRQ209"/>
      <c r="QRR209"/>
      <c r="QRS209"/>
      <c r="QRT209"/>
      <c r="QRU209"/>
      <c r="QRV209"/>
      <c r="QRW209"/>
      <c r="QRX209"/>
      <c r="QRY209"/>
      <c r="QRZ209"/>
      <c r="QSA209"/>
      <c r="QSB209"/>
      <c r="QSC209"/>
      <c r="QSD209"/>
      <c r="QSE209"/>
      <c r="QSF209"/>
      <c r="QSG209"/>
      <c r="QSH209"/>
      <c r="QSI209"/>
      <c r="QSJ209"/>
      <c r="QSK209"/>
      <c r="QSL209"/>
      <c r="QSM209"/>
      <c r="QSN209"/>
      <c r="QSO209"/>
      <c r="QSP209"/>
      <c r="QSQ209"/>
      <c r="QSR209"/>
      <c r="QSS209"/>
      <c r="QST209"/>
      <c r="QSU209"/>
      <c r="QSV209"/>
      <c r="QSW209"/>
      <c r="QSX209"/>
      <c r="QSY209"/>
      <c r="QSZ209"/>
      <c r="QTA209"/>
      <c r="QTB209"/>
      <c r="QTC209"/>
      <c r="QTD209"/>
      <c r="QTE209"/>
      <c r="QTF209"/>
      <c r="QTG209"/>
      <c r="QTH209"/>
      <c r="QTI209"/>
      <c r="QTJ209"/>
      <c r="QTK209"/>
      <c r="QTL209"/>
      <c r="QTM209"/>
      <c r="QTN209"/>
      <c r="QTO209"/>
      <c r="QTP209"/>
      <c r="QTQ209"/>
      <c r="QTR209"/>
      <c r="QTS209"/>
      <c r="QTT209"/>
      <c r="QTU209"/>
      <c r="QTV209"/>
      <c r="QTW209"/>
      <c r="QTX209"/>
      <c r="QTY209"/>
      <c r="QTZ209"/>
      <c r="QUA209"/>
      <c r="QUB209"/>
      <c r="QUC209"/>
      <c r="QUD209"/>
      <c r="QUE209"/>
      <c r="QUF209"/>
      <c r="QUG209"/>
      <c r="QUH209"/>
      <c r="QUI209"/>
      <c r="QUJ209"/>
      <c r="QUK209"/>
      <c r="QUL209"/>
      <c r="QUM209"/>
      <c r="QUN209"/>
      <c r="QUO209"/>
      <c r="QUP209"/>
      <c r="QUQ209"/>
      <c r="QUR209"/>
      <c r="QUS209"/>
      <c r="QUT209"/>
      <c r="QUU209"/>
      <c r="QUV209"/>
      <c r="QUW209"/>
      <c r="QUX209"/>
      <c r="QUY209"/>
      <c r="QUZ209"/>
      <c r="QVA209"/>
      <c r="QVB209"/>
      <c r="QVC209"/>
      <c r="QVD209"/>
      <c r="QVE209"/>
      <c r="QVF209"/>
      <c r="QVG209"/>
      <c r="QVH209"/>
      <c r="QVI209"/>
      <c r="QVJ209"/>
      <c r="QVK209"/>
      <c r="QVL209"/>
      <c r="QVM209"/>
      <c r="QVN209"/>
      <c r="QVO209"/>
      <c r="QVP209"/>
      <c r="QVQ209"/>
      <c r="QVR209"/>
      <c r="QVS209"/>
      <c r="QVT209"/>
      <c r="QVU209"/>
      <c r="QVV209"/>
      <c r="QVW209"/>
      <c r="QVX209"/>
      <c r="QVY209"/>
      <c r="QVZ209"/>
      <c r="QWA209"/>
      <c r="QWB209"/>
      <c r="QWC209"/>
      <c r="QWD209"/>
      <c r="QWE209"/>
      <c r="QWF209"/>
      <c r="QWG209"/>
      <c r="QWH209"/>
      <c r="QWI209"/>
      <c r="QWJ209"/>
      <c r="QWK209"/>
      <c r="QWL209"/>
      <c r="QWM209"/>
      <c r="QWN209"/>
      <c r="QWO209"/>
      <c r="QWP209"/>
      <c r="QWQ209"/>
      <c r="QWR209"/>
      <c r="QWS209"/>
      <c r="QWT209"/>
      <c r="QWU209"/>
      <c r="QWV209"/>
      <c r="QWW209"/>
      <c r="QWX209"/>
      <c r="QWY209"/>
      <c r="QWZ209"/>
      <c r="QXA209"/>
      <c r="QXB209"/>
      <c r="QXC209"/>
      <c r="QXD209"/>
      <c r="QXE209"/>
      <c r="QXF209"/>
      <c r="QXG209"/>
      <c r="QXH209"/>
      <c r="QXI209"/>
      <c r="QXJ209"/>
      <c r="QXK209"/>
      <c r="QXL209"/>
      <c r="QXM209"/>
      <c r="QXN209"/>
      <c r="QXO209"/>
      <c r="QXP209"/>
      <c r="QXQ209"/>
      <c r="QXR209"/>
      <c r="QXS209"/>
      <c r="QXT209"/>
      <c r="QXU209"/>
      <c r="QXV209"/>
      <c r="QXW209"/>
      <c r="QXX209"/>
      <c r="QXY209"/>
      <c r="QXZ209"/>
      <c r="QYA209"/>
      <c r="QYB209"/>
      <c r="QYC209"/>
      <c r="QYD209"/>
      <c r="QYE209"/>
      <c r="QYF209"/>
      <c r="QYG209"/>
      <c r="QYH209"/>
      <c r="QYI209"/>
      <c r="QYJ209"/>
      <c r="QYK209"/>
      <c r="QYL209"/>
      <c r="QYM209"/>
      <c r="QYN209"/>
      <c r="QYO209"/>
      <c r="QYP209"/>
      <c r="QYQ209"/>
      <c r="QYR209"/>
      <c r="QYS209"/>
      <c r="QYT209"/>
      <c r="QYU209"/>
      <c r="QYV209"/>
      <c r="QYW209"/>
      <c r="QYX209"/>
      <c r="QYY209"/>
      <c r="QYZ209"/>
      <c r="QZA209"/>
      <c r="QZB209"/>
      <c r="QZC209"/>
      <c r="QZD209"/>
      <c r="QZE209"/>
      <c r="QZF209"/>
      <c r="QZG209"/>
      <c r="QZH209"/>
      <c r="QZI209"/>
      <c r="QZJ209"/>
      <c r="QZK209"/>
      <c r="QZL209"/>
      <c r="QZM209"/>
      <c r="QZN209"/>
      <c r="QZO209"/>
      <c r="QZP209"/>
      <c r="QZQ209"/>
      <c r="QZR209"/>
      <c r="QZS209"/>
      <c r="QZT209"/>
      <c r="QZU209"/>
      <c r="QZV209"/>
      <c r="QZW209"/>
      <c r="QZX209"/>
      <c r="QZY209"/>
      <c r="QZZ209"/>
      <c r="RAA209"/>
      <c r="RAB209"/>
      <c r="RAC209"/>
      <c r="RAD209"/>
      <c r="RAE209"/>
      <c r="RAF209"/>
      <c r="RAG209"/>
      <c r="RAH209"/>
      <c r="RAI209"/>
      <c r="RAJ209"/>
      <c r="RAK209"/>
      <c r="RAL209"/>
      <c r="RAM209"/>
      <c r="RAN209"/>
      <c r="RAO209"/>
      <c r="RAP209"/>
      <c r="RAQ209"/>
      <c r="RAR209"/>
      <c r="RAS209"/>
      <c r="RAT209"/>
      <c r="RAU209"/>
      <c r="RAV209"/>
      <c r="RAW209"/>
      <c r="RAX209"/>
      <c r="RAY209"/>
      <c r="RAZ209"/>
      <c r="RBA209"/>
      <c r="RBB209"/>
      <c r="RBC209"/>
      <c r="RBD209"/>
      <c r="RBE209"/>
      <c r="RBF209"/>
      <c r="RBG209"/>
      <c r="RBH209"/>
      <c r="RBI209"/>
      <c r="RBJ209"/>
      <c r="RBK209"/>
      <c r="RBL209"/>
      <c r="RBM209"/>
      <c r="RBN209"/>
      <c r="RBO209"/>
      <c r="RBP209"/>
      <c r="RBQ209"/>
      <c r="RBR209"/>
      <c r="RBS209"/>
      <c r="RBT209"/>
      <c r="RBU209"/>
      <c r="RBV209"/>
      <c r="RBW209"/>
      <c r="RBX209"/>
      <c r="RBY209"/>
      <c r="RBZ209"/>
      <c r="RCA209"/>
      <c r="RCB209"/>
      <c r="RCC209"/>
      <c r="RCD209"/>
      <c r="RCE209"/>
      <c r="RCF209"/>
      <c r="RCG209"/>
      <c r="RCH209"/>
      <c r="RCI209"/>
      <c r="RCJ209"/>
      <c r="RCK209"/>
      <c r="RCL209"/>
      <c r="RCM209"/>
      <c r="RCN209"/>
      <c r="RCO209"/>
      <c r="RCP209"/>
      <c r="RCQ209"/>
      <c r="RCR209"/>
      <c r="RCS209"/>
      <c r="RCT209"/>
      <c r="RCU209"/>
      <c r="RCV209"/>
      <c r="RCW209"/>
      <c r="RCX209"/>
      <c r="RCY209"/>
      <c r="RCZ209"/>
      <c r="RDA209"/>
      <c r="RDB209"/>
      <c r="RDC209"/>
      <c r="RDD209"/>
      <c r="RDE209"/>
      <c r="RDF209"/>
      <c r="RDG209"/>
      <c r="RDH209"/>
      <c r="RDI209"/>
      <c r="RDJ209"/>
      <c r="RDK209"/>
      <c r="RDL209"/>
      <c r="RDM209"/>
      <c r="RDN209"/>
      <c r="RDO209"/>
      <c r="RDP209"/>
      <c r="RDQ209"/>
      <c r="RDR209"/>
      <c r="RDS209"/>
      <c r="RDT209"/>
      <c r="RDU209"/>
      <c r="RDV209"/>
      <c r="RDW209"/>
      <c r="RDX209"/>
      <c r="RDY209"/>
      <c r="RDZ209"/>
      <c r="REA209"/>
      <c r="REB209"/>
      <c r="REC209"/>
      <c r="RED209"/>
      <c r="REE209"/>
      <c r="REF209"/>
      <c r="REG209"/>
      <c r="REH209"/>
      <c r="REI209"/>
      <c r="REJ209"/>
      <c r="REK209"/>
      <c r="REL209"/>
      <c r="REM209"/>
      <c r="REN209"/>
      <c r="REO209"/>
      <c r="REP209"/>
      <c r="REQ209"/>
      <c r="RER209"/>
      <c r="RES209"/>
      <c r="RET209"/>
      <c r="REU209"/>
      <c r="REV209"/>
      <c r="REW209"/>
      <c r="REX209"/>
      <c r="REY209"/>
      <c r="REZ209"/>
      <c r="RFA209"/>
      <c r="RFB209"/>
      <c r="RFC209"/>
      <c r="RFD209"/>
      <c r="RFE209"/>
      <c r="RFF209"/>
      <c r="RFG209"/>
      <c r="RFH209"/>
      <c r="RFI209"/>
      <c r="RFJ209"/>
      <c r="RFK209"/>
      <c r="RFL209"/>
      <c r="RFM209"/>
      <c r="RFN209"/>
      <c r="RFO209"/>
      <c r="RFP209"/>
      <c r="RFQ209"/>
      <c r="RFR209"/>
      <c r="RFS209"/>
      <c r="RFT209"/>
      <c r="RFU209"/>
      <c r="RFV209"/>
      <c r="RFW209"/>
      <c r="RFX209"/>
      <c r="RFY209"/>
      <c r="RFZ209"/>
      <c r="RGA209"/>
      <c r="RGB209"/>
      <c r="RGC209"/>
      <c r="RGD209"/>
      <c r="RGE209"/>
      <c r="RGF209"/>
      <c r="RGG209"/>
      <c r="RGH209"/>
      <c r="RGI209"/>
      <c r="RGJ209"/>
      <c r="RGK209"/>
      <c r="RGL209"/>
      <c r="RGM209"/>
      <c r="RGN209"/>
      <c r="RGO209"/>
      <c r="RGP209"/>
      <c r="RGQ209"/>
      <c r="RGR209"/>
      <c r="RGS209"/>
      <c r="RGT209"/>
      <c r="RGU209"/>
      <c r="RGV209"/>
      <c r="RGW209"/>
      <c r="RGX209"/>
      <c r="RGY209"/>
      <c r="RGZ209"/>
      <c r="RHA209"/>
      <c r="RHB209"/>
      <c r="RHC209"/>
      <c r="RHD209"/>
      <c r="RHE209"/>
      <c r="RHF209"/>
      <c r="RHG209"/>
      <c r="RHH209"/>
      <c r="RHI209"/>
      <c r="RHJ209"/>
      <c r="RHK209"/>
      <c r="RHL209"/>
      <c r="RHM209"/>
      <c r="RHN209"/>
      <c r="RHO209"/>
      <c r="RHP209"/>
      <c r="RHQ209"/>
      <c r="RHR209"/>
      <c r="RHS209"/>
      <c r="RHT209"/>
      <c r="RHU209"/>
      <c r="RHV209"/>
      <c r="RHW209"/>
      <c r="RHX209"/>
      <c r="RHY209"/>
      <c r="RHZ209"/>
      <c r="RIA209"/>
      <c r="RIB209"/>
      <c r="RIC209"/>
      <c r="RID209"/>
      <c r="RIE209"/>
      <c r="RIF209"/>
      <c r="RIG209"/>
      <c r="RIH209"/>
      <c r="RII209"/>
      <c r="RIJ209"/>
      <c r="RIK209"/>
      <c r="RIL209"/>
      <c r="RIM209"/>
      <c r="RIN209"/>
      <c r="RIO209"/>
      <c r="RIP209"/>
      <c r="RIQ209"/>
      <c r="RIR209"/>
      <c r="RIS209"/>
      <c r="RIT209"/>
      <c r="RIU209"/>
      <c r="RIV209"/>
      <c r="RIW209"/>
      <c r="RIX209"/>
      <c r="RIY209"/>
      <c r="RIZ209"/>
      <c r="RJA209"/>
      <c r="RJB209"/>
      <c r="RJC209"/>
      <c r="RJD209"/>
      <c r="RJE209"/>
      <c r="RJF209"/>
      <c r="RJG209"/>
      <c r="RJH209"/>
      <c r="RJI209"/>
      <c r="RJJ209"/>
      <c r="RJK209"/>
      <c r="RJL209"/>
      <c r="RJM209"/>
      <c r="RJN209"/>
      <c r="RJO209"/>
      <c r="RJP209"/>
      <c r="RJQ209"/>
      <c r="RJR209"/>
      <c r="RJS209"/>
      <c r="RJT209"/>
      <c r="RJU209"/>
      <c r="RJV209"/>
      <c r="RJW209"/>
      <c r="RJX209"/>
      <c r="RJY209"/>
      <c r="RJZ209"/>
      <c r="RKA209"/>
      <c r="RKB209"/>
      <c r="RKC209"/>
      <c r="RKD209"/>
      <c r="RKE209"/>
      <c r="RKF209"/>
      <c r="RKG209"/>
      <c r="RKH209"/>
      <c r="RKI209"/>
      <c r="RKJ209"/>
      <c r="RKK209"/>
      <c r="RKL209"/>
      <c r="RKM209"/>
      <c r="RKN209"/>
      <c r="RKO209"/>
      <c r="RKP209"/>
      <c r="RKQ209"/>
      <c r="RKR209"/>
      <c r="RKS209"/>
      <c r="RKT209"/>
      <c r="RKU209"/>
      <c r="RKV209"/>
      <c r="RKW209"/>
      <c r="RKX209"/>
      <c r="RKY209"/>
      <c r="RKZ209"/>
      <c r="RLA209"/>
      <c r="RLB209"/>
      <c r="RLC209"/>
      <c r="RLD209"/>
      <c r="RLE209"/>
      <c r="RLF209"/>
      <c r="RLG209"/>
      <c r="RLH209"/>
      <c r="RLI209"/>
      <c r="RLJ209"/>
      <c r="RLK209"/>
      <c r="RLL209"/>
      <c r="RLM209"/>
      <c r="RLN209"/>
      <c r="RLO209"/>
      <c r="RLP209"/>
      <c r="RLQ209"/>
      <c r="RLR209"/>
      <c r="RLS209"/>
      <c r="RLT209"/>
      <c r="RLU209"/>
      <c r="RLV209"/>
      <c r="RLW209"/>
      <c r="RLX209"/>
      <c r="RLY209"/>
      <c r="RLZ209"/>
      <c r="RMA209"/>
      <c r="RMB209"/>
      <c r="RMC209"/>
      <c r="RMD209"/>
      <c r="RME209"/>
      <c r="RMF209"/>
      <c r="RMG209"/>
      <c r="RMH209"/>
      <c r="RMI209"/>
      <c r="RMJ209"/>
      <c r="RMK209"/>
      <c r="RML209"/>
      <c r="RMM209"/>
      <c r="RMN209"/>
      <c r="RMO209"/>
      <c r="RMP209"/>
      <c r="RMQ209"/>
      <c r="RMR209"/>
      <c r="RMS209"/>
      <c r="RMT209"/>
      <c r="RMU209"/>
      <c r="RMV209"/>
      <c r="RMW209"/>
      <c r="RMX209"/>
      <c r="RMY209"/>
      <c r="RMZ209"/>
      <c r="RNA209"/>
      <c r="RNB209"/>
      <c r="RNC209"/>
      <c r="RND209"/>
      <c r="RNE209"/>
      <c r="RNF209"/>
      <c r="RNG209"/>
      <c r="RNH209"/>
      <c r="RNI209"/>
      <c r="RNJ209"/>
      <c r="RNK209"/>
      <c r="RNL209"/>
      <c r="RNM209"/>
      <c r="RNN209"/>
      <c r="RNO209"/>
      <c r="RNP209"/>
      <c r="RNQ209"/>
      <c r="RNR209"/>
      <c r="RNS209"/>
      <c r="RNT209"/>
      <c r="RNU209"/>
      <c r="RNV209"/>
      <c r="RNW209"/>
      <c r="RNX209"/>
      <c r="RNY209"/>
      <c r="RNZ209"/>
      <c r="ROA209"/>
      <c r="ROB209"/>
      <c r="ROC209"/>
      <c r="ROD209"/>
      <c r="ROE209"/>
      <c r="ROF209"/>
      <c r="ROG209"/>
      <c r="ROH209"/>
      <c r="ROI209"/>
      <c r="ROJ209"/>
      <c r="ROK209"/>
      <c r="ROL209"/>
      <c r="ROM209"/>
      <c r="RON209"/>
      <c r="ROO209"/>
      <c r="ROP209"/>
      <c r="ROQ209"/>
      <c r="ROR209"/>
      <c r="ROS209"/>
      <c r="ROT209"/>
      <c r="ROU209"/>
      <c r="ROV209"/>
      <c r="ROW209"/>
      <c r="ROX209"/>
      <c r="ROY209"/>
      <c r="ROZ209"/>
      <c r="RPA209"/>
      <c r="RPB209"/>
      <c r="RPC209"/>
      <c r="RPD209"/>
      <c r="RPE209"/>
      <c r="RPF209"/>
      <c r="RPG209"/>
      <c r="RPH209"/>
      <c r="RPI209"/>
      <c r="RPJ209"/>
      <c r="RPK209"/>
      <c r="RPL209"/>
      <c r="RPM209"/>
      <c r="RPN209"/>
      <c r="RPO209"/>
      <c r="RPP209"/>
      <c r="RPQ209"/>
      <c r="RPR209"/>
      <c r="RPS209"/>
      <c r="RPT209"/>
      <c r="RPU209"/>
      <c r="RPV209"/>
      <c r="RPW209"/>
      <c r="RPX209"/>
      <c r="RPY209"/>
      <c r="RPZ209"/>
      <c r="RQA209"/>
      <c r="RQB209"/>
      <c r="RQC209"/>
      <c r="RQD209"/>
      <c r="RQE209"/>
      <c r="RQF209"/>
      <c r="RQG209"/>
      <c r="RQH209"/>
      <c r="RQI209"/>
      <c r="RQJ209"/>
      <c r="RQK209"/>
      <c r="RQL209"/>
      <c r="RQM209"/>
      <c r="RQN209"/>
      <c r="RQO209"/>
      <c r="RQP209"/>
      <c r="RQQ209"/>
      <c r="RQR209"/>
      <c r="RQS209"/>
      <c r="RQT209"/>
      <c r="RQU209"/>
      <c r="RQV209"/>
      <c r="RQW209"/>
      <c r="RQX209"/>
      <c r="RQY209"/>
      <c r="RQZ209"/>
      <c r="RRA209"/>
      <c r="RRB209"/>
      <c r="RRC209"/>
      <c r="RRD209"/>
      <c r="RRE209"/>
      <c r="RRF209"/>
      <c r="RRG209"/>
      <c r="RRH209"/>
      <c r="RRI209"/>
      <c r="RRJ209"/>
      <c r="RRK209"/>
      <c r="RRL209"/>
      <c r="RRM209"/>
      <c r="RRN209"/>
      <c r="RRO209"/>
      <c r="RRP209"/>
      <c r="RRQ209"/>
      <c r="RRR209"/>
      <c r="RRS209"/>
      <c r="RRT209"/>
      <c r="RRU209"/>
      <c r="RRV209"/>
      <c r="RRW209"/>
      <c r="RRX209"/>
      <c r="RRY209"/>
      <c r="RRZ209"/>
      <c r="RSA209"/>
      <c r="RSB209"/>
      <c r="RSC209"/>
      <c r="RSD209"/>
      <c r="RSE209"/>
      <c r="RSF209"/>
      <c r="RSG209"/>
      <c r="RSH209"/>
      <c r="RSI209"/>
      <c r="RSJ209"/>
      <c r="RSK209"/>
      <c r="RSL209"/>
      <c r="RSM209"/>
      <c r="RSN209"/>
      <c r="RSO209"/>
      <c r="RSP209"/>
      <c r="RSQ209"/>
      <c r="RSR209"/>
      <c r="RSS209"/>
      <c r="RST209"/>
      <c r="RSU209"/>
      <c r="RSV209"/>
      <c r="RSW209"/>
      <c r="RSX209"/>
      <c r="RSY209"/>
      <c r="RSZ209"/>
      <c r="RTA209"/>
      <c r="RTB209"/>
      <c r="RTC209"/>
      <c r="RTD209"/>
      <c r="RTE209"/>
      <c r="RTF209"/>
      <c r="RTG209"/>
      <c r="RTH209"/>
      <c r="RTI209"/>
      <c r="RTJ209"/>
      <c r="RTK209"/>
      <c r="RTL209"/>
      <c r="RTM209"/>
      <c r="RTN209"/>
      <c r="RTO209"/>
      <c r="RTP209"/>
      <c r="RTQ209"/>
      <c r="RTR209"/>
      <c r="RTS209"/>
      <c r="RTT209"/>
      <c r="RTU209"/>
      <c r="RTV209"/>
      <c r="RTW209"/>
      <c r="RTX209"/>
      <c r="RTY209"/>
      <c r="RTZ209"/>
      <c r="RUA209"/>
      <c r="RUB209"/>
      <c r="RUC209"/>
      <c r="RUD209"/>
      <c r="RUE209"/>
      <c r="RUF209"/>
      <c r="RUG209"/>
      <c r="RUH209"/>
      <c r="RUI209"/>
      <c r="RUJ209"/>
      <c r="RUK209"/>
      <c r="RUL209"/>
      <c r="RUM209"/>
      <c r="RUN209"/>
      <c r="RUO209"/>
      <c r="RUP209"/>
      <c r="RUQ209"/>
      <c r="RUR209"/>
      <c r="RUS209"/>
      <c r="RUT209"/>
      <c r="RUU209"/>
      <c r="RUV209"/>
      <c r="RUW209"/>
      <c r="RUX209"/>
      <c r="RUY209"/>
      <c r="RUZ209"/>
      <c r="RVA209"/>
      <c r="RVB209"/>
      <c r="RVC209"/>
      <c r="RVD209"/>
      <c r="RVE209"/>
      <c r="RVF209"/>
      <c r="RVG209"/>
      <c r="RVH209"/>
      <c r="RVI209"/>
      <c r="RVJ209"/>
      <c r="RVK209"/>
      <c r="RVL209"/>
      <c r="RVM209"/>
      <c r="RVN209"/>
      <c r="RVO209"/>
      <c r="RVP209"/>
      <c r="RVQ209"/>
      <c r="RVR209"/>
      <c r="RVS209"/>
      <c r="RVT209"/>
      <c r="RVU209"/>
      <c r="RVV209"/>
      <c r="RVW209"/>
      <c r="RVX209"/>
      <c r="RVY209"/>
      <c r="RVZ209"/>
      <c r="RWA209"/>
      <c r="RWB209"/>
      <c r="RWC209"/>
      <c r="RWD209"/>
      <c r="RWE209"/>
      <c r="RWF209"/>
      <c r="RWG209"/>
      <c r="RWH209"/>
      <c r="RWI209"/>
      <c r="RWJ209"/>
      <c r="RWK209"/>
      <c r="RWL209"/>
      <c r="RWM209"/>
      <c r="RWN209"/>
      <c r="RWO209"/>
      <c r="RWP209"/>
      <c r="RWQ209"/>
      <c r="RWR209"/>
      <c r="RWS209"/>
      <c r="RWT209"/>
      <c r="RWU209"/>
      <c r="RWV209"/>
      <c r="RWW209"/>
      <c r="RWX209"/>
      <c r="RWY209"/>
      <c r="RWZ209"/>
      <c r="RXA209"/>
      <c r="RXB209"/>
      <c r="RXC209"/>
      <c r="RXD209"/>
      <c r="RXE209"/>
      <c r="RXF209"/>
      <c r="RXG209"/>
      <c r="RXH209"/>
      <c r="RXI209"/>
      <c r="RXJ209"/>
      <c r="RXK209"/>
      <c r="RXL209"/>
      <c r="RXM209"/>
      <c r="RXN209"/>
      <c r="RXO209"/>
      <c r="RXP209"/>
      <c r="RXQ209"/>
      <c r="RXR209"/>
      <c r="RXS209"/>
      <c r="RXT209"/>
      <c r="RXU209"/>
      <c r="RXV209"/>
      <c r="RXW209"/>
      <c r="RXX209"/>
      <c r="RXY209"/>
      <c r="RXZ209"/>
      <c r="RYA209"/>
      <c r="RYB209"/>
      <c r="RYC209"/>
      <c r="RYD209"/>
      <c r="RYE209"/>
      <c r="RYF209"/>
      <c r="RYG209"/>
      <c r="RYH209"/>
      <c r="RYI209"/>
      <c r="RYJ209"/>
      <c r="RYK209"/>
      <c r="RYL209"/>
      <c r="RYM209"/>
      <c r="RYN209"/>
      <c r="RYO209"/>
      <c r="RYP209"/>
      <c r="RYQ209"/>
      <c r="RYR209"/>
      <c r="RYS209"/>
      <c r="RYT209"/>
      <c r="RYU209"/>
      <c r="RYV209"/>
      <c r="RYW209"/>
      <c r="RYX209"/>
      <c r="RYY209"/>
      <c r="RYZ209"/>
      <c r="RZA209"/>
      <c r="RZB209"/>
      <c r="RZC209"/>
      <c r="RZD209"/>
      <c r="RZE209"/>
      <c r="RZF209"/>
      <c r="RZG209"/>
      <c r="RZH209"/>
      <c r="RZI209"/>
      <c r="RZJ209"/>
      <c r="RZK209"/>
      <c r="RZL209"/>
      <c r="RZM209"/>
      <c r="RZN209"/>
      <c r="RZO209"/>
      <c r="RZP209"/>
      <c r="RZQ209"/>
      <c r="RZR209"/>
      <c r="RZS209"/>
      <c r="RZT209"/>
      <c r="RZU209"/>
      <c r="RZV209"/>
      <c r="RZW209"/>
      <c r="RZX209"/>
      <c r="RZY209"/>
      <c r="RZZ209"/>
      <c r="SAA209"/>
      <c r="SAB209"/>
      <c r="SAC209"/>
      <c r="SAD209"/>
      <c r="SAE209"/>
      <c r="SAF209"/>
      <c r="SAG209"/>
      <c r="SAH209"/>
      <c r="SAI209"/>
      <c r="SAJ209"/>
      <c r="SAK209"/>
      <c r="SAL209"/>
      <c r="SAM209"/>
      <c r="SAN209"/>
      <c r="SAO209"/>
      <c r="SAP209"/>
      <c r="SAQ209"/>
      <c r="SAR209"/>
      <c r="SAS209"/>
      <c r="SAT209"/>
      <c r="SAU209"/>
      <c r="SAV209"/>
      <c r="SAW209"/>
      <c r="SAX209"/>
      <c r="SAY209"/>
      <c r="SAZ209"/>
      <c r="SBA209"/>
      <c r="SBB209"/>
      <c r="SBC209"/>
      <c r="SBD209"/>
      <c r="SBE209"/>
      <c r="SBF209"/>
      <c r="SBG209"/>
      <c r="SBH209"/>
      <c r="SBI209"/>
      <c r="SBJ209"/>
      <c r="SBK209"/>
      <c r="SBL209"/>
      <c r="SBM209"/>
      <c r="SBN209"/>
      <c r="SBO209"/>
      <c r="SBP209"/>
      <c r="SBQ209"/>
      <c r="SBR209"/>
      <c r="SBS209"/>
      <c r="SBT209"/>
      <c r="SBU209"/>
      <c r="SBV209"/>
      <c r="SBW209"/>
      <c r="SBX209"/>
      <c r="SBY209"/>
      <c r="SBZ209"/>
      <c r="SCA209"/>
      <c r="SCB209"/>
      <c r="SCC209"/>
      <c r="SCD209"/>
      <c r="SCE209"/>
      <c r="SCF209"/>
      <c r="SCG209"/>
      <c r="SCH209"/>
      <c r="SCI209"/>
      <c r="SCJ209"/>
      <c r="SCK209"/>
      <c r="SCL209"/>
      <c r="SCM209"/>
      <c r="SCN209"/>
      <c r="SCO209"/>
      <c r="SCP209"/>
      <c r="SCQ209"/>
      <c r="SCR209"/>
      <c r="SCS209"/>
      <c r="SCT209"/>
      <c r="SCU209"/>
      <c r="SCV209"/>
      <c r="SCW209"/>
      <c r="SCX209"/>
      <c r="SCY209"/>
      <c r="SCZ209"/>
      <c r="SDA209"/>
      <c r="SDB209"/>
      <c r="SDC209"/>
      <c r="SDD209"/>
      <c r="SDE209"/>
      <c r="SDF209"/>
      <c r="SDG209"/>
      <c r="SDH209"/>
      <c r="SDI209"/>
      <c r="SDJ209"/>
      <c r="SDK209"/>
      <c r="SDL209"/>
      <c r="SDM209"/>
      <c r="SDN209"/>
      <c r="SDO209"/>
      <c r="SDP209"/>
      <c r="SDQ209"/>
      <c r="SDR209"/>
      <c r="SDS209"/>
      <c r="SDT209"/>
      <c r="SDU209"/>
      <c r="SDV209"/>
      <c r="SDW209"/>
      <c r="SDX209"/>
      <c r="SDY209"/>
      <c r="SDZ209"/>
      <c r="SEA209"/>
      <c r="SEB209"/>
      <c r="SEC209"/>
      <c r="SED209"/>
      <c r="SEE209"/>
      <c r="SEF209"/>
      <c r="SEG209"/>
      <c r="SEH209"/>
      <c r="SEI209"/>
      <c r="SEJ209"/>
      <c r="SEK209"/>
      <c r="SEL209"/>
      <c r="SEM209"/>
      <c r="SEN209"/>
      <c r="SEO209"/>
      <c r="SEP209"/>
      <c r="SEQ209"/>
      <c r="SER209"/>
      <c r="SES209"/>
      <c r="SET209"/>
      <c r="SEU209"/>
      <c r="SEV209"/>
      <c r="SEW209"/>
      <c r="SEX209"/>
      <c r="SEY209"/>
      <c r="SEZ209"/>
      <c r="SFA209"/>
      <c r="SFB209"/>
      <c r="SFC209"/>
      <c r="SFD209"/>
      <c r="SFE209"/>
      <c r="SFF209"/>
      <c r="SFG209"/>
      <c r="SFH209"/>
      <c r="SFI209"/>
      <c r="SFJ209"/>
      <c r="SFK209"/>
      <c r="SFL209"/>
      <c r="SFM209"/>
      <c r="SFN209"/>
      <c r="SFO209"/>
      <c r="SFP209"/>
      <c r="SFQ209"/>
      <c r="SFR209"/>
      <c r="SFS209"/>
      <c r="SFT209"/>
      <c r="SFU209"/>
      <c r="SFV209"/>
      <c r="SFW209"/>
      <c r="SFX209"/>
      <c r="SFY209"/>
      <c r="SFZ209"/>
      <c r="SGA209"/>
      <c r="SGB209"/>
      <c r="SGC209"/>
      <c r="SGD209"/>
      <c r="SGE209"/>
      <c r="SGF209"/>
      <c r="SGG209"/>
      <c r="SGH209"/>
      <c r="SGI209"/>
      <c r="SGJ209"/>
      <c r="SGK209"/>
      <c r="SGL209"/>
      <c r="SGM209"/>
      <c r="SGN209"/>
      <c r="SGO209"/>
      <c r="SGP209"/>
      <c r="SGQ209"/>
      <c r="SGR209"/>
      <c r="SGS209"/>
      <c r="SGT209"/>
      <c r="SGU209"/>
      <c r="SGV209"/>
      <c r="SGW209"/>
      <c r="SGX209"/>
      <c r="SGY209"/>
      <c r="SGZ209"/>
      <c r="SHA209"/>
      <c r="SHB209"/>
      <c r="SHC209"/>
      <c r="SHD209"/>
      <c r="SHE209"/>
      <c r="SHF209"/>
      <c r="SHG209"/>
      <c r="SHH209"/>
      <c r="SHI209"/>
      <c r="SHJ209"/>
      <c r="SHK209"/>
      <c r="SHL209"/>
      <c r="SHM209"/>
      <c r="SHN209"/>
      <c r="SHO209"/>
      <c r="SHP209"/>
      <c r="SHQ209"/>
      <c r="SHR209"/>
      <c r="SHS209"/>
      <c r="SHT209"/>
      <c r="SHU209"/>
      <c r="SHV209"/>
      <c r="SHW209"/>
      <c r="SHX209"/>
      <c r="SHY209"/>
      <c r="SHZ209"/>
      <c r="SIA209"/>
      <c r="SIB209"/>
      <c r="SIC209"/>
      <c r="SID209"/>
      <c r="SIE209"/>
      <c r="SIF209"/>
      <c r="SIG209"/>
      <c r="SIH209"/>
      <c r="SII209"/>
      <c r="SIJ209"/>
      <c r="SIK209"/>
      <c r="SIL209"/>
      <c r="SIM209"/>
      <c r="SIN209"/>
      <c r="SIO209"/>
      <c r="SIP209"/>
      <c r="SIQ209"/>
      <c r="SIR209"/>
      <c r="SIS209"/>
      <c r="SIT209"/>
      <c r="SIU209"/>
      <c r="SIV209"/>
      <c r="SIW209"/>
      <c r="SIX209"/>
      <c r="SIY209"/>
      <c r="SIZ209"/>
      <c r="SJA209"/>
      <c r="SJB209"/>
      <c r="SJC209"/>
      <c r="SJD209"/>
      <c r="SJE209"/>
      <c r="SJF209"/>
      <c r="SJG209"/>
      <c r="SJH209"/>
      <c r="SJI209"/>
      <c r="SJJ209"/>
      <c r="SJK209"/>
      <c r="SJL209"/>
      <c r="SJM209"/>
      <c r="SJN209"/>
      <c r="SJO209"/>
      <c r="SJP209"/>
      <c r="SJQ209"/>
      <c r="SJR209"/>
      <c r="SJS209"/>
      <c r="SJT209"/>
      <c r="SJU209"/>
      <c r="SJV209"/>
      <c r="SJW209"/>
      <c r="SJX209"/>
      <c r="SJY209"/>
      <c r="SJZ209"/>
      <c r="SKA209"/>
      <c r="SKB209"/>
      <c r="SKC209"/>
      <c r="SKD209"/>
      <c r="SKE209"/>
      <c r="SKF209"/>
      <c r="SKG209"/>
      <c r="SKH209"/>
      <c r="SKI209"/>
      <c r="SKJ209"/>
      <c r="SKK209"/>
      <c r="SKL209"/>
      <c r="SKM209"/>
      <c r="SKN209"/>
      <c r="SKO209"/>
      <c r="SKP209"/>
      <c r="SKQ209"/>
      <c r="SKR209"/>
      <c r="SKS209"/>
      <c r="SKT209"/>
      <c r="SKU209"/>
      <c r="SKV209"/>
      <c r="SKW209"/>
      <c r="SKX209"/>
      <c r="SKY209"/>
      <c r="SKZ209"/>
      <c r="SLA209"/>
      <c r="SLB209"/>
      <c r="SLC209"/>
      <c r="SLD209"/>
      <c r="SLE209"/>
      <c r="SLF209"/>
      <c r="SLG209"/>
      <c r="SLH209"/>
      <c r="SLI209"/>
      <c r="SLJ209"/>
      <c r="SLK209"/>
      <c r="SLL209"/>
      <c r="SLM209"/>
      <c r="SLN209"/>
      <c r="SLO209"/>
      <c r="SLP209"/>
      <c r="SLQ209"/>
      <c r="SLR209"/>
      <c r="SLS209"/>
      <c r="SLT209"/>
      <c r="SLU209"/>
      <c r="SLV209"/>
      <c r="SLW209"/>
      <c r="SLX209"/>
      <c r="SLY209"/>
      <c r="SLZ209"/>
      <c r="SMA209"/>
      <c r="SMB209"/>
      <c r="SMC209"/>
      <c r="SMD209"/>
      <c r="SME209"/>
      <c r="SMF209"/>
      <c r="SMG209"/>
      <c r="SMH209"/>
      <c r="SMI209"/>
      <c r="SMJ209"/>
      <c r="SMK209"/>
      <c r="SML209"/>
      <c r="SMM209"/>
      <c r="SMN209"/>
      <c r="SMO209"/>
      <c r="SMP209"/>
      <c r="SMQ209"/>
      <c r="SMR209"/>
      <c r="SMS209"/>
      <c r="SMT209"/>
      <c r="SMU209"/>
      <c r="SMV209"/>
      <c r="SMW209"/>
      <c r="SMX209"/>
      <c r="SMY209"/>
      <c r="SMZ209"/>
      <c r="SNA209"/>
      <c r="SNB209"/>
      <c r="SNC209"/>
      <c r="SND209"/>
      <c r="SNE209"/>
      <c r="SNF209"/>
      <c r="SNG209"/>
      <c r="SNH209"/>
      <c r="SNI209"/>
      <c r="SNJ209"/>
      <c r="SNK209"/>
      <c r="SNL209"/>
      <c r="SNM209"/>
      <c r="SNN209"/>
      <c r="SNO209"/>
      <c r="SNP209"/>
      <c r="SNQ209"/>
      <c r="SNR209"/>
      <c r="SNS209"/>
      <c r="SNT209"/>
      <c r="SNU209"/>
      <c r="SNV209"/>
      <c r="SNW209"/>
      <c r="SNX209"/>
      <c r="SNY209"/>
      <c r="SNZ209"/>
      <c r="SOA209"/>
      <c r="SOB209"/>
      <c r="SOC209"/>
      <c r="SOD209"/>
      <c r="SOE209"/>
      <c r="SOF209"/>
      <c r="SOG209"/>
      <c r="SOH209"/>
      <c r="SOI209"/>
      <c r="SOJ209"/>
      <c r="SOK209"/>
      <c r="SOL209"/>
      <c r="SOM209"/>
      <c r="SON209"/>
      <c r="SOO209"/>
      <c r="SOP209"/>
      <c r="SOQ209"/>
      <c r="SOR209"/>
      <c r="SOS209"/>
      <c r="SOT209"/>
      <c r="SOU209"/>
      <c r="SOV209"/>
      <c r="SOW209"/>
      <c r="SOX209"/>
      <c r="SOY209"/>
      <c r="SOZ209"/>
      <c r="SPA209"/>
      <c r="SPB209"/>
      <c r="SPC209"/>
      <c r="SPD209"/>
      <c r="SPE209"/>
      <c r="SPF209"/>
      <c r="SPG209"/>
      <c r="SPH209"/>
      <c r="SPI209"/>
      <c r="SPJ209"/>
      <c r="SPK209"/>
      <c r="SPL209"/>
      <c r="SPM209"/>
      <c r="SPN209"/>
      <c r="SPO209"/>
      <c r="SPP209"/>
      <c r="SPQ209"/>
      <c r="SPR209"/>
      <c r="SPS209"/>
      <c r="SPT209"/>
      <c r="SPU209"/>
      <c r="SPV209"/>
      <c r="SPW209"/>
      <c r="SPX209"/>
      <c r="SPY209"/>
      <c r="SPZ209"/>
      <c r="SQA209"/>
      <c r="SQB209"/>
      <c r="SQC209"/>
      <c r="SQD209"/>
      <c r="SQE209"/>
      <c r="SQF209"/>
      <c r="SQG209"/>
      <c r="SQH209"/>
      <c r="SQI209"/>
      <c r="SQJ209"/>
      <c r="SQK209"/>
      <c r="SQL209"/>
      <c r="SQM209"/>
      <c r="SQN209"/>
      <c r="SQO209"/>
      <c r="SQP209"/>
      <c r="SQQ209"/>
      <c r="SQR209"/>
      <c r="SQS209"/>
      <c r="SQT209"/>
      <c r="SQU209"/>
      <c r="SQV209"/>
      <c r="SQW209"/>
      <c r="SQX209"/>
      <c r="SQY209"/>
      <c r="SQZ209"/>
      <c r="SRA209"/>
      <c r="SRB209"/>
      <c r="SRC209"/>
      <c r="SRD209"/>
      <c r="SRE209"/>
      <c r="SRF209"/>
      <c r="SRG209"/>
      <c r="SRH209"/>
      <c r="SRI209"/>
      <c r="SRJ209"/>
      <c r="SRK209"/>
      <c r="SRL209"/>
      <c r="SRM209"/>
      <c r="SRN209"/>
      <c r="SRO209"/>
      <c r="SRP209"/>
      <c r="SRQ209"/>
      <c r="SRR209"/>
      <c r="SRS209"/>
      <c r="SRT209"/>
      <c r="SRU209"/>
      <c r="SRV209"/>
      <c r="SRW209"/>
      <c r="SRX209"/>
      <c r="SRY209"/>
      <c r="SRZ209"/>
      <c r="SSA209"/>
      <c r="SSB209"/>
      <c r="SSC209"/>
      <c r="SSD209"/>
      <c r="SSE209"/>
      <c r="SSF209"/>
      <c r="SSG209"/>
      <c r="SSH209"/>
      <c r="SSI209"/>
      <c r="SSJ209"/>
      <c r="SSK209"/>
      <c r="SSL209"/>
      <c r="SSM209"/>
      <c r="SSN209"/>
      <c r="SSO209"/>
      <c r="SSP209"/>
      <c r="SSQ209"/>
      <c r="SSR209"/>
      <c r="SSS209"/>
      <c r="SST209"/>
      <c r="SSU209"/>
      <c r="SSV209"/>
      <c r="SSW209"/>
      <c r="SSX209"/>
      <c r="SSY209"/>
      <c r="SSZ209"/>
      <c r="STA209"/>
      <c r="STB209"/>
      <c r="STC209"/>
      <c r="STD209"/>
      <c r="STE209"/>
      <c r="STF209"/>
      <c r="STG209"/>
      <c r="STH209"/>
      <c r="STI209"/>
      <c r="STJ209"/>
      <c r="STK209"/>
      <c r="STL209"/>
      <c r="STM209"/>
      <c r="STN209"/>
      <c r="STO209"/>
      <c r="STP209"/>
      <c r="STQ209"/>
      <c r="STR209"/>
      <c r="STS209"/>
      <c r="STT209"/>
      <c r="STU209"/>
      <c r="STV209"/>
      <c r="STW209"/>
      <c r="STX209"/>
      <c r="STY209"/>
      <c r="STZ209"/>
      <c r="SUA209"/>
      <c r="SUB209"/>
      <c r="SUC209"/>
      <c r="SUD209"/>
      <c r="SUE209"/>
      <c r="SUF209"/>
      <c r="SUG209"/>
      <c r="SUH209"/>
      <c r="SUI209"/>
      <c r="SUJ209"/>
      <c r="SUK209"/>
      <c r="SUL209"/>
      <c r="SUM209"/>
      <c r="SUN209"/>
      <c r="SUO209"/>
      <c r="SUP209"/>
      <c r="SUQ209"/>
      <c r="SUR209"/>
      <c r="SUS209"/>
      <c r="SUT209"/>
      <c r="SUU209"/>
      <c r="SUV209"/>
      <c r="SUW209"/>
      <c r="SUX209"/>
      <c r="SUY209"/>
      <c r="SUZ209"/>
      <c r="SVA209"/>
      <c r="SVB209"/>
      <c r="SVC209"/>
      <c r="SVD209"/>
      <c r="SVE209"/>
      <c r="SVF209"/>
      <c r="SVG209"/>
      <c r="SVH209"/>
      <c r="SVI209"/>
      <c r="SVJ209"/>
      <c r="SVK209"/>
      <c r="SVL209"/>
      <c r="SVM209"/>
      <c r="SVN209"/>
      <c r="SVO209"/>
      <c r="SVP209"/>
      <c r="SVQ209"/>
      <c r="SVR209"/>
      <c r="SVS209"/>
      <c r="SVT209"/>
      <c r="SVU209"/>
      <c r="SVV209"/>
      <c r="SVW209"/>
      <c r="SVX209"/>
      <c r="SVY209"/>
      <c r="SVZ209"/>
      <c r="SWA209"/>
      <c r="SWB209"/>
      <c r="SWC209"/>
      <c r="SWD209"/>
      <c r="SWE209"/>
      <c r="SWF209"/>
      <c r="SWG209"/>
      <c r="SWH209"/>
      <c r="SWI209"/>
      <c r="SWJ209"/>
      <c r="SWK209"/>
      <c r="SWL209"/>
      <c r="SWM209"/>
      <c r="SWN209"/>
      <c r="SWO209"/>
      <c r="SWP209"/>
      <c r="SWQ209"/>
      <c r="SWR209"/>
      <c r="SWS209"/>
      <c r="SWT209"/>
      <c r="SWU209"/>
      <c r="SWV209"/>
      <c r="SWW209"/>
      <c r="SWX209"/>
      <c r="SWY209"/>
      <c r="SWZ209"/>
      <c r="SXA209"/>
      <c r="SXB209"/>
      <c r="SXC209"/>
      <c r="SXD209"/>
      <c r="SXE209"/>
      <c r="SXF209"/>
      <c r="SXG209"/>
      <c r="SXH209"/>
      <c r="SXI209"/>
      <c r="SXJ209"/>
      <c r="SXK209"/>
      <c r="SXL209"/>
      <c r="SXM209"/>
      <c r="SXN209"/>
      <c r="SXO209"/>
      <c r="SXP209"/>
      <c r="SXQ209"/>
      <c r="SXR209"/>
      <c r="SXS209"/>
      <c r="SXT209"/>
      <c r="SXU209"/>
      <c r="SXV209"/>
      <c r="SXW209"/>
      <c r="SXX209"/>
      <c r="SXY209"/>
      <c r="SXZ209"/>
      <c r="SYA209"/>
      <c r="SYB209"/>
      <c r="SYC209"/>
      <c r="SYD209"/>
      <c r="SYE209"/>
      <c r="SYF209"/>
      <c r="SYG209"/>
      <c r="SYH209"/>
      <c r="SYI209"/>
      <c r="SYJ209"/>
      <c r="SYK209"/>
      <c r="SYL209"/>
      <c r="SYM209"/>
      <c r="SYN209"/>
      <c r="SYO209"/>
      <c r="SYP209"/>
      <c r="SYQ209"/>
      <c r="SYR209"/>
      <c r="SYS209"/>
      <c r="SYT209"/>
      <c r="SYU209"/>
      <c r="SYV209"/>
      <c r="SYW209"/>
      <c r="SYX209"/>
      <c r="SYY209"/>
      <c r="SYZ209"/>
      <c r="SZA209"/>
      <c r="SZB209"/>
      <c r="SZC209"/>
      <c r="SZD209"/>
      <c r="SZE209"/>
      <c r="SZF209"/>
      <c r="SZG209"/>
      <c r="SZH209"/>
      <c r="SZI209"/>
      <c r="SZJ209"/>
      <c r="SZK209"/>
      <c r="SZL209"/>
      <c r="SZM209"/>
      <c r="SZN209"/>
      <c r="SZO209"/>
      <c r="SZP209"/>
      <c r="SZQ209"/>
      <c r="SZR209"/>
      <c r="SZS209"/>
      <c r="SZT209"/>
      <c r="SZU209"/>
      <c r="SZV209"/>
      <c r="SZW209"/>
      <c r="SZX209"/>
      <c r="SZY209"/>
      <c r="SZZ209"/>
      <c r="TAA209"/>
      <c r="TAB209"/>
      <c r="TAC209"/>
      <c r="TAD209"/>
      <c r="TAE209"/>
      <c r="TAF209"/>
      <c r="TAG209"/>
      <c r="TAH209"/>
      <c r="TAI209"/>
      <c r="TAJ209"/>
      <c r="TAK209"/>
      <c r="TAL209"/>
      <c r="TAM209"/>
      <c r="TAN209"/>
      <c r="TAO209"/>
      <c r="TAP209"/>
      <c r="TAQ209"/>
      <c r="TAR209"/>
      <c r="TAS209"/>
      <c r="TAT209"/>
      <c r="TAU209"/>
      <c r="TAV209"/>
      <c r="TAW209"/>
      <c r="TAX209"/>
      <c r="TAY209"/>
      <c r="TAZ209"/>
      <c r="TBA209"/>
      <c r="TBB209"/>
      <c r="TBC209"/>
      <c r="TBD209"/>
      <c r="TBE209"/>
      <c r="TBF209"/>
      <c r="TBG209"/>
      <c r="TBH209"/>
      <c r="TBI209"/>
      <c r="TBJ209"/>
      <c r="TBK209"/>
      <c r="TBL209"/>
      <c r="TBM209"/>
      <c r="TBN209"/>
      <c r="TBO209"/>
      <c r="TBP209"/>
      <c r="TBQ209"/>
      <c r="TBR209"/>
      <c r="TBS209"/>
      <c r="TBT209"/>
      <c r="TBU209"/>
      <c r="TBV209"/>
      <c r="TBW209"/>
      <c r="TBX209"/>
      <c r="TBY209"/>
      <c r="TBZ209"/>
      <c r="TCA209"/>
      <c r="TCB209"/>
      <c r="TCC209"/>
      <c r="TCD209"/>
      <c r="TCE209"/>
      <c r="TCF209"/>
      <c r="TCG209"/>
      <c r="TCH209"/>
      <c r="TCI209"/>
      <c r="TCJ209"/>
      <c r="TCK209"/>
      <c r="TCL209"/>
      <c r="TCM209"/>
      <c r="TCN209"/>
      <c r="TCO209"/>
      <c r="TCP209"/>
      <c r="TCQ209"/>
      <c r="TCR209"/>
      <c r="TCS209"/>
      <c r="TCT209"/>
      <c r="TCU209"/>
      <c r="TCV209"/>
      <c r="TCW209"/>
      <c r="TCX209"/>
      <c r="TCY209"/>
      <c r="TCZ209"/>
      <c r="TDA209"/>
      <c r="TDB209"/>
      <c r="TDC209"/>
      <c r="TDD209"/>
      <c r="TDE209"/>
      <c r="TDF209"/>
      <c r="TDG209"/>
      <c r="TDH209"/>
      <c r="TDI209"/>
      <c r="TDJ209"/>
      <c r="TDK209"/>
      <c r="TDL209"/>
      <c r="TDM209"/>
      <c r="TDN209"/>
      <c r="TDO209"/>
      <c r="TDP209"/>
      <c r="TDQ209"/>
      <c r="TDR209"/>
      <c r="TDS209"/>
      <c r="TDT209"/>
      <c r="TDU209"/>
      <c r="TDV209"/>
      <c r="TDW209"/>
      <c r="TDX209"/>
      <c r="TDY209"/>
      <c r="TDZ209"/>
      <c r="TEA209"/>
      <c r="TEB209"/>
      <c r="TEC209"/>
      <c r="TED209"/>
      <c r="TEE209"/>
      <c r="TEF209"/>
      <c r="TEG209"/>
      <c r="TEH209"/>
      <c r="TEI209"/>
      <c r="TEJ209"/>
      <c r="TEK209"/>
      <c r="TEL209"/>
      <c r="TEM209"/>
      <c r="TEN209"/>
      <c r="TEO209"/>
      <c r="TEP209"/>
      <c r="TEQ209"/>
      <c r="TER209"/>
      <c r="TES209"/>
      <c r="TET209"/>
      <c r="TEU209"/>
      <c r="TEV209"/>
      <c r="TEW209"/>
      <c r="TEX209"/>
      <c r="TEY209"/>
      <c r="TEZ209"/>
      <c r="TFA209"/>
      <c r="TFB209"/>
      <c r="TFC209"/>
      <c r="TFD209"/>
      <c r="TFE209"/>
      <c r="TFF209"/>
      <c r="TFG209"/>
      <c r="TFH209"/>
      <c r="TFI209"/>
      <c r="TFJ209"/>
      <c r="TFK209"/>
      <c r="TFL209"/>
      <c r="TFM209"/>
      <c r="TFN209"/>
      <c r="TFO209"/>
      <c r="TFP209"/>
      <c r="TFQ209"/>
      <c r="TFR209"/>
      <c r="TFS209"/>
      <c r="TFT209"/>
      <c r="TFU209"/>
      <c r="TFV209"/>
      <c r="TFW209"/>
      <c r="TFX209"/>
      <c r="TFY209"/>
      <c r="TFZ209"/>
      <c r="TGA209"/>
      <c r="TGB209"/>
      <c r="TGC209"/>
      <c r="TGD209"/>
      <c r="TGE209"/>
      <c r="TGF209"/>
      <c r="TGG209"/>
      <c r="TGH209"/>
      <c r="TGI209"/>
      <c r="TGJ209"/>
      <c r="TGK209"/>
      <c r="TGL209"/>
      <c r="TGM209"/>
      <c r="TGN209"/>
      <c r="TGO209"/>
      <c r="TGP209"/>
      <c r="TGQ209"/>
      <c r="TGR209"/>
      <c r="TGS209"/>
      <c r="TGT209"/>
      <c r="TGU209"/>
      <c r="TGV209"/>
      <c r="TGW209"/>
      <c r="TGX209"/>
      <c r="TGY209"/>
      <c r="TGZ209"/>
      <c r="THA209"/>
      <c r="THB209"/>
      <c r="THC209"/>
      <c r="THD209"/>
      <c r="THE209"/>
      <c r="THF209"/>
      <c r="THG209"/>
      <c r="THH209"/>
      <c r="THI209"/>
      <c r="THJ209"/>
      <c r="THK209"/>
      <c r="THL209"/>
      <c r="THM209"/>
      <c r="THN209"/>
      <c r="THO209"/>
      <c r="THP209"/>
      <c r="THQ209"/>
      <c r="THR209"/>
      <c r="THS209"/>
      <c r="THT209"/>
      <c r="THU209"/>
      <c r="THV209"/>
      <c r="THW209"/>
      <c r="THX209"/>
      <c r="THY209"/>
      <c r="THZ209"/>
      <c r="TIA209"/>
      <c r="TIB209"/>
      <c r="TIC209"/>
      <c r="TID209"/>
      <c r="TIE209"/>
      <c r="TIF209"/>
      <c r="TIG209"/>
      <c r="TIH209"/>
      <c r="TII209"/>
      <c r="TIJ209"/>
      <c r="TIK209"/>
      <c r="TIL209"/>
      <c r="TIM209"/>
      <c r="TIN209"/>
      <c r="TIO209"/>
      <c r="TIP209"/>
      <c r="TIQ209"/>
      <c r="TIR209"/>
      <c r="TIS209"/>
      <c r="TIT209"/>
      <c r="TIU209"/>
      <c r="TIV209"/>
      <c r="TIW209"/>
      <c r="TIX209"/>
      <c r="TIY209"/>
      <c r="TIZ209"/>
      <c r="TJA209"/>
      <c r="TJB209"/>
      <c r="TJC209"/>
      <c r="TJD209"/>
      <c r="TJE209"/>
      <c r="TJF209"/>
      <c r="TJG209"/>
      <c r="TJH209"/>
      <c r="TJI209"/>
      <c r="TJJ209"/>
      <c r="TJK209"/>
      <c r="TJL209"/>
      <c r="TJM209"/>
      <c r="TJN209"/>
      <c r="TJO209"/>
      <c r="TJP209"/>
      <c r="TJQ209"/>
      <c r="TJR209"/>
      <c r="TJS209"/>
      <c r="TJT209"/>
      <c r="TJU209"/>
      <c r="TJV209"/>
      <c r="TJW209"/>
      <c r="TJX209"/>
      <c r="TJY209"/>
      <c r="TJZ209"/>
      <c r="TKA209"/>
      <c r="TKB209"/>
      <c r="TKC209"/>
      <c r="TKD209"/>
      <c r="TKE209"/>
      <c r="TKF209"/>
      <c r="TKG209"/>
      <c r="TKH209"/>
      <c r="TKI209"/>
      <c r="TKJ209"/>
      <c r="TKK209"/>
      <c r="TKL209"/>
      <c r="TKM209"/>
      <c r="TKN209"/>
      <c r="TKO209"/>
      <c r="TKP209"/>
      <c r="TKQ209"/>
      <c r="TKR209"/>
      <c r="TKS209"/>
      <c r="TKT209"/>
      <c r="TKU209"/>
      <c r="TKV209"/>
      <c r="TKW209"/>
      <c r="TKX209"/>
      <c r="TKY209"/>
      <c r="TKZ209"/>
      <c r="TLA209"/>
      <c r="TLB209"/>
      <c r="TLC209"/>
      <c r="TLD209"/>
      <c r="TLE209"/>
      <c r="TLF209"/>
      <c r="TLG209"/>
      <c r="TLH209"/>
      <c r="TLI209"/>
      <c r="TLJ209"/>
      <c r="TLK209"/>
      <c r="TLL209"/>
      <c r="TLM209"/>
      <c r="TLN209"/>
      <c r="TLO209"/>
      <c r="TLP209"/>
      <c r="TLQ209"/>
      <c r="TLR209"/>
      <c r="TLS209"/>
      <c r="TLT209"/>
      <c r="TLU209"/>
      <c r="TLV209"/>
      <c r="TLW209"/>
      <c r="TLX209"/>
      <c r="TLY209"/>
      <c r="TLZ209"/>
      <c r="TMA209"/>
      <c r="TMB209"/>
      <c r="TMC209"/>
      <c r="TMD209"/>
      <c r="TME209"/>
      <c r="TMF209"/>
      <c r="TMG209"/>
      <c r="TMH209"/>
      <c r="TMI209"/>
      <c r="TMJ209"/>
      <c r="TMK209"/>
      <c r="TML209"/>
      <c r="TMM209"/>
      <c r="TMN209"/>
      <c r="TMO209"/>
      <c r="TMP209"/>
      <c r="TMQ209"/>
      <c r="TMR209"/>
      <c r="TMS209"/>
      <c r="TMT209"/>
      <c r="TMU209"/>
      <c r="TMV209"/>
      <c r="TMW209"/>
      <c r="TMX209"/>
      <c r="TMY209"/>
      <c r="TMZ209"/>
      <c r="TNA209"/>
      <c r="TNB209"/>
      <c r="TNC209"/>
      <c r="TND209"/>
      <c r="TNE209"/>
      <c r="TNF209"/>
      <c r="TNG209"/>
      <c r="TNH209"/>
      <c r="TNI209"/>
      <c r="TNJ209"/>
      <c r="TNK209"/>
      <c r="TNL209"/>
      <c r="TNM209"/>
      <c r="TNN209"/>
      <c r="TNO209"/>
      <c r="TNP209"/>
      <c r="TNQ209"/>
      <c r="TNR209"/>
      <c r="TNS209"/>
      <c r="TNT209"/>
      <c r="TNU209"/>
      <c r="TNV209"/>
      <c r="TNW209"/>
      <c r="TNX209"/>
      <c r="TNY209"/>
      <c r="TNZ209"/>
      <c r="TOA209"/>
      <c r="TOB209"/>
      <c r="TOC209"/>
      <c r="TOD209"/>
      <c r="TOE209"/>
      <c r="TOF209"/>
      <c r="TOG209"/>
      <c r="TOH209"/>
      <c r="TOI209"/>
      <c r="TOJ209"/>
      <c r="TOK209"/>
      <c r="TOL209"/>
      <c r="TOM209"/>
      <c r="TON209"/>
      <c r="TOO209"/>
      <c r="TOP209"/>
      <c r="TOQ209"/>
      <c r="TOR209"/>
      <c r="TOS209"/>
      <c r="TOT209"/>
      <c r="TOU209"/>
      <c r="TOV209"/>
      <c r="TOW209"/>
      <c r="TOX209"/>
      <c r="TOY209"/>
      <c r="TOZ209"/>
      <c r="TPA209"/>
      <c r="TPB209"/>
      <c r="TPC209"/>
      <c r="TPD209"/>
      <c r="TPE209"/>
      <c r="TPF209"/>
      <c r="TPG209"/>
      <c r="TPH209"/>
      <c r="TPI209"/>
      <c r="TPJ209"/>
      <c r="TPK209"/>
      <c r="TPL209"/>
      <c r="TPM209"/>
      <c r="TPN209"/>
      <c r="TPO209"/>
      <c r="TPP209"/>
      <c r="TPQ209"/>
      <c r="TPR209"/>
      <c r="TPS209"/>
      <c r="TPT209"/>
      <c r="TPU209"/>
      <c r="TPV209"/>
      <c r="TPW209"/>
      <c r="TPX209"/>
      <c r="TPY209"/>
      <c r="TPZ209"/>
      <c r="TQA209"/>
      <c r="TQB209"/>
      <c r="TQC209"/>
      <c r="TQD209"/>
      <c r="TQE209"/>
      <c r="TQF209"/>
      <c r="TQG209"/>
      <c r="TQH209"/>
      <c r="TQI209"/>
      <c r="TQJ209"/>
      <c r="TQK209"/>
      <c r="TQL209"/>
      <c r="TQM209"/>
      <c r="TQN209"/>
      <c r="TQO209"/>
      <c r="TQP209"/>
      <c r="TQQ209"/>
      <c r="TQR209"/>
      <c r="TQS209"/>
      <c r="TQT209"/>
      <c r="TQU209"/>
      <c r="TQV209"/>
      <c r="TQW209"/>
      <c r="TQX209"/>
      <c r="TQY209"/>
      <c r="TQZ209"/>
      <c r="TRA209"/>
      <c r="TRB209"/>
      <c r="TRC209"/>
      <c r="TRD209"/>
      <c r="TRE209"/>
      <c r="TRF209"/>
      <c r="TRG209"/>
      <c r="TRH209"/>
      <c r="TRI209"/>
      <c r="TRJ209"/>
      <c r="TRK209"/>
      <c r="TRL209"/>
      <c r="TRM209"/>
      <c r="TRN209"/>
      <c r="TRO209"/>
      <c r="TRP209"/>
      <c r="TRQ209"/>
      <c r="TRR209"/>
      <c r="TRS209"/>
      <c r="TRT209"/>
      <c r="TRU209"/>
      <c r="TRV209"/>
      <c r="TRW209"/>
      <c r="TRX209"/>
      <c r="TRY209"/>
      <c r="TRZ209"/>
      <c r="TSA209"/>
      <c r="TSB209"/>
      <c r="TSC209"/>
      <c r="TSD209"/>
      <c r="TSE209"/>
      <c r="TSF209"/>
      <c r="TSG209"/>
      <c r="TSH209"/>
      <c r="TSI209"/>
      <c r="TSJ209"/>
      <c r="TSK209"/>
      <c r="TSL209"/>
      <c r="TSM209"/>
      <c r="TSN209"/>
      <c r="TSO209"/>
      <c r="TSP209"/>
      <c r="TSQ209"/>
      <c r="TSR209"/>
      <c r="TSS209"/>
      <c r="TST209"/>
      <c r="TSU209"/>
      <c r="TSV209"/>
      <c r="TSW209"/>
      <c r="TSX209"/>
      <c r="TSY209"/>
      <c r="TSZ209"/>
      <c r="TTA209"/>
      <c r="TTB209"/>
      <c r="TTC209"/>
      <c r="TTD209"/>
      <c r="TTE209"/>
      <c r="TTF209"/>
      <c r="TTG209"/>
      <c r="TTH209"/>
      <c r="TTI209"/>
      <c r="TTJ209"/>
      <c r="TTK209"/>
      <c r="TTL209"/>
      <c r="TTM209"/>
      <c r="TTN209"/>
      <c r="TTO209"/>
      <c r="TTP209"/>
      <c r="TTQ209"/>
      <c r="TTR209"/>
      <c r="TTS209"/>
      <c r="TTT209"/>
      <c r="TTU209"/>
      <c r="TTV209"/>
      <c r="TTW209"/>
      <c r="TTX209"/>
      <c r="TTY209"/>
      <c r="TTZ209"/>
      <c r="TUA209"/>
      <c r="TUB209"/>
      <c r="TUC209"/>
      <c r="TUD209"/>
      <c r="TUE209"/>
      <c r="TUF209"/>
      <c r="TUG209"/>
      <c r="TUH209"/>
      <c r="TUI209"/>
      <c r="TUJ209"/>
      <c r="TUK209"/>
      <c r="TUL209"/>
      <c r="TUM209"/>
      <c r="TUN209"/>
      <c r="TUO209"/>
      <c r="TUP209"/>
      <c r="TUQ209"/>
      <c r="TUR209"/>
      <c r="TUS209"/>
      <c r="TUT209"/>
      <c r="TUU209"/>
      <c r="TUV209"/>
      <c r="TUW209"/>
      <c r="TUX209"/>
      <c r="TUY209"/>
      <c r="TUZ209"/>
      <c r="TVA209"/>
      <c r="TVB209"/>
      <c r="TVC209"/>
      <c r="TVD209"/>
      <c r="TVE209"/>
      <c r="TVF209"/>
      <c r="TVG209"/>
      <c r="TVH209"/>
      <c r="TVI209"/>
      <c r="TVJ209"/>
      <c r="TVK209"/>
      <c r="TVL209"/>
      <c r="TVM209"/>
      <c r="TVN209"/>
      <c r="TVO209"/>
      <c r="TVP209"/>
      <c r="TVQ209"/>
      <c r="TVR209"/>
      <c r="TVS209"/>
      <c r="TVT209"/>
      <c r="TVU209"/>
      <c r="TVV209"/>
      <c r="TVW209"/>
      <c r="TVX209"/>
      <c r="TVY209"/>
      <c r="TVZ209"/>
      <c r="TWA209"/>
      <c r="TWB209"/>
      <c r="TWC209"/>
      <c r="TWD209"/>
      <c r="TWE209"/>
      <c r="TWF209"/>
      <c r="TWG209"/>
      <c r="TWH209"/>
      <c r="TWI209"/>
      <c r="TWJ209"/>
      <c r="TWK209"/>
      <c r="TWL209"/>
      <c r="TWM209"/>
      <c r="TWN209"/>
      <c r="TWO209"/>
      <c r="TWP209"/>
      <c r="TWQ209"/>
      <c r="TWR209"/>
      <c r="TWS209"/>
      <c r="TWT209"/>
      <c r="TWU209"/>
      <c r="TWV209"/>
      <c r="TWW209"/>
      <c r="TWX209"/>
      <c r="TWY209"/>
      <c r="TWZ209"/>
      <c r="TXA209"/>
      <c r="TXB209"/>
      <c r="TXC209"/>
      <c r="TXD209"/>
      <c r="TXE209"/>
      <c r="TXF209"/>
      <c r="TXG209"/>
      <c r="TXH209"/>
      <c r="TXI209"/>
      <c r="TXJ209"/>
      <c r="TXK209"/>
      <c r="TXL209"/>
      <c r="TXM209"/>
      <c r="TXN209"/>
      <c r="TXO209"/>
      <c r="TXP209"/>
      <c r="TXQ209"/>
      <c r="TXR209"/>
      <c r="TXS209"/>
      <c r="TXT209"/>
      <c r="TXU209"/>
      <c r="TXV209"/>
      <c r="TXW209"/>
      <c r="TXX209"/>
      <c r="TXY209"/>
      <c r="TXZ209"/>
      <c r="TYA209"/>
      <c r="TYB209"/>
      <c r="TYC209"/>
      <c r="TYD209"/>
      <c r="TYE209"/>
      <c r="TYF209"/>
      <c r="TYG209"/>
      <c r="TYH209"/>
      <c r="TYI209"/>
      <c r="TYJ209"/>
      <c r="TYK209"/>
      <c r="TYL209"/>
      <c r="TYM209"/>
      <c r="TYN209"/>
      <c r="TYO209"/>
      <c r="TYP209"/>
      <c r="TYQ209"/>
      <c r="TYR209"/>
      <c r="TYS209"/>
      <c r="TYT209"/>
      <c r="TYU209"/>
      <c r="TYV209"/>
      <c r="TYW209"/>
      <c r="TYX209"/>
      <c r="TYY209"/>
      <c r="TYZ209"/>
      <c r="TZA209"/>
      <c r="TZB209"/>
      <c r="TZC209"/>
      <c r="TZD209"/>
      <c r="TZE209"/>
      <c r="TZF209"/>
      <c r="TZG209"/>
      <c r="TZH209"/>
      <c r="TZI209"/>
      <c r="TZJ209"/>
      <c r="TZK209"/>
      <c r="TZL209"/>
      <c r="TZM209"/>
      <c r="TZN209"/>
      <c r="TZO209"/>
      <c r="TZP209"/>
      <c r="TZQ209"/>
      <c r="TZR209"/>
      <c r="TZS209"/>
      <c r="TZT209"/>
      <c r="TZU209"/>
      <c r="TZV209"/>
      <c r="TZW209"/>
      <c r="TZX209"/>
      <c r="TZY209"/>
      <c r="TZZ209"/>
      <c r="UAA209"/>
      <c r="UAB209"/>
      <c r="UAC209"/>
      <c r="UAD209"/>
      <c r="UAE209"/>
      <c r="UAF209"/>
      <c r="UAG209"/>
      <c r="UAH209"/>
      <c r="UAI209"/>
      <c r="UAJ209"/>
      <c r="UAK209"/>
      <c r="UAL209"/>
      <c r="UAM209"/>
      <c r="UAN209"/>
      <c r="UAO209"/>
      <c r="UAP209"/>
      <c r="UAQ209"/>
      <c r="UAR209"/>
      <c r="UAS209"/>
      <c r="UAT209"/>
      <c r="UAU209"/>
      <c r="UAV209"/>
      <c r="UAW209"/>
      <c r="UAX209"/>
      <c r="UAY209"/>
      <c r="UAZ209"/>
      <c r="UBA209"/>
      <c r="UBB209"/>
      <c r="UBC209"/>
      <c r="UBD209"/>
      <c r="UBE209"/>
      <c r="UBF209"/>
      <c r="UBG209"/>
      <c r="UBH209"/>
      <c r="UBI209"/>
      <c r="UBJ209"/>
      <c r="UBK209"/>
      <c r="UBL209"/>
      <c r="UBM209"/>
      <c r="UBN209"/>
      <c r="UBO209"/>
      <c r="UBP209"/>
      <c r="UBQ209"/>
      <c r="UBR209"/>
      <c r="UBS209"/>
      <c r="UBT209"/>
      <c r="UBU209"/>
      <c r="UBV209"/>
      <c r="UBW209"/>
      <c r="UBX209"/>
      <c r="UBY209"/>
      <c r="UBZ209"/>
      <c r="UCA209"/>
      <c r="UCB209"/>
      <c r="UCC209"/>
      <c r="UCD209"/>
      <c r="UCE209"/>
      <c r="UCF209"/>
      <c r="UCG209"/>
      <c r="UCH209"/>
      <c r="UCI209"/>
      <c r="UCJ209"/>
      <c r="UCK209"/>
      <c r="UCL209"/>
      <c r="UCM209"/>
      <c r="UCN209"/>
      <c r="UCO209"/>
      <c r="UCP209"/>
      <c r="UCQ209"/>
      <c r="UCR209"/>
      <c r="UCS209"/>
      <c r="UCT209"/>
      <c r="UCU209"/>
      <c r="UCV209"/>
      <c r="UCW209"/>
      <c r="UCX209"/>
      <c r="UCY209"/>
      <c r="UCZ209"/>
      <c r="UDA209"/>
      <c r="UDB209"/>
      <c r="UDC209"/>
      <c r="UDD209"/>
      <c r="UDE209"/>
      <c r="UDF209"/>
      <c r="UDG209"/>
      <c r="UDH209"/>
      <c r="UDI209"/>
      <c r="UDJ209"/>
      <c r="UDK209"/>
      <c r="UDL209"/>
      <c r="UDM209"/>
      <c r="UDN209"/>
      <c r="UDO209"/>
      <c r="UDP209"/>
      <c r="UDQ209"/>
      <c r="UDR209"/>
      <c r="UDS209"/>
      <c r="UDT209"/>
      <c r="UDU209"/>
      <c r="UDV209"/>
      <c r="UDW209"/>
      <c r="UDX209"/>
      <c r="UDY209"/>
      <c r="UDZ209"/>
      <c r="UEA209"/>
      <c r="UEB209"/>
      <c r="UEC209"/>
      <c r="UED209"/>
      <c r="UEE209"/>
      <c r="UEF209"/>
      <c r="UEG209"/>
      <c r="UEH209"/>
      <c r="UEI209"/>
      <c r="UEJ209"/>
      <c r="UEK209"/>
      <c r="UEL209"/>
      <c r="UEM209"/>
      <c r="UEN209"/>
      <c r="UEO209"/>
      <c r="UEP209"/>
      <c r="UEQ209"/>
      <c r="UER209"/>
      <c r="UES209"/>
      <c r="UET209"/>
      <c r="UEU209"/>
      <c r="UEV209"/>
      <c r="UEW209"/>
      <c r="UEX209"/>
      <c r="UEY209"/>
      <c r="UEZ209"/>
      <c r="UFA209"/>
      <c r="UFB209"/>
      <c r="UFC209"/>
      <c r="UFD209"/>
      <c r="UFE209"/>
      <c r="UFF209"/>
      <c r="UFG209"/>
      <c r="UFH209"/>
      <c r="UFI209"/>
      <c r="UFJ209"/>
      <c r="UFK209"/>
      <c r="UFL209"/>
      <c r="UFM209"/>
      <c r="UFN209"/>
      <c r="UFO209"/>
      <c r="UFP209"/>
      <c r="UFQ209"/>
      <c r="UFR209"/>
      <c r="UFS209"/>
      <c r="UFT209"/>
      <c r="UFU209"/>
      <c r="UFV209"/>
      <c r="UFW209"/>
      <c r="UFX209"/>
      <c r="UFY209"/>
      <c r="UFZ209"/>
      <c r="UGA209"/>
      <c r="UGB209"/>
      <c r="UGC209"/>
      <c r="UGD209"/>
      <c r="UGE209"/>
      <c r="UGF209"/>
      <c r="UGG209"/>
      <c r="UGH209"/>
      <c r="UGI209"/>
      <c r="UGJ209"/>
      <c r="UGK209"/>
      <c r="UGL209"/>
      <c r="UGM209"/>
      <c r="UGN209"/>
      <c r="UGO209"/>
      <c r="UGP209"/>
      <c r="UGQ209"/>
      <c r="UGR209"/>
      <c r="UGS209"/>
      <c r="UGT209"/>
      <c r="UGU209"/>
      <c r="UGV209"/>
      <c r="UGW209"/>
      <c r="UGX209"/>
      <c r="UGY209"/>
      <c r="UGZ209"/>
      <c r="UHA209"/>
      <c r="UHB209"/>
      <c r="UHC209"/>
      <c r="UHD209"/>
      <c r="UHE209"/>
      <c r="UHF209"/>
      <c r="UHG209"/>
      <c r="UHH209"/>
      <c r="UHI209"/>
      <c r="UHJ209"/>
      <c r="UHK209"/>
      <c r="UHL209"/>
      <c r="UHM209"/>
      <c r="UHN209"/>
      <c r="UHO209"/>
      <c r="UHP209"/>
      <c r="UHQ209"/>
      <c r="UHR209"/>
      <c r="UHS209"/>
      <c r="UHT209"/>
      <c r="UHU209"/>
      <c r="UHV209"/>
      <c r="UHW209"/>
      <c r="UHX209"/>
      <c r="UHY209"/>
      <c r="UHZ209"/>
      <c r="UIA209"/>
      <c r="UIB209"/>
      <c r="UIC209"/>
      <c r="UID209"/>
      <c r="UIE209"/>
      <c r="UIF209"/>
      <c r="UIG209"/>
      <c r="UIH209"/>
      <c r="UII209"/>
      <c r="UIJ209"/>
      <c r="UIK209"/>
      <c r="UIL209"/>
      <c r="UIM209"/>
      <c r="UIN209"/>
      <c r="UIO209"/>
      <c r="UIP209"/>
      <c r="UIQ209"/>
      <c r="UIR209"/>
      <c r="UIS209"/>
      <c r="UIT209"/>
      <c r="UIU209"/>
      <c r="UIV209"/>
      <c r="UIW209"/>
      <c r="UIX209"/>
      <c r="UIY209"/>
      <c r="UIZ209"/>
      <c r="UJA209"/>
      <c r="UJB209"/>
      <c r="UJC209"/>
      <c r="UJD209"/>
      <c r="UJE209"/>
      <c r="UJF209"/>
      <c r="UJG209"/>
      <c r="UJH209"/>
      <c r="UJI209"/>
      <c r="UJJ209"/>
      <c r="UJK209"/>
      <c r="UJL209"/>
      <c r="UJM209"/>
      <c r="UJN209"/>
      <c r="UJO209"/>
      <c r="UJP209"/>
      <c r="UJQ209"/>
      <c r="UJR209"/>
      <c r="UJS209"/>
      <c r="UJT209"/>
      <c r="UJU209"/>
      <c r="UJV209"/>
      <c r="UJW209"/>
      <c r="UJX209"/>
      <c r="UJY209"/>
      <c r="UJZ209"/>
      <c r="UKA209"/>
      <c r="UKB209"/>
      <c r="UKC209"/>
      <c r="UKD209"/>
      <c r="UKE209"/>
      <c r="UKF209"/>
      <c r="UKG209"/>
      <c r="UKH209"/>
      <c r="UKI209"/>
      <c r="UKJ209"/>
      <c r="UKK209"/>
      <c r="UKL209"/>
      <c r="UKM209"/>
      <c r="UKN209"/>
      <c r="UKO209"/>
      <c r="UKP209"/>
      <c r="UKQ209"/>
      <c r="UKR209"/>
      <c r="UKS209"/>
      <c r="UKT209"/>
      <c r="UKU209"/>
      <c r="UKV209"/>
      <c r="UKW209"/>
      <c r="UKX209"/>
      <c r="UKY209"/>
      <c r="UKZ209"/>
      <c r="ULA209"/>
      <c r="ULB209"/>
      <c r="ULC209"/>
      <c r="ULD209"/>
      <c r="ULE209"/>
      <c r="ULF209"/>
      <c r="ULG209"/>
      <c r="ULH209"/>
      <c r="ULI209"/>
      <c r="ULJ209"/>
      <c r="ULK209"/>
      <c r="ULL209"/>
      <c r="ULM209"/>
      <c r="ULN209"/>
      <c r="ULO209"/>
      <c r="ULP209"/>
      <c r="ULQ209"/>
      <c r="ULR209"/>
      <c r="ULS209"/>
      <c r="ULT209"/>
      <c r="ULU209"/>
      <c r="ULV209"/>
      <c r="ULW209"/>
      <c r="ULX209"/>
      <c r="ULY209"/>
      <c r="ULZ209"/>
      <c r="UMA209"/>
      <c r="UMB209"/>
      <c r="UMC209"/>
      <c r="UMD209"/>
      <c r="UME209"/>
      <c r="UMF209"/>
      <c r="UMG209"/>
      <c r="UMH209"/>
      <c r="UMI209"/>
      <c r="UMJ209"/>
      <c r="UMK209"/>
      <c r="UML209"/>
      <c r="UMM209"/>
      <c r="UMN209"/>
      <c r="UMO209"/>
      <c r="UMP209"/>
      <c r="UMQ209"/>
      <c r="UMR209"/>
      <c r="UMS209"/>
      <c r="UMT209"/>
      <c r="UMU209"/>
      <c r="UMV209"/>
      <c r="UMW209"/>
      <c r="UMX209"/>
      <c r="UMY209"/>
      <c r="UMZ209"/>
      <c r="UNA209"/>
      <c r="UNB209"/>
      <c r="UNC209"/>
      <c r="UND209"/>
      <c r="UNE209"/>
      <c r="UNF209"/>
      <c r="UNG209"/>
      <c r="UNH209"/>
      <c r="UNI209"/>
      <c r="UNJ209"/>
      <c r="UNK209"/>
      <c r="UNL209"/>
      <c r="UNM209"/>
      <c r="UNN209"/>
      <c r="UNO209"/>
      <c r="UNP209"/>
      <c r="UNQ209"/>
      <c r="UNR209"/>
      <c r="UNS209"/>
      <c r="UNT209"/>
      <c r="UNU209"/>
      <c r="UNV209"/>
      <c r="UNW209"/>
      <c r="UNX209"/>
      <c r="UNY209"/>
      <c r="UNZ209"/>
      <c r="UOA209"/>
      <c r="UOB209"/>
      <c r="UOC209"/>
      <c r="UOD209"/>
      <c r="UOE209"/>
      <c r="UOF209"/>
      <c r="UOG209"/>
      <c r="UOH209"/>
      <c r="UOI209"/>
      <c r="UOJ209"/>
      <c r="UOK209"/>
      <c r="UOL209"/>
      <c r="UOM209"/>
      <c r="UON209"/>
      <c r="UOO209"/>
      <c r="UOP209"/>
      <c r="UOQ209"/>
      <c r="UOR209"/>
      <c r="UOS209"/>
      <c r="UOT209"/>
      <c r="UOU209"/>
      <c r="UOV209"/>
      <c r="UOW209"/>
      <c r="UOX209"/>
      <c r="UOY209"/>
      <c r="UOZ209"/>
      <c r="UPA209"/>
      <c r="UPB209"/>
      <c r="UPC209"/>
      <c r="UPD209"/>
      <c r="UPE209"/>
      <c r="UPF209"/>
      <c r="UPG209"/>
      <c r="UPH209"/>
      <c r="UPI209"/>
      <c r="UPJ209"/>
      <c r="UPK209"/>
      <c r="UPL209"/>
      <c r="UPM209"/>
      <c r="UPN209"/>
      <c r="UPO209"/>
      <c r="UPP209"/>
      <c r="UPQ209"/>
      <c r="UPR209"/>
      <c r="UPS209"/>
      <c r="UPT209"/>
      <c r="UPU209"/>
      <c r="UPV209"/>
      <c r="UPW209"/>
      <c r="UPX209"/>
      <c r="UPY209"/>
      <c r="UPZ209"/>
      <c r="UQA209"/>
      <c r="UQB209"/>
      <c r="UQC209"/>
      <c r="UQD209"/>
      <c r="UQE209"/>
      <c r="UQF209"/>
      <c r="UQG209"/>
      <c r="UQH209"/>
      <c r="UQI209"/>
      <c r="UQJ209"/>
      <c r="UQK209"/>
      <c r="UQL209"/>
      <c r="UQM209"/>
      <c r="UQN209"/>
      <c r="UQO209"/>
      <c r="UQP209"/>
      <c r="UQQ209"/>
      <c r="UQR209"/>
      <c r="UQS209"/>
      <c r="UQT209"/>
      <c r="UQU209"/>
      <c r="UQV209"/>
      <c r="UQW209"/>
      <c r="UQX209"/>
      <c r="UQY209"/>
      <c r="UQZ209"/>
      <c r="URA209"/>
      <c r="URB209"/>
      <c r="URC209"/>
      <c r="URD209"/>
      <c r="URE209"/>
      <c r="URF209"/>
      <c r="URG209"/>
      <c r="URH209"/>
      <c r="URI209"/>
      <c r="URJ209"/>
      <c r="URK209"/>
      <c r="URL209"/>
      <c r="URM209"/>
      <c r="URN209"/>
      <c r="URO209"/>
      <c r="URP209"/>
      <c r="URQ209"/>
      <c r="URR209"/>
      <c r="URS209"/>
      <c r="URT209"/>
      <c r="URU209"/>
      <c r="URV209"/>
      <c r="URW209"/>
      <c r="URX209"/>
      <c r="URY209"/>
      <c r="URZ209"/>
      <c r="USA209"/>
      <c r="USB209"/>
      <c r="USC209"/>
      <c r="USD209"/>
      <c r="USE209"/>
      <c r="USF209"/>
      <c r="USG209"/>
      <c r="USH209"/>
      <c r="USI209"/>
      <c r="USJ209"/>
      <c r="USK209"/>
      <c r="USL209"/>
      <c r="USM209"/>
      <c r="USN209"/>
      <c r="USO209"/>
      <c r="USP209"/>
      <c r="USQ209"/>
      <c r="USR209"/>
      <c r="USS209"/>
      <c r="UST209"/>
      <c r="USU209"/>
      <c r="USV209"/>
      <c r="USW209"/>
      <c r="USX209"/>
      <c r="USY209"/>
      <c r="USZ209"/>
      <c r="UTA209"/>
      <c r="UTB209"/>
      <c r="UTC209"/>
      <c r="UTD209"/>
      <c r="UTE209"/>
      <c r="UTF209"/>
      <c r="UTG209"/>
      <c r="UTH209"/>
      <c r="UTI209"/>
      <c r="UTJ209"/>
      <c r="UTK209"/>
      <c r="UTL209"/>
      <c r="UTM209"/>
      <c r="UTN209"/>
      <c r="UTO209"/>
      <c r="UTP209"/>
      <c r="UTQ209"/>
      <c r="UTR209"/>
      <c r="UTS209"/>
      <c r="UTT209"/>
      <c r="UTU209"/>
      <c r="UTV209"/>
      <c r="UTW209"/>
      <c r="UTX209"/>
      <c r="UTY209"/>
      <c r="UTZ209"/>
      <c r="UUA209"/>
      <c r="UUB209"/>
      <c r="UUC209"/>
      <c r="UUD209"/>
      <c r="UUE209"/>
      <c r="UUF209"/>
      <c r="UUG209"/>
      <c r="UUH209"/>
      <c r="UUI209"/>
      <c r="UUJ209"/>
      <c r="UUK209"/>
      <c r="UUL209"/>
      <c r="UUM209"/>
      <c r="UUN209"/>
      <c r="UUO209"/>
      <c r="UUP209"/>
      <c r="UUQ209"/>
      <c r="UUR209"/>
      <c r="UUS209"/>
      <c r="UUT209"/>
      <c r="UUU209"/>
      <c r="UUV209"/>
      <c r="UUW209"/>
      <c r="UUX209"/>
      <c r="UUY209"/>
      <c r="UUZ209"/>
      <c r="UVA209"/>
      <c r="UVB209"/>
      <c r="UVC209"/>
      <c r="UVD209"/>
      <c r="UVE209"/>
      <c r="UVF209"/>
      <c r="UVG209"/>
      <c r="UVH209"/>
      <c r="UVI209"/>
      <c r="UVJ209"/>
      <c r="UVK209"/>
      <c r="UVL209"/>
      <c r="UVM209"/>
      <c r="UVN209"/>
      <c r="UVO209"/>
      <c r="UVP209"/>
      <c r="UVQ209"/>
      <c r="UVR209"/>
      <c r="UVS209"/>
      <c r="UVT209"/>
      <c r="UVU209"/>
      <c r="UVV209"/>
      <c r="UVW209"/>
      <c r="UVX209"/>
      <c r="UVY209"/>
      <c r="UVZ209"/>
      <c r="UWA209"/>
      <c r="UWB209"/>
      <c r="UWC209"/>
      <c r="UWD209"/>
      <c r="UWE209"/>
      <c r="UWF209"/>
      <c r="UWG209"/>
      <c r="UWH209"/>
      <c r="UWI209"/>
      <c r="UWJ209"/>
      <c r="UWK209"/>
      <c r="UWL209"/>
      <c r="UWM209"/>
      <c r="UWN209"/>
      <c r="UWO209"/>
      <c r="UWP209"/>
      <c r="UWQ209"/>
      <c r="UWR209"/>
      <c r="UWS209"/>
      <c r="UWT209"/>
      <c r="UWU209"/>
      <c r="UWV209"/>
      <c r="UWW209"/>
      <c r="UWX209"/>
      <c r="UWY209"/>
      <c r="UWZ209"/>
      <c r="UXA209"/>
      <c r="UXB209"/>
      <c r="UXC209"/>
      <c r="UXD209"/>
      <c r="UXE209"/>
      <c r="UXF209"/>
      <c r="UXG209"/>
      <c r="UXH209"/>
      <c r="UXI209"/>
      <c r="UXJ209"/>
      <c r="UXK209"/>
      <c r="UXL209"/>
      <c r="UXM209"/>
      <c r="UXN209"/>
      <c r="UXO209"/>
      <c r="UXP209"/>
      <c r="UXQ209"/>
      <c r="UXR209"/>
      <c r="UXS209"/>
      <c r="UXT209"/>
      <c r="UXU209"/>
      <c r="UXV209"/>
      <c r="UXW209"/>
      <c r="UXX209"/>
      <c r="UXY209"/>
      <c r="UXZ209"/>
      <c r="UYA209"/>
      <c r="UYB209"/>
      <c r="UYC209"/>
      <c r="UYD209"/>
      <c r="UYE209"/>
      <c r="UYF209"/>
      <c r="UYG209"/>
      <c r="UYH209"/>
      <c r="UYI209"/>
      <c r="UYJ209"/>
      <c r="UYK209"/>
      <c r="UYL209"/>
      <c r="UYM209"/>
      <c r="UYN209"/>
      <c r="UYO209"/>
      <c r="UYP209"/>
      <c r="UYQ209"/>
      <c r="UYR209"/>
      <c r="UYS209"/>
      <c r="UYT209"/>
      <c r="UYU209"/>
      <c r="UYV209"/>
      <c r="UYW209"/>
      <c r="UYX209"/>
      <c r="UYY209"/>
      <c r="UYZ209"/>
      <c r="UZA209"/>
      <c r="UZB209"/>
      <c r="UZC209"/>
      <c r="UZD209"/>
      <c r="UZE209"/>
      <c r="UZF209"/>
      <c r="UZG209"/>
      <c r="UZH209"/>
      <c r="UZI209"/>
      <c r="UZJ209"/>
      <c r="UZK209"/>
      <c r="UZL209"/>
      <c r="UZM209"/>
      <c r="UZN209"/>
      <c r="UZO209"/>
      <c r="UZP209"/>
      <c r="UZQ209"/>
      <c r="UZR209"/>
      <c r="UZS209"/>
      <c r="UZT209"/>
      <c r="UZU209"/>
      <c r="UZV209"/>
      <c r="UZW209"/>
      <c r="UZX209"/>
      <c r="UZY209"/>
      <c r="UZZ209"/>
      <c r="VAA209"/>
      <c r="VAB209"/>
      <c r="VAC209"/>
      <c r="VAD209"/>
      <c r="VAE209"/>
      <c r="VAF209"/>
      <c r="VAG209"/>
      <c r="VAH209"/>
      <c r="VAI209"/>
      <c r="VAJ209"/>
      <c r="VAK209"/>
      <c r="VAL209"/>
      <c r="VAM209"/>
      <c r="VAN209"/>
      <c r="VAO209"/>
      <c r="VAP209"/>
      <c r="VAQ209"/>
      <c r="VAR209"/>
      <c r="VAS209"/>
      <c r="VAT209"/>
      <c r="VAU209"/>
      <c r="VAV209"/>
      <c r="VAW209"/>
      <c r="VAX209"/>
      <c r="VAY209"/>
      <c r="VAZ209"/>
      <c r="VBA209"/>
      <c r="VBB209"/>
      <c r="VBC209"/>
      <c r="VBD209"/>
      <c r="VBE209"/>
      <c r="VBF209"/>
      <c r="VBG209"/>
      <c r="VBH209"/>
      <c r="VBI209"/>
      <c r="VBJ209"/>
      <c r="VBK209"/>
      <c r="VBL209"/>
      <c r="VBM209"/>
      <c r="VBN209"/>
      <c r="VBO209"/>
      <c r="VBP209"/>
      <c r="VBQ209"/>
      <c r="VBR209"/>
      <c r="VBS209"/>
      <c r="VBT209"/>
      <c r="VBU209"/>
      <c r="VBV209"/>
      <c r="VBW209"/>
      <c r="VBX209"/>
      <c r="VBY209"/>
      <c r="VBZ209"/>
      <c r="VCA209"/>
      <c r="VCB209"/>
      <c r="VCC209"/>
      <c r="VCD209"/>
      <c r="VCE209"/>
      <c r="VCF209"/>
      <c r="VCG209"/>
      <c r="VCH209"/>
      <c r="VCI209"/>
      <c r="VCJ209"/>
      <c r="VCK209"/>
      <c r="VCL209"/>
      <c r="VCM209"/>
      <c r="VCN209"/>
      <c r="VCO209"/>
      <c r="VCP209"/>
      <c r="VCQ209"/>
      <c r="VCR209"/>
      <c r="VCS209"/>
      <c r="VCT209"/>
      <c r="VCU209"/>
      <c r="VCV209"/>
      <c r="VCW209"/>
      <c r="VCX209"/>
      <c r="VCY209"/>
      <c r="VCZ209"/>
      <c r="VDA209"/>
      <c r="VDB209"/>
      <c r="VDC209"/>
      <c r="VDD209"/>
      <c r="VDE209"/>
      <c r="VDF209"/>
      <c r="VDG209"/>
      <c r="VDH209"/>
      <c r="VDI209"/>
      <c r="VDJ209"/>
      <c r="VDK209"/>
      <c r="VDL209"/>
      <c r="VDM209"/>
      <c r="VDN209"/>
      <c r="VDO209"/>
      <c r="VDP209"/>
      <c r="VDQ209"/>
      <c r="VDR209"/>
      <c r="VDS209"/>
      <c r="VDT209"/>
      <c r="VDU209"/>
      <c r="VDV209"/>
      <c r="VDW209"/>
      <c r="VDX209"/>
      <c r="VDY209"/>
      <c r="VDZ209"/>
      <c r="VEA209"/>
      <c r="VEB209"/>
      <c r="VEC209"/>
      <c r="VED209"/>
      <c r="VEE209"/>
      <c r="VEF209"/>
      <c r="VEG209"/>
      <c r="VEH209"/>
      <c r="VEI209"/>
      <c r="VEJ209"/>
      <c r="VEK209"/>
      <c r="VEL209"/>
      <c r="VEM209"/>
      <c r="VEN209"/>
      <c r="VEO209"/>
      <c r="VEP209"/>
      <c r="VEQ209"/>
      <c r="VER209"/>
      <c r="VES209"/>
      <c r="VET209"/>
      <c r="VEU209"/>
      <c r="VEV209"/>
      <c r="VEW209"/>
      <c r="VEX209"/>
      <c r="VEY209"/>
      <c r="VEZ209"/>
      <c r="VFA209"/>
      <c r="VFB209"/>
      <c r="VFC209"/>
      <c r="VFD209"/>
      <c r="VFE209"/>
      <c r="VFF209"/>
      <c r="VFG209"/>
      <c r="VFH209"/>
      <c r="VFI209"/>
      <c r="VFJ209"/>
      <c r="VFK209"/>
      <c r="VFL209"/>
      <c r="VFM209"/>
      <c r="VFN209"/>
      <c r="VFO209"/>
      <c r="VFP209"/>
      <c r="VFQ209"/>
      <c r="VFR209"/>
      <c r="VFS209"/>
      <c r="VFT209"/>
      <c r="VFU209"/>
      <c r="VFV209"/>
      <c r="VFW209"/>
      <c r="VFX209"/>
      <c r="VFY209"/>
      <c r="VFZ209"/>
      <c r="VGA209"/>
      <c r="VGB209"/>
      <c r="VGC209"/>
      <c r="VGD209"/>
      <c r="VGE209"/>
      <c r="VGF209"/>
      <c r="VGG209"/>
      <c r="VGH209"/>
      <c r="VGI209"/>
      <c r="VGJ209"/>
      <c r="VGK209"/>
      <c r="VGL209"/>
      <c r="VGM209"/>
      <c r="VGN209"/>
      <c r="VGO209"/>
      <c r="VGP209"/>
      <c r="VGQ209"/>
      <c r="VGR209"/>
      <c r="VGS209"/>
      <c r="VGT209"/>
      <c r="VGU209"/>
      <c r="VGV209"/>
      <c r="VGW209"/>
      <c r="VGX209"/>
      <c r="VGY209"/>
      <c r="VGZ209"/>
      <c r="VHA209"/>
      <c r="VHB209"/>
      <c r="VHC209"/>
      <c r="VHD209"/>
      <c r="VHE209"/>
      <c r="VHF209"/>
      <c r="VHG209"/>
      <c r="VHH209"/>
      <c r="VHI209"/>
      <c r="VHJ209"/>
      <c r="VHK209"/>
      <c r="VHL209"/>
      <c r="VHM209"/>
      <c r="VHN209"/>
      <c r="VHO209"/>
      <c r="VHP209"/>
      <c r="VHQ209"/>
      <c r="VHR209"/>
      <c r="VHS209"/>
      <c r="VHT209"/>
      <c r="VHU209"/>
      <c r="VHV209"/>
      <c r="VHW209"/>
      <c r="VHX209"/>
      <c r="VHY209"/>
      <c r="VHZ209"/>
      <c r="VIA209"/>
      <c r="VIB209"/>
      <c r="VIC209"/>
      <c r="VID209"/>
      <c r="VIE209"/>
      <c r="VIF209"/>
      <c r="VIG209"/>
      <c r="VIH209"/>
      <c r="VII209"/>
      <c r="VIJ209"/>
      <c r="VIK209"/>
      <c r="VIL209"/>
      <c r="VIM209"/>
      <c r="VIN209"/>
      <c r="VIO209"/>
      <c r="VIP209"/>
      <c r="VIQ209"/>
      <c r="VIR209"/>
      <c r="VIS209"/>
      <c r="VIT209"/>
      <c r="VIU209"/>
      <c r="VIV209"/>
      <c r="VIW209"/>
      <c r="VIX209"/>
      <c r="VIY209"/>
      <c r="VIZ209"/>
      <c r="VJA209"/>
      <c r="VJB209"/>
      <c r="VJC209"/>
      <c r="VJD209"/>
      <c r="VJE209"/>
      <c r="VJF209"/>
      <c r="VJG209"/>
      <c r="VJH209"/>
      <c r="VJI209"/>
      <c r="VJJ209"/>
      <c r="VJK209"/>
      <c r="VJL209"/>
      <c r="VJM209"/>
      <c r="VJN209"/>
      <c r="VJO209"/>
      <c r="VJP209"/>
      <c r="VJQ209"/>
      <c r="VJR209"/>
      <c r="VJS209"/>
      <c r="VJT209"/>
      <c r="VJU209"/>
      <c r="VJV209"/>
      <c r="VJW209"/>
      <c r="VJX209"/>
      <c r="VJY209"/>
      <c r="VJZ209"/>
      <c r="VKA209"/>
      <c r="VKB209"/>
      <c r="VKC209"/>
      <c r="VKD209"/>
      <c r="VKE209"/>
      <c r="VKF209"/>
      <c r="VKG209"/>
      <c r="VKH209"/>
      <c r="VKI209"/>
      <c r="VKJ209"/>
      <c r="VKK209"/>
      <c r="VKL209"/>
      <c r="VKM209"/>
      <c r="VKN209"/>
      <c r="VKO209"/>
      <c r="VKP209"/>
      <c r="VKQ209"/>
      <c r="VKR209"/>
      <c r="VKS209"/>
      <c r="VKT209"/>
      <c r="VKU209"/>
      <c r="VKV209"/>
      <c r="VKW209"/>
      <c r="VKX209"/>
      <c r="VKY209"/>
      <c r="VKZ209"/>
      <c r="VLA209"/>
      <c r="VLB209"/>
      <c r="VLC209"/>
      <c r="VLD209"/>
      <c r="VLE209"/>
      <c r="VLF209"/>
      <c r="VLG209"/>
      <c r="VLH209"/>
      <c r="VLI209"/>
      <c r="VLJ209"/>
      <c r="VLK209"/>
      <c r="VLL209"/>
      <c r="VLM209"/>
      <c r="VLN209"/>
      <c r="VLO209"/>
      <c r="VLP209"/>
      <c r="VLQ209"/>
      <c r="VLR209"/>
      <c r="VLS209"/>
      <c r="VLT209"/>
      <c r="VLU209"/>
      <c r="VLV209"/>
      <c r="VLW209"/>
      <c r="VLX209"/>
      <c r="VLY209"/>
      <c r="VLZ209"/>
      <c r="VMA209"/>
      <c r="VMB209"/>
      <c r="VMC209"/>
      <c r="VMD209"/>
      <c r="VME209"/>
      <c r="VMF209"/>
      <c r="VMG209"/>
      <c r="VMH209"/>
      <c r="VMI209"/>
      <c r="VMJ209"/>
      <c r="VMK209"/>
      <c r="VML209"/>
      <c r="VMM209"/>
      <c r="VMN209"/>
      <c r="VMO209"/>
      <c r="VMP209"/>
      <c r="VMQ209"/>
      <c r="VMR209"/>
      <c r="VMS209"/>
      <c r="VMT209"/>
      <c r="VMU209"/>
      <c r="VMV209"/>
      <c r="VMW209"/>
      <c r="VMX209"/>
      <c r="VMY209"/>
      <c r="VMZ209"/>
      <c r="VNA209"/>
      <c r="VNB209"/>
      <c r="VNC209"/>
      <c r="VND209"/>
      <c r="VNE209"/>
      <c r="VNF209"/>
      <c r="VNG209"/>
      <c r="VNH209"/>
      <c r="VNI209"/>
      <c r="VNJ209"/>
      <c r="VNK209"/>
      <c r="VNL209"/>
      <c r="VNM209"/>
      <c r="VNN209"/>
      <c r="VNO209"/>
      <c r="VNP209"/>
      <c r="VNQ209"/>
      <c r="VNR209"/>
      <c r="VNS209"/>
      <c r="VNT209"/>
      <c r="VNU209"/>
      <c r="VNV209"/>
      <c r="VNW209"/>
      <c r="VNX209"/>
      <c r="VNY209"/>
      <c r="VNZ209"/>
      <c r="VOA209"/>
      <c r="VOB209"/>
      <c r="VOC209"/>
      <c r="VOD209"/>
      <c r="VOE209"/>
      <c r="VOF209"/>
      <c r="VOG209"/>
      <c r="VOH209"/>
      <c r="VOI209"/>
      <c r="VOJ209"/>
      <c r="VOK209"/>
      <c r="VOL209"/>
      <c r="VOM209"/>
      <c r="VON209"/>
      <c r="VOO209"/>
      <c r="VOP209"/>
      <c r="VOQ209"/>
      <c r="VOR209"/>
      <c r="VOS209"/>
      <c r="VOT209"/>
      <c r="VOU209"/>
      <c r="VOV209"/>
      <c r="VOW209"/>
      <c r="VOX209"/>
      <c r="VOY209"/>
      <c r="VOZ209"/>
      <c r="VPA209"/>
      <c r="VPB209"/>
      <c r="VPC209"/>
      <c r="VPD209"/>
      <c r="VPE209"/>
      <c r="VPF209"/>
      <c r="VPG209"/>
      <c r="VPH209"/>
      <c r="VPI209"/>
      <c r="VPJ209"/>
      <c r="VPK209"/>
      <c r="VPL209"/>
      <c r="VPM209"/>
      <c r="VPN209"/>
      <c r="VPO209"/>
      <c r="VPP209"/>
      <c r="VPQ209"/>
      <c r="VPR209"/>
      <c r="VPS209"/>
      <c r="VPT209"/>
      <c r="VPU209"/>
      <c r="VPV209"/>
      <c r="VPW209"/>
      <c r="VPX209"/>
      <c r="VPY209"/>
      <c r="VPZ209"/>
      <c r="VQA209"/>
      <c r="VQB209"/>
      <c r="VQC209"/>
      <c r="VQD209"/>
      <c r="VQE209"/>
      <c r="VQF209"/>
      <c r="VQG209"/>
      <c r="VQH209"/>
      <c r="VQI209"/>
      <c r="VQJ209"/>
      <c r="VQK209"/>
      <c r="VQL209"/>
      <c r="VQM209"/>
      <c r="VQN209"/>
      <c r="VQO209"/>
      <c r="VQP209"/>
      <c r="VQQ209"/>
      <c r="VQR209"/>
      <c r="VQS209"/>
      <c r="VQT209"/>
      <c r="VQU209"/>
      <c r="VQV209"/>
      <c r="VQW209"/>
      <c r="VQX209"/>
      <c r="VQY209"/>
      <c r="VQZ209"/>
      <c r="VRA209"/>
      <c r="VRB209"/>
      <c r="VRC209"/>
      <c r="VRD209"/>
      <c r="VRE209"/>
      <c r="VRF209"/>
      <c r="VRG209"/>
      <c r="VRH209"/>
      <c r="VRI209"/>
      <c r="VRJ209"/>
      <c r="VRK209"/>
      <c r="VRL209"/>
      <c r="VRM209"/>
      <c r="VRN209"/>
      <c r="VRO209"/>
      <c r="VRP209"/>
      <c r="VRQ209"/>
      <c r="VRR209"/>
      <c r="VRS209"/>
      <c r="VRT209"/>
      <c r="VRU209"/>
      <c r="VRV209"/>
      <c r="VRW209"/>
      <c r="VRX209"/>
      <c r="VRY209"/>
      <c r="VRZ209"/>
      <c r="VSA209"/>
      <c r="VSB209"/>
      <c r="VSC209"/>
      <c r="VSD209"/>
      <c r="VSE209"/>
      <c r="VSF209"/>
      <c r="VSG209"/>
      <c r="VSH209"/>
      <c r="VSI209"/>
      <c r="VSJ209"/>
      <c r="VSK209"/>
      <c r="VSL209"/>
      <c r="VSM209"/>
      <c r="VSN209"/>
      <c r="VSO209"/>
      <c r="VSP209"/>
      <c r="VSQ209"/>
      <c r="VSR209"/>
      <c r="VSS209"/>
      <c r="VST209"/>
      <c r="VSU209"/>
      <c r="VSV209"/>
      <c r="VSW209"/>
      <c r="VSX209"/>
      <c r="VSY209"/>
      <c r="VSZ209"/>
      <c r="VTA209"/>
      <c r="VTB209"/>
      <c r="VTC209"/>
      <c r="VTD209"/>
      <c r="VTE209"/>
      <c r="VTF209"/>
      <c r="VTG209"/>
      <c r="VTH209"/>
      <c r="VTI209"/>
      <c r="VTJ209"/>
      <c r="VTK209"/>
      <c r="VTL209"/>
      <c r="VTM209"/>
      <c r="VTN209"/>
      <c r="VTO209"/>
      <c r="VTP209"/>
      <c r="VTQ209"/>
      <c r="VTR209"/>
      <c r="VTS209"/>
      <c r="VTT209"/>
      <c r="VTU209"/>
      <c r="VTV209"/>
      <c r="VTW209"/>
      <c r="VTX209"/>
      <c r="VTY209"/>
      <c r="VTZ209"/>
      <c r="VUA209"/>
      <c r="VUB209"/>
      <c r="VUC209"/>
      <c r="VUD209"/>
      <c r="VUE209"/>
      <c r="VUF209"/>
      <c r="VUG209"/>
      <c r="VUH209"/>
      <c r="VUI209"/>
      <c r="VUJ209"/>
      <c r="VUK209"/>
      <c r="VUL209"/>
      <c r="VUM209"/>
      <c r="VUN209"/>
      <c r="VUO209"/>
      <c r="VUP209"/>
      <c r="VUQ209"/>
      <c r="VUR209"/>
      <c r="VUS209"/>
      <c r="VUT209"/>
      <c r="VUU209"/>
      <c r="VUV209"/>
      <c r="VUW209"/>
      <c r="VUX209"/>
      <c r="VUY209"/>
      <c r="VUZ209"/>
      <c r="VVA209"/>
      <c r="VVB209"/>
      <c r="VVC209"/>
      <c r="VVD209"/>
      <c r="VVE209"/>
      <c r="VVF209"/>
      <c r="VVG209"/>
      <c r="VVH209"/>
      <c r="VVI209"/>
      <c r="VVJ209"/>
      <c r="VVK209"/>
      <c r="VVL209"/>
      <c r="VVM209"/>
      <c r="VVN209"/>
      <c r="VVO209"/>
      <c r="VVP209"/>
      <c r="VVQ209"/>
      <c r="VVR209"/>
      <c r="VVS209"/>
      <c r="VVT209"/>
      <c r="VVU209"/>
      <c r="VVV209"/>
      <c r="VVW209"/>
      <c r="VVX209"/>
      <c r="VVY209"/>
      <c r="VVZ209"/>
      <c r="VWA209"/>
      <c r="VWB209"/>
      <c r="VWC209"/>
      <c r="VWD209"/>
      <c r="VWE209"/>
      <c r="VWF209"/>
      <c r="VWG209"/>
      <c r="VWH209"/>
      <c r="VWI209"/>
      <c r="VWJ209"/>
      <c r="VWK209"/>
      <c r="VWL209"/>
      <c r="VWM209"/>
      <c r="VWN209"/>
      <c r="VWO209"/>
      <c r="VWP209"/>
      <c r="VWQ209"/>
      <c r="VWR209"/>
      <c r="VWS209"/>
      <c r="VWT209"/>
      <c r="VWU209"/>
      <c r="VWV209"/>
      <c r="VWW209"/>
      <c r="VWX209"/>
      <c r="VWY209"/>
      <c r="VWZ209"/>
      <c r="VXA209"/>
      <c r="VXB209"/>
      <c r="VXC209"/>
      <c r="VXD209"/>
      <c r="VXE209"/>
      <c r="VXF209"/>
      <c r="VXG209"/>
      <c r="VXH209"/>
      <c r="VXI209"/>
      <c r="VXJ209"/>
      <c r="VXK209"/>
      <c r="VXL209"/>
      <c r="VXM209"/>
      <c r="VXN209"/>
      <c r="VXO209"/>
      <c r="VXP209"/>
      <c r="VXQ209"/>
      <c r="VXR209"/>
      <c r="VXS209"/>
      <c r="VXT209"/>
      <c r="VXU209"/>
      <c r="VXV209"/>
      <c r="VXW209"/>
      <c r="VXX209"/>
      <c r="VXY209"/>
      <c r="VXZ209"/>
      <c r="VYA209"/>
      <c r="VYB209"/>
      <c r="VYC209"/>
      <c r="VYD209"/>
      <c r="VYE209"/>
      <c r="VYF209"/>
      <c r="VYG209"/>
      <c r="VYH209"/>
      <c r="VYI209"/>
      <c r="VYJ209"/>
      <c r="VYK209"/>
      <c r="VYL209"/>
      <c r="VYM209"/>
      <c r="VYN209"/>
      <c r="VYO209"/>
      <c r="VYP209"/>
      <c r="VYQ209"/>
      <c r="VYR209"/>
      <c r="VYS209"/>
      <c r="VYT209"/>
      <c r="VYU209"/>
      <c r="VYV209"/>
      <c r="VYW209"/>
      <c r="VYX209"/>
      <c r="VYY209"/>
      <c r="VYZ209"/>
      <c r="VZA209"/>
      <c r="VZB209"/>
      <c r="VZC209"/>
      <c r="VZD209"/>
      <c r="VZE209"/>
      <c r="VZF209"/>
      <c r="VZG209"/>
      <c r="VZH209"/>
      <c r="VZI209"/>
      <c r="VZJ209"/>
      <c r="VZK209"/>
      <c r="VZL209"/>
      <c r="VZM209"/>
      <c r="VZN209"/>
      <c r="VZO209"/>
      <c r="VZP209"/>
      <c r="VZQ209"/>
      <c r="VZR209"/>
      <c r="VZS209"/>
      <c r="VZT209"/>
      <c r="VZU209"/>
      <c r="VZV209"/>
      <c r="VZW209"/>
      <c r="VZX209"/>
      <c r="VZY209"/>
      <c r="VZZ209"/>
      <c r="WAA209"/>
      <c r="WAB209"/>
      <c r="WAC209"/>
      <c r="WAD209"/>
      <c r="WAE209"/>
      <c r="WAF209"/>
      <c r="WAG209"/>
      <c r="WAH209"/>
      <c r="WAI209"/>
      <c r="WAJ209"/>
      <c r="WAK209"/>
      <c r="WAL209"/>
      <c r="WAM209"/>
      <c r="WAN209"/>
      <c r="WAO209"/>
      <c r="WAP209"/>
      <c r="WAQ209"/>
      <c r="WAR209"/>
      <c r="WAS209"/>
      <c r="WAT209"/>
      <c r="WAU209"/>
      <c r="WAV209"/>
      <c r="WAW209"/>
      <c r="WAX209"/>
      <c r="WAY209"/>
      <c r="WAZ209"/>
      <c r="WBA209"/>
      <c r="WBB209"/>
      <c r="WBC209"/>
      <c r="WBD209"/>
      <c r="WBE209"/>
      <c r="WBF209"/>
      <c r="WBG209"/>
      <c r="WBH209"/>
      <c r="WBI209"/>
      <c r="WBJ209"/>
      <c r="WBK209"/>
      <c r="WBL209"/>
      <c r="WBM209"/>
      <c r="WBN209"/>
      <c r="WBO209"/>
      <c r="WBP209"/>
      <c r="WBQ209"/>
      <c r="WBR209"/>
      <c r="WBS209"/>
      <c r="WBT209"/>
      <c r="WBU209"/>
      <c r="WBV209"/>
      <c r="WBW209"/>
      <c r="WBX209"/>
      <c r="WBY209"/>
      <c r="WBZ209"/>
      <c r="WCA209"/>
      <c r="WCB209"/>
      <c r="WCC209"/>
      <c r="WCD209"/>
      <c r="WCE209"/>
      <c r="WCF209"/>
      <c r="WCG209"/>
      <c r="WCH209"/>
      <c r="WCI209"/>
      <c r="WCJ209"/>
      <c r="WCK209"/>
      <c r="WCL209"/>
      <c r="WCM209"/>
      <c r="WCN209"/>
      <c r="WCO209"/>
      <c r="WCP209"/>
      <c r="WCQ209"/>
      <c r="WCR209"/>
      <c r="WCS209"/>
      <c r="WCT209"/>
      <c r="WCU209"/>
      <c r="WCV209"/>
      <c r="WCW209"/>
      <c r="WCX209"/>
      <c r="WCY209"/>
      <c r="WCZ209"/>
      <c r="WDA209"/>
      <c r="WDB209"/>
      <c r="WDC209"/>
      <c r="WDD209"/>
      <c r="WDE209"/>
      <c r="WDF209"/>
      <c r="WDG209"/>
      <c r="WDH209"/>
      <c r="WDI209"/>
      <c r="WDJ209"/>
      <c r="WDK209"/>
      <c r="WDL209"/>
      <c r="WDM209"/>
      <c r="WDN209"/>
      <c r="WDO209"/>
      <c r="WDP209"/>
      <c r="WDQ209"/>
      <c r="WDR209"/>
      <c r="WDS209"/>
      <c r="WDT209"/>
      <c r="WDU209"/>
      <c r="WDV209"/>
      <c r="WDW209"/>
      <c r="WDX209"/>
      <c r="WDY209"/>
      <c r="WDZ209"/>
      <c r="WEA209"/>
      <c r="WEB209"/>
      <c r="WEC209"/>
      <c r="WED209"/>
      <c r="WEE209"/>
      <c r="WEF209"/>
      <c r="WEG209"/>
      <c r="WEH209"/>
      <c r="WEI209"/>
      <c r="WEJ209"/>
      <c r="WEK209"/>
      <c r="WEL209"/>
      <c r="WEM209"/>
      <c r="WEN209"/>
      <c r="WEO209"/>
      <c r="WEP209"/>
      <c r="WEQ209"/>
      <c r="WER209"/>
      <c r="WES209"/>
      <c r="WET209"/>
      <c r="WEU209"/>
      <c r="WEV209"/>
      <c r="WEW209"/>
      <c r="WEX209"/>
      <c r="WEY209"/>
      <c r="WEZ209"/>
      <c r="WFA209"/>
      <c r="WFB209"/>
      <c r="WFC209"/>
      <c r="WFD209"/>
      <c r="WFE209"/>
      <c r="WFF209"/>
      <c r="WFG209"/>
      <c r="WFH209"/>
      <c r="WFI209"/>
      <c r="WFJ209"/>
      <c r="WFK209"/>
      <c r="WFL209"/>
      <c r="WFM209"/>
      <c r="WFN209"/>
      <c r="WFO209"/>
      <c r="WFP209"/>
      <c r="WFQ209"/>
      <c r="WFR209"/>
      <c r="WFS209"/>
      <c r="WFT209"/>
      <c r="WFU209"/>
      <c r="WFV209"/>
      <c r="WFW209"/>
      <c r="WFX209"/>
      <c r="WFY209"/>
      <c r="WFZ209"/>
      <c r="WGA209"/>
      <c r="WGB209"/>
      <c r="WGC209"/>
      <c r="WGD209"/>
      <c r="WGE209"/>
      <c r="WGF209"/>
      <c r="WGG209"/>
      <c r="WGH209"/>
      <c r="WGI209"/>
      <c r="WGJ209"/>
      <c r="WGK209"/>
      <c r="WGL209"/>
      <c r="WGM209"/>
      <c r="WGN209"/>
      <c r="WGO209"/>
      <c r="WGP209"/>
      <c r="WGQ209"/>
      <c r="WGR209"/>
      <c r="WGS209"/>
      <c r="WGT209"/>
      <c r="WGU209"/>
      <c r="WGV209"/>
      <c r="WGW209"/>
      <c r="WGX209"/>
      <c r="WGY209"/>
      <c r="WGZ209"/>
      <c r="WHA209"/>
      <c r="WHB209"/>
      <c r="WHC209"/>
      <c r="WHD209"/>
      <c r="WHE209"/>
      <c r="WHF209"/>
      <c r="WHG209"/>
      <c r="WHH209"/>
      <c r="WHI209"/>
      <c r="WHJ209"/>
      <c r="WHK209"/>
      <c r="WHL209"/>
      <c r="WHM209"/>
      <c r="WHN209"/>
      <c r="WHO209"/>
      <c r="WHP209"/>
      <c r="WHQ209"/>
      <c r="WHR209"/>
      <c r="WHS209"/>
      <c r="WHT209"/>
      <c r="WHU209"/>
      <c r="WHV209"/>
      <c r="WHW209"/>
      <c r="WHX209"/>
      <c r="WHY209"/>
      <c r="WHZ209"/>
      <c r="WIA209"/>
      <c r="WIB209"/>
      <c r="WIC209"/>
      <c r="WID209"/>
      <c r="WIE209"/>
      <c r="WIF209"/>
      <c r="WIG209"/>
      <c r="WIH209"/>
      <c r="WII209"/>
      <c r="WIJ209"/>
      <c r="WIK209"/>
      <c r="WIL209"/>
      <c r="WIM209"/>
      <c r="WIN209"/>
      <c r="WIO209"/>
      <c r="WIP209"/>
      <c r="WIQ209"/>
      <c r="WIR209"/>
      <c r="WIS209"/>
      <c r="WIT209"/>
      <c r="WIU209"/>
      <c r="WIV209"/>
      <c r="WIW209"/>
      <c r="WIX209"/>
      <c r="WIY209"/>
      <c r="WIZ209"/>
      <c r="WJA209"/>
      <c r="WJB209"/>
      <c r="WJC209"/>
      <c r="WJD209"/>
      <c r="WJE209"/>
      <c r="WJF209"/>
      <c r="WJG209"/>
      <c r="WJH209"/>
      <c r="WJI209"/>
      <c r="WJJ209"/>
      <c r="WJK209"/>
      <c r="WJL209"/>
      <c r="WJM209"/>
      <c r="WJN209"/>
      <c r="WJO209"/>
      <c r="WJP209"/>
      <c r="WJQ209"/>
      <c r="WJR209"/>
      <c r="WJS209"/>
      <c r="WJT209"/>
      <c r="WJU209"/>
      <c r="WJV209"/>
      <c r="WJW209"/>
      <c r="WJX209"/>
      <c r="WJY209"/>
      <c r="WJZ209"/>
      <c r="WKA209"/>
      <c r="WKB209"/>
      <c r="WKC209"/>
      <c r="WKD209"/>
      <c r="WKE209"/>
      <c r="WKF209"/>
      <c r="WKG209"/>
      <c r="WKH209"/>
      <c r="WKI209"/>
      <c r="WKJ209"/>
      <c r="WKK209"/>
      <c r="WKL209"/>
      <c r="WKM209"/>
      <c r="WKN209"/>
      <c r="WKO209"/>
      <c r="WKP209"/>
      <c r="WKQ209"/>
      <c r="WKR209"/>
      <c r="WKS209"/>
      <c r="WKT209"/>
      <c r="WKU209"/>
      <c r="WKV209"/>
      <c r="WKW209"/>
      <c r="WKX209"/>
      <c r="WKY209"/>
      <c r="WKZ209"/>
      <c r="WLA209"/>
      <c r="WLB209"/>
      <c r="WLC209"/>
      <c r="WLD209"/>
      <c r="WLE209"/>
      <c r="WLF209"/>
      <c r="WLG209"/>
      <c r="WLH209"/>
      <c r="WLI209"/>
      <c r="WLJ209"/>
      <c r="WLK209"/>
      <c r="WLL209"/>
      <c r="WLM209"/>
      <c r="WLN209"/>
      <c r="WLO209"/>
      <c r="WLP209"/>
      <c r="WLQ209"/>
      <c r="WLR209"/>
      <c r="WLS209"/>
      <c r="WLT209"/>
      <c r="WLU209"/>
      <c r="WLV209"/>
      <c r="WLW209"/>
      <c r="WLX209"/>
      <c r="WLY209"/>
      <c r="WLZ209"/>
      <c r="WMA209"/>
      <c r="WMB209"/>
      <c r="WMC209"/>
      <c r="WMD209"/>
      <c r="WME209"/>
      <c r="WMF209"/>
      <c r="WMG209"/>
      <c r="WMH209"/>
      <c r="WMI209"/>
      <c r="WMJ209"/>
      <c r="WMK209"/>
      <c r="WML209"/>
      <c r="WMM209"/>
      <c r="WMN209"/>
      <c r="WMO209"/>
      <c r="WMP209"/>
      <c r="WMQ209"/>
      <c r="WMR209"/>
      <c r="WMS209"/>
      <c r="WMT209"/>
      <c r="WMU209"/>
      <c r="WMV209"/>
      <c r="WMW209"/>
      <c r="WMX209"/>
      <c r="WMY209"/>
      <c r="WMZ209"/>
      <c r="WNA209"/>
      <c r="WNB209"/>
      <c r="WNC209"/>
      <c r="WND209"/>
      <c r="WNE209"/>
      <c r="WNF209"/>
      <c r="WNG209"/>
      <c r="WNH209"/>
      <c r="WNI209"/>
      <c r="WNJ209"/>
      <c r="WNK209"/>
      <c r="WNL209"/>
      <c r="WNM209"/>
      <c r="WNN209"/>
      <c r="WNO209"/>
      <c r="WNP209"/>
      <c r="WNQ209"/>
      <c r="WNR209"/>
      <c r="WNS209"/>
      <c r="WNT209"/>
      <c r="WNU209"/>
      <c r="WNV209"/>
      <c r="WNW209"/>
      <c r="WNX209"/>
      <c r="WNY209"/>
      <c r="WNZ209"/>
      <c r="WOA209"/>
      <c r="WOB209"/>
      <c r="WOC209"/>
      <c r="WOD209"/>
      <c r="WOE209"/>
      <c r="WOF209"/>
      <c r="WOG209"/>
      <c r="WOH209"/>
      <c r="WOI209"/>
      <c r="WOJ209"/>
      <c r="WOK209"/>
      <c r="WOL209"/>
      <c r="WOM209"/>
      <c r="WON209"/>
      <c r="WOO209"/>
      <c r="WOP209"/>
      <c r="WOQ209"/>
      <c r="WOR209"/>
      <c r="WOS209"/>
      <c r="WOT209"/>
      <c r="WOU209"/>
      <c r="WOV209"/>
      <c r="WOW209"/>
      <c r="WOX209"/>
      <c r="WOY209"/>
      <c r="WOZ209"/>
      <c r="WPA209"/>
      <c r="WPB209"/>
      <c r="WPC209"/>
      <c r="WPD209"/>
      <c r="WPE209"/>
      <c r="WPF209"/>
      <c r="WPG209"/>
      <c r="WPH209"/>
      <c r="WPI209"/>
      <c r="WPJ209"/>
      <c r="WPK209"/>
      <c r="WPL209"/>
      <c r="WPM209"/>
      <c r="WPN209"/>
      <c r="WPO209"/>
      <c r="WPP209"/>
      <c r="WPQ209"/>
      <c r="WPR209"/>
      <c r="WPS209"/>
      <c r="WPT209"/>
      <c r="WPU209"/>
      <c r="WPV209"/>
      <c r="WPW209"/>
      <c r="WPX209"/>
      <c r="WPY209"/>
      <c r="WPZ209"/>
      <c r="WQA209"/>
      <c r="WQB209"/>
      <c r="WQC209"/>
      <c r="WQD209"/>
      <c r="WQE209"/>
      <c r="WQF209"/>
      <c r="WQG209"/>
      <c r="WQH209"/>
      <c r="WQI209"/>
      <c r="WQJ209"/>
      <c r="WQK209"/>
      <c r="WQL209"/>
      <c r="WQM209"/>
      <c r="WQN209"/>
      <c r="WQO209"/>
      <c r="WQP209"/>
      <c r="WQQ209"/>
      <c r="WQR209"/>
      <c r="WQS209"/>
      <c r="WQT209"/>
      <c r="WQU209"/>
      <c r="WQV209"/>
      <c r="WQW209"/>
      <c r="WQX209"/>
      <c r="WQY209"/>
      <c r="WQZ209"/>
      <c r="WRA209"/>
      <c r="WRB209"/>
      <c r="WRC209"/>
      <c r="WRD209"/>
      <c r="WRE209"/>
      <c r="WRF209"/>
      <c r="WRG209"/>
      <c r="WRH209"/>
      <c r="WRI209"/>
      <c r="WRJ209"/>
      <c r="WRK209"/>
      <c r="WRL209"/>
      <c r="WRM209"/>
      <c r="WRN209"/>
      <c r="WRO209"/>
      <c r="WRP209"/>
      <c r="WRQ209"/>
      <c r="WRR209"/>
      <c r="WRS209"/>
      <c r="WRT209"/>
      <c r="WRU209"/>
      <c r="WRV209"/>
      <c r="WRW209"/>
      <c r="WRX209"/>
      <c r="WRY209"/>
      <c r="WRZ209"/>
      <c r="WSA209"/>
      <c r="WSB209"/>
      <c r="WSC209"/>
      <c r="WSD209"/>
      <c r="WSE209"/>
      <c r="WSF209"/>
      <c r="WSG209"/>
      <c r="WSH209"/>
      <c r="WSI209"/>
      <c r="WSJ209"/>
      <c r="WSK209"/>
      <c r="WSL209"/>
      <c r="WSM209"/>
      <c r="WSN209"/>
      <c r="WSO209"/>
      <c r="WSP209"/>
      <c r="WSQ209"/>
      <c r="WSR209"/>
      <c r="WSS209"/>
      <c r="WST209"/>
      <c r="WSU209"/>
      <c r="WSV209"/>
      <c r="WSW209"/>
      <c r="WSX209"/>
      <c r="WSY209"/>
      <c r="WSZ209"/>
      <c r="WTA209"/>
      <c r="WTB209"/>
      <c r="WTC209"/>
      <c r="WTD209"/>
      <c r="WTE209"/>
      <c r="WTF209"/>
      <c r="WTG209"/>
      <c r="WTH209"/>
      <c r="WTI209"/>
      <c r="WTJ209"/>
      <c r="WTK209"/>
      <c r="WTL209"/>
      <c r="WTM209"/>
      <c r="WTN209"/>
      <c r="WTO209"/>
      <c r="WTP209"/>
      <c r="WTQ209"/>
      <c r="WTR209"/>
      <c r="WTS209"/>
      <c r="WTT209"/>
      <c r="WTU209"/>
      <c r="WTV209"/>
      <c r="WTW209"/>
      <c r="WTX209"/>
      <c r="WTY209"/>
      <c r="WTZ209"/>
      <c r="WUA209"/>
      <c r="WUB209"/>
      <c r="WUC209"/>
      <c r="WUD209"/>
      <c r="WUE209"/>
      <c r="WUF209"/>
      <c r="WUG209"/>
      <c r="WUH209"/>
      <c r="WUI209"/>
      <c r="WUJ209"/>
      <c r="WUK209"/>
      <c r="WUL209"/>
      <c r="WUM209"/>
      <c r="WUN209"/>
      <c r="WUO209"/>
      <c r="WUP209"/>
      <c r="WUQ209"/>
      <c r="WUR209"/>
      <c r="WUS209"/>
      <c r="WUT209"/>
      <c r="WUU209"/>
      <c r="WUV209"/>
      <c r="WUW209"/>
      <c r="WUX209"/>
      <c r="WUY209"/>
      <c r="WUZ209"/>
      <c r="WVA209"/>
      <c r="WVB209"/>
      <c r="WVC209"/>
      <c r="WVD209"/>
      <c r="WVE209"/>
      <c r="WVF209"/>
      <c r="WVG209"/>
      <c r="WVH209"/>
      <c r="WVI209"/>
      <c r="WVJ209"/>
      <c r="WVK209"/>
      <c r="WVL209"/>
      <c r="WVM209"/>
      <c r="WVN209"/>
      <c r="WVO209"/>
      <c r="WVP209"/>
      <c r="WVQ209"/>
      <c r="WVR209"/>
      <c r="WVS209"/>
      <c r="WVT209"/>
      <c r="WVU209"/>
      <c r="WVV209"/>
      <c r="WVW209"/>
      <c r="WVX209"/>
      <c r="WVY209"/>
      <c r="WVZ209"/>
      <c r="WWA209"/>
      <c r="WWB209"/>
      <c r="WWC209"/>
      <c r="WWD209"/>
      <c r="WWE209"/>
      <c r="WWF209"/>
      <c r="WWG209"/>
      <c r="WWH209"/>
      <c r="WWI209"/>
      <c r="WWJ209"/>
      <c r="WWK209"/>
      <c r="WWL209"/>
      <c r="WWM209"/>
      <c r="WWN209"/>
      <c r="WWO209"/>
      <c r="WWP209"/>
      <c r="WWQ209"/>
      <c r="WWR209"/>
      <c r="WWS209"/>
      <c r="WWT209"/>
      <c r="WWU209"/>
      <c r="WWV209"/>
      <c r="WWW209"/>
      <c r="WWX209"/>
      <c r="WWY209"/>
      <c r="WWZ209"/>
      <c r="WXA209"/>
      <c r="WXB209"/>
      <c r="WXC209"/>
      <c r="WXD209"/>
      <c r="WXE209"/>
      <c r="WXF209"/>
      <c r="WXG209"/>
      <c r="WXH209"/>
      <c r="WXI209"/>
      <c r="WXJ209"/>
      <c r="WXK209"/>
      <c r="WXL209"/>
      <c r="WXM209"/>
      <c r="WXN209"/>
      <c r="WXO209"/>
      <c r="WXP209"/>
      <c r="WXQ209"/>
      <c r="WXR209"/>
      <c r="WXS209"/>
      <c r="WXT209"/>
      <c r="WXU209"/>
      <c r="WXV209"/>
      <c r="WXW209"/>
      <c r="WXX209"/>
      <c r="WXY209"/>
      <c r="WXZ209"/>
      <c r="WYA209"/>
      <c r="WYB209"/>
      <c r="WYC209"/>
      <c r="WYD209"/>
      <c r="WYE209"/>
      <c r="WYF209"/>
      <c r="WYG209"/>
      <c r="WYH209"/>
      <c r="WYI209"/>
      <c r="WYJ209"/>
      <c r="WYK209"/>
      <c r="WYL209"/>
      <c r="WYM209"/>
      <c r="WYN209"/>
      <c r="WYO209"/>
      <c r="WYP209"/>
      <c r="WYQ209"/>
      <c r="WYR209"/>
      <c r="WYS209"/>
      <c r="WYT209"/>
      <c r="WYU209"/>
      <c r="WYV209"/>
      <c r="WYW209"/>
      <c r="WYX209"/>
      <c r="WYY209"/>
      <c r="WYZ209"/>
      <c r="WZA209"/>
      <c r="WZB209"/>
      <c r="WZC209"/>
      <c r="WZD209"/>
      <c r="WZE209"/>
      <c r="WZF209"/>
      <c r="WZG209"/>
      <c r="WZH209"/>
      <c r="WZI209"/>
      <c r="WZJ209"/>
      <c r="WZK209"/>
      <c r="WZL209"/>
      <c r="WZM209"/>
      <c r="WZN209"/>
      <c r="WZO209"/>
      <c r="WZP209"/>
      <c r="WZQ209"/>
      <c r="WZR209"/>
      <c r="WZS209"/>
      <c r="WZT209"/>
      <c r="WZU209"/>
      <c r="WZV209"/>
      <c r="WZW209"/>
      <c r="WZX209"/>
      <c r="WZY209"/>
      <c r="WZZ209"/>
      <c r="XAA209"/>
      <c r="XAB209"/>
      <c r="XAC209"/>
      <c r="XAD209"/>
      <c r="XAE209"/>
      <c r="XAF209"/>
      <c r="XAG209"/>
      <c r="XAH209"/>
      <c r="XAI209"/>
      <c r="XAJ209"/>
      <c r="XAK209"/>
      <c r="XAL209"/>
      <c r="XAM209"/>
      <c r="XAN209"/>
      <c r="XAO209"/>
      <c r="XAP209"/>
      <c r="XAQ209"/>
      <c r="XAR209"/>
      <c r="XAS209"/>
      <c r="XAT209"/>
      <c r="XAU209"/>
      <c r="XAV209"/>
      <c r="XAW209"/>
      <c r="XAX209"/>
      <c r="XAY209"/>
      <c r="XAZ209"/>
      <c r="XBA209"/>
      <c r="XBB209"/>
      <c r="XBC209"/>
      <c r="XBD209"/>
      <c r="XBE209"/>
      <c r="XBF209"/>
      <c r="XBG209"/>
      <c r="XBH209"/>
      <c r="XBI209"/>
      <c r="XBJ209"/>
      <c r="XBK209"/>
      <c r="XBL209"/>
      <c r="XBM209"/>
      <c r="XBN209"/>
      <c r="XBO209"/>
      <c r="XBP209"/>
      <c r="XBQ209"/>
      <c r="XBR209"/>
      <c r="XBS209"/>
      <c r="XBT209"/>
      <c r="XBU209"/>
      <c r="XBV209"/>
      <c r="XBW209"/>
      <c r="XBX209"/>
      <c r="XBY209"/>
      <c r="XBZ209"/>
      <c r="XCA209"/>
      <c r="XCB209"/>
      <c r="XCC209"/>
      <c r="XCD209"/>
      <c r="XCE209"/>
      <c r="XCF209"/>
      <c r="XCG209"/>
      <c r="XCH209"/>
      <c r="XCI209"/>
      <c r="XCJ209"/>
      <c r="XCK209"/>
      <c r="XCL209"/>
      <c r="XCM209"/>
      <c r="XCN209"/>
      <c r="XCO209"/>
      <c r="XCP209"/>
      <c r="XCQ209"/>
      <c r="XCR209"/>
      <c r="XCS209"/>
      <c r="XCT209"/>
      <c r="XCU209"/>
      <c r="XCV209"/>
      <c r="XCW209"/>
      <c r="XCX209"/>
      <c r="XCY209"/>
      <c r="XCZ209"/>
      <c r="XDA209"/>
      <c r="XDB209"/>
      <c r="XDC209"/>
      <c r="XDD209"/>
      <c r="XDE209"/>
      <c r="XDF209"/>
      <c r="XDG209"/>
      <c r="XDH209"/>
      <c r="XDI209"/>
      <c r="XDJ209"/>
      <c r="XDK209"/>
      <c r="XDL209"/>
      <c r="XDM209"/>
      <c r="XDN209"/>
      <c r="XDO209"/>
      <c r="XDP209"/>
      <c r="XDQ209"/>
      <c r="XDR209"/>
      <c r="XDS209"/>
      <c r="XDT209"/>
      <c r="XDU209"/>
      <c r="XDV209"/>
      <c r="XDW209"/>
      <c r="XDX209"/>
      <c r="XDY209"/>
      <c r="XDZ209"/>
      <c r="XEA209"/>
      <c r="XEB209"/>
      <c r="XEC209"/>
      <c r="XED209"/>
      <c r="XEE209"/>
      <c r="XEF209"/>
      <c r="XEG209"/>
      <c r="XEH209"/>
      <c r="XEI209"/>
      <c r="XEJ209"/>
      <c r="XEK209"/>
      <c r="XEL209"/>
      <c r="XEM209"/>
      <c r="XEN209"/>
      <c r="XEO209"/>
      <c r="XEP209"/>
      <c r="XEQ209"/>
      <c r="XER209"/>
      <c r="XES209"/>
      <c r="XET209"/>
      <c r="XEU209"/>
    </row>
    <row r="210" spans="2:16375" s="1" customFormat="1" x14ac:dyDescent="0.35">
      <c r="B210"/>
      <c r="C210"/>
      <c r="D210"/>
      <c r="F210" s="2"/>
      <c r="G210"/>
      <c r="H210"/>
      <c r="K210" s="3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  <c r="AMV210"/>
      <c r="AMW210"/>
      <c r="AMX210"/>
      <c r="AMY210"/>
      <c r="AMZ210"/>
      <c r="ANA210"/>
      <c r="ANB210"/>
      <c r="ANC210"/>
      <c r="AND210"/>
      <c r="ANE210"/>
      <c r="ANF210"/>
      <c r="ANG210"/>
      <c r="ANH210"/>
      <c r="ANI210"/>
      <c r="ANJ210"/>
      <c r="ANK210"/>
      <c r="ANL210"/>
      <c r="ANM210"/>
      <c r="ANN210"/>
      <c r="ANO210"/>
      <c r="ANP210"/>
      <c r="ANQ210"/>
      <c r="ANR210"/>
      <c r="ANS210"/>
      <c r="ANT210"/>
      <c r="ANU210"/>
      <c r="ANV210"/>
      <c r="ANW210"/>
      <c r="ANX210"/>
      <c r="ANY210"/>
      <c r="ANZ210"/>
      <c r="AOA210"/>
      <c r="AOB210"/>
      <c r="AOC210"/>
      <c r="AOD210"/>
      <c r="AOE210"/>
      <c r="AOF210"/>
      <c r="AOG210"/>
      <c r="AOH210"/>
      <c r="AOI210"/>
      <c r="AOJ210"/>
      <c r="AOK210"/>
      <c r="AOL210"/>
      <c r="AOM210"/>
      <c r="AON210"/>
      <c r="AOO210"/>
      <c r="AOP210"/>
      <c r="AOQ210"/>
      <c r="AOR210"/>
      <c r="AOS210"/>
      <c r="AOT210"/>
      <c r="AOU210"/>
      <c r="AOV210"/>
      <c r="AOW210"/>
      <c r="AOX210"/>
      <c r="AOY210"/>
      <c r="AOZ210"/>
      <c r="APA210"/>
      <c r="APB210"/>
      <c r="APC210"/>
      <c r="APD210"/>
      <c r="APE210"/>
      <c r="APF210"/>
      <c r="APG210"/>
      <c r="APH210"/>
      <c r="API210"/>
      <c r="APJ210"/>
      <c r="APK210"/>
      <c r="APL210"/>
      <c r="APM210"/>
      <c r="APN210"/>
      <c r="APO210"/>
      <c r="APP210"/>
      <c r="APQ210"/>
      <c r="APR210"/>
      <c r="APS210"/>
      <c r="APT210"/>
      <c r="APU210"/>
      <c r="APV210"/>
      <c r="APW210"/>
      <c r="APX210"/>
      <c r="APY210"/>
      <c r="APZ210"/>
      <c r="AQA210"/>
      <c r="AQB210"/>
      <c r="AQC210"/>
      <c r="AQD210"/>
      <c r="AQE210"/>
      <c r="AQF210"/>
      <c r="AQG210"/>
      <c r="AQH210"/>
      <c r="AQI210"/>
      <c r="AQJ210"/>
      <c r="AQK210"/>
      <c r="AQL210"/>
      <c r="AQM210"/>
      <c r="AQN210"/>
      <c r="AQO210"/>
      <c r="AQP210"/>
      <c r="AQQ210"/>
      <c r="AQR210"/>
      <c r="AQS210"/>
      <c r="AQT210"/>
      <c r="AQU210"/>
      <c r="AQV210"/>
      <c r="AQW210"/>
      <c r="AQX210"/>
      <c r="AQY210"/>
      <c r="AQZ210"/>
      <c r="ARA210"/>
      <c r="ARB210"/>
      <c r="ARC210"/>
      <c r="ARD210"/>
      <c r="ARE210"/>
      <c r="ARF210"/>
      <c r="ARG210"/>
      <c r="ARH210"/>
      <c r="ARI210"/>
      <c r="ARJ210"/>
      <c r="ARK210"/>
      <c r="ARL210"/>
      <c r="ARM210"/>
      <c r="ARN210"/>
      <c r="ARO210"/>
      <c r="ARP210"/>
      <c r="ARQ210"/>
      <c r="ARR210"/>
      <c r="ARS210"/>
      <c r="ART210"/>
      <c r="ARU210"/>
      <c r="ARV210"/>
      <c r="ARW210"/>
      <c r="ARX210"/>
      <c r="ARY210"/>
      <c r="ARZ210"/>
      <c r="ASA210"/>
      <c r="ASB210"/>
      <c r="ASC210"/>
      <c r="ASD210"/>
      <c r="ASE210"/>
      <c r="ASF210"/>
      <c r="ASG210"/>
      <c r="ASH210"/>
      <c r="ASI210"/>
      <c r="ASJ210"/>
      <c r="ASK210"/>
      <c r="ASL210"/>
      <c r="ASM210"/>
      <c r="ASN210"/>
      <c r="ASO210"/>
      <c r="ASP210"/>
      <c r="ASQ210"/>
      <c r="ASR210"/>
      <c r="ASS210"/>
      <c r="AST210"/>
      <c r="ASU210"/>
      <c r="ASV210"/>
      <c r="ASW210"/>
      <c r="ASX210"/>
      <c r="ASY210"/>
      <c r="ASZ210"/>
      <c r="ATA210"/>
      <c r="ATB210"/>
      <c r="ATC210"/>
      <c r="ATD210"/>
      <c r="ATE210"/>
      <c r="ATF210"/>
      <c r="ATG210"/>
      <c r="ATH210"/>
      <c r="ATI210"/>
      <c r="ATJ210"/>
      <c r="ATK210"/>
      <c r="ATL210"/>
      <c r="ATM210"/>
      <c r="ATN210"/>
      <c r="ATO210"/>
      <c r="ATP210"/>
      <c r="ATQ210"/>
      <c r="ATR210"/>
      <c r="ATS210"/>
      <c r="ATT210"/>
      <c r="ATU210"/>
      <c r="ATV210"/>
      <c r="ATW210"/>
      <c r="ATX210"/>
      <c r="ATY210"/>
      <c r="ATZ210"/>
      <c r="AUA210"/>
      <c r="AUB210"/>
      <c r="AUC210"/>
      <c r="AUD210"/>
      <c r="AUE210"/>
      <c r="AUF210"/>
      <c r="AUG210"/>
      <c r="AUH210"/>
      <c r="AUI210"/>
      <c r="AUJ210"/>
      <c r="AUK210"/>
      <c r="AUL210"/>
      <c r="AUM210"/>
      <c r="AUN210"/>
      <c r="AUO210"/>
      <c r="AUP210"/>
      <c r="AUQ210"/>
      <c r="AUR210"/>
      <c r="AUS210"/>
      <c r="AUT210"/>
      <c r="AUU210"/>
      <c r="AUV210"/>
      <c r="AUW210"/>
      <c r="AUX210"/>
      <c r="AUY210"/>
      <c r="AUZ210"/>
      <c r="AVA210"/>
      <c r="AVB210"/>
      <c r="AVC210"/>
      <c r="AVD210"/>
      <c r="AVE210"/>
      <c r="AVF210"/>
      <c r="AVG210"/>
      <c r="AVH210"/>
      <c r="AVI210"/>
      <c r="AVJ210"/>
      <c r="AVK210"/>
      <c r="AVL210"/>
      <c r="AVM210"/>
      <c r="AVN210"/>
      <c r="AVO210"/>
      <c r="AVP210"/>
      <c r="AVQ210"/>
      <c r="AVR210"/>
      <c r="AVS210"/>
      <c r="AVT210"/>
      <c r="AVU210"/>
      <c r="AVV210"/>
      <c r="AVW210"/>
      <c r="AVX210"/>
      <c r="AVY210"/>
      <c r="AVZ210"/>
      <c r="AWA210"/>
      <c r="AWB210"/>
      <c r="AWC210"/>
      <c r="AWD210"/>
      <c r="AWE210"/>
      <c r="AWF210"/>
      <c r="AWG210"/>
      <c r="AWH210"/>
      <c r="AWI210"/>
      <c r="AWJ210"/>
      <c r="AWK210"/>
      <c r="AWL210"/>
      <c r="AWM210"/>
      <c r="AWN210"/>
      <c r="AWO210"/>
      <c r="AWP210"/>
      <c r="AWQ210"/>
      <c r="AWR210"/>
      <c r="AWS210"/>
      <c r="AWT210"/>
      <c r="AWU210"/>
      <c r="AWV210"/>
      <c r="AWW210"/>
      <c r="AWX210"/>
      <c r="AWY210"/>
      <c r="AWZ210"/>
      <c r="AXA210"/>
      <c r="AXB210"/>
      <c r="AXC210"/>
      <c r="AXD210"/>
      <c r="AXE210"/>
      <c r="AXF210"/>
      <c r="AXG210"/>
      <c r="AXH210"/>
      <c r="AXI210"/>
      <c r="AXJ210"/>
      <c r="AXK210"/>
      <c r="AXL210"/>
      <c r="AXM210"/>
      <c r="AXN210"/>
      <c r="AXO210"/>
      <c r="AXP210"/>
      <c r="AXQ210"/>
      <c r="AXR210"/>
      <c r="AXS210"/>
      <c r="AXT210"/>
      <c r="AXU210"/>
      <c r="AXV210"/>
      <c r="AXW210"/>
      <c r="AXX210"/>
      <c r="AXY210"/>
      <c r="AXZ210"/>
      <c r="AYA210"/>
      <c r="AYB210"/>
      <c r="AYC210"/>
      <c r="AYD210"/>
      <c r="AYE210"/>
      <c r="AYF210"/>
      <c r="AYG210"/>
      <c r="AYH210"/>
      <c r="AYI210"/>
      <c r="AYJ210"/>
      <c r="AYK210"/>
      <c r="AYL210"/>
      <c r="AYM210"/>
      <c r="AYN210"/>
      <c r="AYO210"/>
      <c r="AYP210"/>
      <c r="AYQ210"/>
      <c r="AYR210"/>
      <c r="AYS210"/>
      <c r="AYT210"/>
      <c r="AYU210"/>
      <c r="AYV210"/>
      <c r="AYW210"/>
      <c r="AYX210"/>
      <c r="AYY210"/>
      <c r="AYZ210"/>
      <c r="AZA210"/>
      <c r="AZB210"/>
      <c r="AZC210"/>
      <c r="AZD210"/>
      <c r="AZE210"/>
      <c r="AZF210"/>
      <c r="AZG210"/>
      <c r="AZH210"/>
      <c r="AZI210"/>
      <c r="AZJ210"/>
      <c r="AZK210"/>
      <c r="AZL210"/>
      <c r="AZM210"/>
      <c r="AZN210"/>
      <c r="AZO210"/>
      <c r="AZP210"/>
      <c r="AZQ210"/>
      <c r="AZR210"/>
      <c r="AZS210"/>
      <c r="AZT210"/>
      <c r="AZU210"/>
      <c r="AZV210"/>
      <c r="AZW210"/>
      <c r="AZX210"/>
      <c r="AZY210"/>
      <c r="AZZ210"/>
      <c r="BAA210"/>
      <c r="BAB210"/>
      <c r="BAC210"/>
      <c r="BAD210"/>
      <c r="BAE210"/>
      <c r="BAF210"/>
      <c r="BAG210"/>
      <c r="BAH210"/>
      <c r="BAI210"/>
      <c r="BAJ210"/>
      <c r="BAK210"/>
      <c r="BAL210"/>
      <c r="BAM210"/>
      <c r="BAN210"/>
      <c r="BAO210"/>
      <c r="BAP210"/>
      <c r="BAQ210"/>
      <c r="BAR210"/>
      <c r="BAS210"/>
      <c r="BAT210"/>
      <c r="BAU210"/>
      <c r="BAV210"/>
      <c r="BAW210"/>
      <c r="BAX210"/>
      <c r="BAY210"/>
      <c r="BAZ210"/>
      <c r="BBA210"/>
      <c r="BBB210"/>
      <c r="BBC210"/>
      <c r="BBD210"/>
      <c r="BBE210"/>
      <c r="BBF210"/>
      <c r="BBG210"/>
      <c r="BBH210"/>
      <c r="BBI210"/>
      <c r="BBJ210"/>
      <c r="BBK210"/>
      <c r="BBL210"/>
      <c r="BBM210"/>
      <c r="BBN210"/>
      <c r="BBO210"/>
      <c r="BBP210"/>
      <c r="BBQ210"/>
      <c r="BBR210"/>
      <c r="BBS210"/>
      <c r="BBT210"/>
      <c r="BBU210"/>
      <c r="BBV210"/>
      <c r="BBW210"/>
      <c r="BBX210"/>
      <c r="BBY210"/>
      <c r="BBZ210"/>
      <c r="BCA210"/>
      <c r="BCB210"/>
      <c r="BCC210"/>
      <c r="BCD210"/>
      <c r="BCE210"/>
      <c r="BCF210"/>
      <c r="BCG210"/>
      <c r="BCH210"/>
      <c r="BCI210"/>
      <c r="BCJ210"/>
      <c r="BCK210"/>
      <c r="BCL210"/>
      <c r="BCM210"/>
      <c r="BCN210"/>
      <c r="BCO210"/>
      <c r="BCP210"/>
      <c r="BCQ210"/>
      <c r="BCR210"/>
      <c r="BCS210"/>
      <c r="BCT210"/>
      <c r="BCU210"/>
      <c r="BCV210"/>
      <c r="BCW210"/>
      <c r="BCX210"/>
      <c r="BCY210"/>
      <c r="BCZ210"/>
      <c r="BDA210"/>
      <c r="BDB210"/>
      <c r="BDC210"/>
      <c r="BDD210"/>
      <c r="BDE210"/>
      <c r="BDF210"/>
      <c r="BDG210"/>
      <c r="BDH210"/>
      <c r="BDI210"/>
      <c r="BDJ210"/>
      <c r="BDK210"/>
      <c r="BDL210"/>
      <c r="BDM210"/>
      <c r="BDN210"/>
      <c r="BDO210"/>
      <c r="BDP210"/>
      <c r="BDQ210"/>
      <c r="BDR210"/>
      <c r="BDS210"/>
      <c r="BDT210"/>
      <c r="BDU210"/>
      <c r="BDV210"/>
      <c r="BDW210"/>
      <c r="BDX210"/>
      <c r="BDY210"/>
      <c r="BDZ210"/>
      <c r="BEA210"/>
      <c r="BEB210"/>
      <c r="BEC210"/>
      <c r="BED210"/>
      <c r="BEE210"/>
      <c r="BEF210"/>
      <c r="BEG210"/>
      <c r="BEH210"/>
      <c r="BEI210"/>
      <c r="BEJ210"/>
      <c r="BEK210"/>
      <c r="BEL210"/>
      <c r="BEM210"/>
      <c r="BEN210"/>
      <c r="BEO210"/>
      <c r="BEP210"/>
      <c r="BEQ210"/>
      <c r="BER210"/>
      <c r="BES210"/>
      <c r="BET210"/>
      <c r="BEU210"/>
      <c r="BEV210"/>
      <c r="BEW210"/>
      <c r="BEX210"/>
      <c r="BEY210"/>
      <c r="BEZ210"/>
      <c r="BFA210"/>
      <c r="BFB210"/>
      <c r="BFC210"/>
      <c r="BFD210"/>
      <c r="BFE210"/>
      <c r="BFF210"/>
      <c r="BFG210"/>
      <c r="BFH210"/>
      <c r="BFI210"/>
      <c r="BFJ210"/>
      <c r="BFK210"/>
      <c r="BFL210"/>
      <c r="BFM210"/>
      <c r="BFN210"/>
      <c r="BFO210"/>
      <c r="BFP210"/>
      <c r="BFQ210"/>
      <c r="BFR210"/>
      <c r="BFS210"/>
      <c r="BFT210"/>
      <c r="BFU210"/>
      <c r="BFV210"/>
      <c r="BFW210"/>
      <c r="BFX210"/>
      <c r="BFY210"/>
      <c r="BFZ210"/>
      <c r="BGA210"/>
      <c r="BGB210"/>
      <c r="BGC210"/>
      <c r="BGD210"/>
      <c r="BGE210"/>
      <c r="BGF210"/>
      <c r="BGG210"/>
      <c r="BGH210"/>
      <c r="BGI210"/>
      <c r="BGJ210"/>
      <c r="BGK210"/>
      <c r="BGL210"/>
      <c r="BGM210"/>
      <c r="BGN210"/>
      <c r="BGO210"/>
      <c r="BGP210"/>
      <c r="BGQ210"/>
      <c r="BGR210"/>
      <c r="BGS210"/>
      <c r="BGT210"/>
      <c r="BGU210"/>
      <c r="BGV210"/>
      <c r="BGW210"/>
      <c r="BGX210"/>
      <c r="BGY210"/>
      <c r="BGZ210"/>
      <c r="BHA210"/>
      <c r="BHB210"/>
      <c r="BHC210"/>
      <c r="BHD210"/>
      <c r="BHE210"/>
      <c r="BHF210"/>
      <c r="BHG210"/>
      <c r="BHH210"/>
      <c r="BHI210"/>
      <c r="BHJ210"/>
      <c r="BHK210"/>
      <c r="BHL210"/>
      <c r="BHM210"/>
      <c r="BHN210"/>
      <c r="BHO210"/>
      <c r="BHP210"/>
      <c r="BHQ210"/>
      <c r="BHR210"/>
      <c r="BHS210"/>
      <c r="BHT210"/>
      <c r="BHU210"/>
      <c r="BHV210"/>
      <c r="BHW210"/>
      <c r="BHX210"/>
      <c r="BHY210"/>
      <c r="BHZ210"/>
      <c r="BIA210"/>
      <c r="BIB210"/>
      <c r="BIC210"/>
      <c r="BID210"/>
      <c r="BIE210"/>
      <c r="BIF210"/>
      <c r="BIG210"/>
      <c r="BIH210"/>
      <c r="BII210"/>
      <c r="BIJ210"/>
      <c r="BIK210"/>
      <c r="BIL210"/>
      <c r="BIM210"/>
      <c r="BIN210"/>
      <c r="BIO210"/>
      <c r="BIP210"/>
      <c r="BIQ210"/>
      <c r="BIR210"/>
      <c r="BIS210"/>
      <c r="BIT210"/>
      <c r="BIU210"/>
      <c r="BIV210"/>
      <c r="BIW210"/>
      <c r="BIX210"/>
      <c r="BIY210"/>
      <c r="BIZ210"/>
      <c r="BJA210"/>
      <c r="BJB210"/>
      <c r="BJC210"/>
      <c r="BJD210"/>
      <c r="BJE210"/>
      <c r="BJF210"/>
      <c r="BJG210"/>
      <c r="BJH210"/>
      <c r="BJI210"/>
      <c r="BJJ210"/>
      <c r="BJK210"/>
      <c r="BJL210"/>
      <c r="BJM210"/>
      <c r="BJN210"/>
      <c r="BJO210"/>
      <c r="BJP210"/>
      <c r="BJQ210"/>
      <c r="BJR210"/>
      <c r="BJS210"/>
      <c r="BJT210"/>
      <c r="BJU210"/>
      <c r="BJV210"/>
      <c r="BJW210"/>
      <c r="BJX210"/>
      <c r="BJY210"/>
      <c r="BJZ210"/>
      <c r="BKA210"/>
      <c r="BKB210"/>
      <c r="BKC210"/>
      <c r="BKD210"/>
      <c r="BKE210"/>
      <c r="BKF210"/>
      <c r="BKG210"/>
      <c r="BKH210"/>
      <c r="BKI210"/>
      <c r="BKJ210"/>
      <c r="BKK210"/>
      <c r="BKL210"/>
      <c r="BKM210"/>
      <c r="BKN210"/>
      <c r="BKO210"/>
      <c r="BKP210"/>
      <c r="BKQ210"/>
      <c r="BKR210"/>
      <c r="BKS210"/>
      <c r="BKT210"/>
      <c r="BKU210"/>
      <c r="BKV210"/>
      <c r="BKW210"/>
      <c r="BKX210"/>
      <c r="BKY210"/>
      <c r="BKZ210"/>
      <c r="BLA210"/>
      <c r="BLB210"/>
      <c r="BLC210"/>
      <c r="BLD210"/>
      <c r="BLE210"/>
      <c r="BLF210"/>
      <c r="BLG210"/>
      <c r="BLH210"/>
      <c r="BLI210"/>
      <c r="BLJ210"/>
      <c r="BLK210"/>
      <c r="BLL210"/>
      <c r="BLM210"/>
      <c r="BLN210"/>
      <c r="BLO210"/>
      <c r="BLP210"/>
      <c r="BLQ210"/>
      <c r="BLR210"/>
      <c r="BLS210"/>
      <c r="BLT210"/>
      <c r="BLU210"/>
      <c r="BLV210"/>
      <c r="BLW210"/>
      <c r="BLX210"/>
      <c r="BLY210"/>
      <c r="BLZ210"/>
      <c r="BMA210"/>
      <c r="BMB210"/>
      <c r="BMC210"/>
      <c r="BMD210"/>
      <c r="BME210"/>
      <c r="BMF210"/>
      <c r="BMG210"/>
      <c r="BMH210"/>
      <c r="BMI210"/>
      <c r="BMJ210"/>
      <c r="BMK210"/>
      <c r="BML210"/>
      <c r="BMM210"/>
      <c r="BMN210"/>
      <c r="BMO210"/>
      <c r="BMP210"/>
      <c r="BMQ210"/>
      <c r="BMR210"/>
      <c r="BMS210"/>
      <c r="BMT210"/>
      <c r="BMU210"/>
      <c r="BMV210"/>
      <c r="BMW210"/>
      <c r="BMX210"/>
      <c r="BMY210"/>
      <c r="BMZ210"/>
      <c r="BNA210"/>
      <c r="BNB210"/>
      <c r="BNC210"/>
      <c r="BND210"/>
      <c r="BNE210"/>
      <c r="BNF210"/>
      <c r="BNG210"/>
      <c r="BNH210"/>
      <c r="BNI210"/>
      <c r="BNJ210"/>
      <c r="BNK210"/>
      <c r="BNL210"/>
      <c r="BNM210"/>
      <c r="BNN210"/>
      <c r="BNO210"/>
      <c r="BNP210"/>
      <c r="BNQ210"/>
      <c r="BNR210"/>
      <c r="BNS210"/>
      <c r="BNT210"/>
      <c r="BNU210"/>
      <c r="BNV210"/>
      <c r="BNW210"/>
      <c r="BNX210"/>
      <c r="BNY210"/>
      <c r="BNZ210"/>
      <c r="BOA210"/>
      <c r="BOB210"/>
      <c r="BOC210"/>
      <c r="BOD210"/>
      <c r="BOE210"/>
      <c r="BOF210"/>
      <c r="BOG210"/>
      <c r="BOH210"/>
      <c r="BOI210"/>
      <c r="BOJ210"/>
      <c r="BOK210"/>
      <c r="BOL210"/>
      <c r="BOM210"/>
      <c r="BON210"/>
      <c r="BOO210"/>
      <c r="BOP210"/>
      <c r="BOQ210"/>
      <c r="BOR210"/>
      <c r="BOS210"/>
      <c r="BOT210"/>
      <c r="BOU210"/>
      <c r="BOV210"/>
      <c r="BOW210"/>
      <c r="BOX210"/>
      <c r="BOY210"/>
      <c r="BOZ210"/>
      <c r="BPA210"/>
      <c r="BPB210"/>
      <c r="BPC210"/>
      <c r="BPD210"/>
      <c r="BPE210"/>
      <c r="BPF210"/>
      <c r="BPG210"/>
      <c r="BPH210"/>
      <c r="BPI210"/>
      <c r="BPJ210"/>
      <c r="BPK210"/>
      <c r="BPL210"/>
      <c r="BPM210"/>
      <c r="BPN210"/>
      <c r="BPO210"/>
      <c r="BPP210"/>
      <c r="BPQ210"/>
      <c r="BPR210"/>
      <c r="BPS210"/>
      <c r="BPT210"/>
      <c r="BPU210"/>
      <c r="BPV210"/>
      <c r="BPW210"/>
      <c r="BPX210"/>
      <c r="BPY210"/>
      <c r="BPZ210"/>
      <c r="BQA210"/>
      <c r="BQB210"/>
      <c r="BQC210"/>
      <c r="BQD210"/>
      <c r="BQE210"/>
      <c r="BQF210"/>
      <c r="BQG210"/>
      <c r="BQH210"/>
      <c r="BQI210"/>
      <c r="BQJ210"/>
      <c r="BQK210"/>
      <c r="BQL210"/>
      <c r="BQM210"/>
      <c r="BQN210"/>
      <c r="BQO210"/>
      <c r="BQP210"/>
      <c r="BQQ210"/>
      <c r="BQR210"/>
      <c r="BQS210"/>
      <c r="BQT210"/>
      <c r="BQU210"/>
      <c r="BQV210"/>
      <c r="BQW210"/>
      <c r="BQX210"/>
      <c r="BQY210"/>
      <c r="BQZ210"/>
      <c r="BRA210"/>
      <c r="BRB210"/>
      <c r="BRC210"/>
      <c r="BRD210"/>
      <c r="BRE210"/>
      <c r="BRF210"/>
      <c r="BRG210"/>
      <c r="BRH210"/>
      <c r="BRI210"/>
      <c r="BRJ210"/>
      <c r="BRK210"/>
      <c r="BRL210"/>
      <c r="BRM210"/>
      <c r="BRN210"/>
      <c r="BRO210"/>
      <c r="BRP210"/>
      <c r="BRQ210"/>
      <c r="BRR210"/>
      <c r="BRS210"/>
      <c r="BRT210"/>
      <c r="BRU210"/>
      <c r="BRV210"/>
      <c r="BRW210"/>
      <c r="BRX210"/>
      <c r="BRY210"/>
      <c r="BRZ210"/>
      <c r="BSA210"/>
      <c r="BSB210"/>
      <c r="BSC210"/>
      <c r="BSD210"/>
      <c r="BSE210"/>
      <c r="BSF210"/>
      <c r="BSG210"/>
      <c r="BSH210"/>
      <c r="BSI210"/>
      <c r="BSJ210"/>
      <c r="BSK210"/>
      <c r="BSL210"/>
      <c r="BSM210"/>
      <c r="BSN210"/>
      <c r="BSO210"/>
      <c r="BSP210"/>
      <c r="BSQ210"/>
      <c r="BSR210"/>
      <c r="BSS210"/>
      <c r="BST210"/>
      <c r="BSU210"/>
      <c r="BSV210"/>
      <c r="BSW210"/>
      <c r="BSX210"/>
      <c r="BSY210"/>
      <c r="BSZ210"/>
      <c r="BTA210"/>
      <c r="BTB210"/>
      <c r="BTC210"/>
      <c r="BTD210"/>
      <c r="BTE210"/>
      <c r="BTF210"/>
      <c r="BTG210"/>
      <c r="BTH210"/>
      <c r="BTI210"/>
      <c r="BTJ210"/>
      <c r="BTK210"/>
      <c r="BTL210"/>
      <c r="BTM210"/>
      <c r="BTN210"/>
      <c r="BTO210"/>
      <c r="BTP210"/>
      <c r="BTQ210"/>
      <c r="BTR210"/>
      <c r="BTS210"/>
      <c r="BTT210"/>
      <c r="BTU210"/>
      <c r="BTV210"/>
      <c r="BTW210"/>
      <c r="BTX210"/>
      <c r="BTY210"/>
      <c r="BTZ210"/>
      <c r="BUA210"/>
      <c r="BUB210"/>
      <c r="BUC210"/>
      <c r="BUD210"/>
      <c r="BUE210"/>
      <c r="BUF210"/>
      <c r="BUG210"/>
      <c r="BUH210"/>
      <c r="BUI210"/>
      <c r="BUJ210"/>
      <c r="BUK210"/>
      <c r="BUL210"/>
      <c r="BUM210"/>
      <c r="BUN210"/>
      <c r="BUO210"/>
      <c r="BUP210"/>
      <c r="BUQ210"/>
      <c r="BUR210"/>
      <c r="BUS210"/>
      <c r="BUT210"/>
      <c r="BUU210"/>
      <c r="BUV210"/>
      <c r="BUW210"/>
      <c r="BUX210"/>
      <c r="BUY210"/>
      <c r="BUZ210"/>
      <c r="BVA210"/>
      <c r="BVB210"/>
      <c r="BVC210"/>
      <c r="BVD210"/>
      <c r="BVE210"/>
      <c r="BVF210"/>
      <c r="BVG210"/>
      <c r="BVH210"/>
      <c r="BVI210"/>
      <c r="BVJ210"/>
      <c r="BVK210"/>
      <c r="BVL210"/>
      <c r="BVM210"/>
      <c r="BVN210"/>
      <c r="BVO210"/>
      <c r="BVP210"/>
      <c r="BVQ210"/>
      <c r="BVR210"/>
      <c r="BVS210"/>
      <c r="BVT210"/>
      <c r="BVU210"/>
      <c r="BVV210"/>
      <c r="BVW210"/>
      <c r="BVX210"/>
      <c r="BVY210"/>
      <c r="BVZ210"/>
      <c r="BWA210"/>
      <c r="BWB210"/>
      <c r="BWC210"/>
      <c r="BWD210"/>
      <c r="BWE210"/>
      <c r="BWF210"/>
      <c r="BWG210"/>
      <c r="BWH210"/>
      <c r="BWI210"/>
      <c r="BWJ210"/>
      <c r="BWK210"/>
      <c r="BWL210"/>
      <c r="BWM210"/>
      <c r="BWN210"/>
      <c r="BWO210"/>
      <c r="BWP210"/>
      <c r="BWQ210"/>
      <c r="BWR210"/>
      <c r="BWS210"/>
      <c r="BWT210"/>
      <c r="BWU210"/>
      <c r="BWV210"/>
      <c r="BWW210"/>
      <c r="BWX210"/>
      <c r="BWY210"/>
      <c r="BWZ210"/>
      <c r="BXA210"/>
      <c r="BXB210"/>
      <c r="BXC210"/>
      <c r="BXD210"/>
      <c r="BXE210"/>
      <c r="BXF210"/>
      <c r="BXG210"/>
      <c r="BXH210"/>
      <c r="BXI210"/>
      <c r="BXJ210"/>
      <c r="BXK210"/>
      <c r="BXL210"/>
      <c r="BXM210"/>
      <c r="BXN210"/>
      <c r="BXO210"/>
      <c r="BXP210"/>
      <c r="BXQ210"/>
      <c r="BXR210"/>
      <c r="BXS210"/>
      <c r="BXT210"/>
      <c r="BXU210"/>
      <c r="BXV210"/>
      <c r="BXW210"/>
      <c r="BXX210"/>
      <c r="BXY210"/>
      <c r="BXZ210"/>
      <c r="BYA210"/>
      <c r="BYB210"/>
      <c r="BYC210"/>
      <c r="BYD210"/>
      <c r="BYE210"/>
      <c r="BYF210"/>
      <c r="BYG210"/>
      <c r="BYH210"/>
      <c r="BYI210"/>
      <c r="BYJ210"/>
      <c r="BYK210"/>
      <c r="BYL210"/>
      <c r="BYM210"/>
      <c r="BYN210"/>
      <c r="BYO210"/>
      <c r="BYP210"/>
      <c r="BYQ210"/>
      <c r="BYR210"/>
      <c r="BYS210"/>
      <c r="BYT210"/>
      <c r="BYU210"/>
      <c r="BYV210"/>
      <c r="BYW210"/>
      <c r="BYX210"/>
      <c r="BYY210"/>
      <c r="BYZ210"/>
      <c r="BZA210"/>
      <c r="BZB210"/>
      <c r="BZC210"/>
      <c r="BZD210"/>
      <c r="BZE210"/>
      <c r="BZF210"/>
      <c r="BZG210"/>
      <c r="BZH210"/>
      <c r="BZI210"/>
      <c r="BZJ210"/>
      <c r="BZK210"/>
      <c r="BZL210"/>
      <c r="BZM210"/>
      <c r="BZN210"/>
      <c r="BZO210"/>
      <c r="BZP210"/>
      <c r="BZQ210"/>
      <c r="BZR210"/>
      <c r="BZS210"/>
      <c r="BZT210"/>
      <c r="BZU210"/>
      <c r="BZV210"/>
      <c r="BZW210"/>
      <c r="BZX210"/>
      <c r="BZY210"/>
      <c r="BZZ210"/>
      <c r="CAA210"/>
      <c r="CAB210"/>
      <c r="CAC210"/>
      <c r="CAD210"/>
      <c r="CAE210"/>
      <c r="CAF210"/>
      <c r="CAG210"/>
      <c r="CAH210"/>
      <c r="CAI210"/>
      <c r="CAJ210"/>
      <c r="CAK210"/>
      <c r="CAL210"/>
      <c r="CAM210"/>
      <c r="CAN210"/>
      <c r="CAO210"/>
      <c r="CAP210"/>
      <c r="CAQ210"/>
      <c r="CAR210"/>
      <c r="CAS210"/>
      <c r="CAT210"/>
      <c r="CAU210"/>
      <c r="CAV210"/>
      <c r="CAW210"/>
      <c r="CAX210"/>
      <c r="CAY210"/>
      <c r="CAZ210"/>
      <c r="CBA210"/>
      <c r="CBB210"/>
      <c r="CBC210"/>
      <c r="CBD210"/>
      <c r="CBE210"/>
      <c r="CBF210"/>
      <c r="CBG210"/>
      <c r="CBH210"/>
      <c r="CBI210"/>
      <c r="CBJ210"/>
      <c r="CBK210"/>
      <c r="CBL210"/>
      <c r="CBM210"/>
      <c r="CBN210"/>
      <c r="CBO210"/>
      <c r="CBP210"/>
      <c r="CBQ210"/>
      <c r="CBR210"/>
      <c r="CBS210"/>
      <c r="CBT210"/>
      <c r="CBU210"/>
      <c r="CBV210"/>
      <c r="CBW210"/>
      <c r="CBX210"/>
      <c r="CBY210"/>
      <c r="CBZ210"/>
      <c r="CCA210"/>
      <c r="CCB210"/>
      <c r="CCC210"/>
      <c r="CCD210"/>
      <c r="CCE210"/>
      <c r="CCF210"/>
      <c r="CCG210"/>
      <c r="CCH210"/>
      <c r="CCI210"/>
      <c r="CCJ210"/>
      <c r="CCK210"/>
      <c r="CCL210"/>
      <c r="CCM210"/>
      <c r="CCN210"/>
      <c r="CCO210"/>
      <c r="CCP210"/>
      <c r="CCQ210"/>
      <c r="CCR210"/>
      <c r="CCS210"/>
      <c r="CCT210"/>
      <c r="CCU210"/>
      <c r="CCV210"/>
      <c r="CCW210"/>
      <c r="CCX210"/>
      <c r="CCY210"/>
      <c r="CCZ210"/>
      <c r="CDA210"/>
      <c r="CDB210"/>
      <c r="CDC210"/>
      <c r="CDD210"/>
      <c r="CDE210"/>
      <c r="CDF210"/>
      <c r="CDG210"/>
      <c r="CDH210"/>
      <c r="CDI210"/>
      <c r="CDJ210"/>
      <c r="CDK210"/>
      <c r="CDL210"/>
      <c r="CDM210"/>
      <c r="CDN210"/>
      <c r="CDO210"/>
      <c r="CDP210"/>
      <c r="CDQ210"/>
      <c r="CDR210"/>
      <c r="CDS210"/>
      <c r="CDT210"/>
      <c r="CDU210"/>
      <c r="CDV210"/>
      <c r="CDW210"/>
      <c r="CDX210"/>
      <c r="CDY210"/>
      <c r="CDZ210"/>
      <c r="CEA210"/>
      <c r="CEB210"/>
      <c r="CEC210"/>
      <c r="CED210"/>
      <c r="CEE210"/>
      <c r="CEF210"/>
      <c r="CEG210"/>
      <c r="CEH210"/>
      <c r="CEI210"/>
      <c r="CEJ210"/>
      <c r="CEK210"/>
      <c r="CEL210"/>
      <c r="CEM210"/>
      <c r="CEN210"/>
      <c r="CEO210"/>
      <c r="CEP210"/>
      <c r="CEQ210"/>
      <c r="CER210"/>
      <c r="CES210"/>
      <c r="CET210"/>
      <c r="CEU210"/>
      <c r="CEV210"/>
      <c r="CEW210"/>
      <c r="CEX210"/>
      <c r="CEY210"/>
      <c r="CEZ210"/>
      <c r="CFA210"/>
      <c r="CFB210"/>
      <c r="CFC210"/>
      <c r="CFD210"/>
      <c r="CFE210"/>
      <c r="CFF210"/>
      <c r="CFG210"/>
      <c r="CFH210"/>
      <c r="CFI210"/>
      <c r="CFJ210"/>
      <c r="CFK210"/>
      <c r="CFL210"/>
      <c r="CFM210"/>
      <c r="CFN210"/>
      <c r="CFO210"/>
      <c r="CFP210"/>
      <c r="CFQ210"/>
      <c r="CFR210"/>
      <c r="CFS210"/>
      <c r="CFT210"/>
      <c r="CFU210"/>
      <c r="CFV210"/>
      <c r="CFW210"/>
      <c r="CFX210"/>
      <c r="CFY210"/>
      <c r="CFZ210"/>
      <c r="CGA210"/>
      <c r="CGB210"/>
      <c r="CGC210"/>
      <c r="CGD210"/>
      <c r="CGE210"/>
      <c r="CGF210"/>
      <c r="CGG210"/>
      <c r="CGH210"/>
      <c r="CGI210"/>
      <c r="CGJ210"/>
      <c r="CGK210"/>
      <c r="CGL210"/>
      <c r="CGM210"/>
      <c r="CGN210"/>
      <c r="CGO210"/>
      <c r="CGP210"/>
      <c r="CGQ210"/>
      <c r="CGR210"/>
      <c r="CGS210"/>
      <c r="CGT210"/>
      <c r="CGU210"/>
      <c r="CGV210"/>
      <c r="CGW210"/>
      <c r="CGX210"/>
      <c r="CGY210"/>
      <c r="CGZ210"/>
      <c r="CHA210"/>
      <c r="CHB210"/>
      <c r="CHC210"/>
      <c r="CHD210"/>
      <c r="CHE210"/>
      <c r="CHF210"/>
      <c r="CHG210"/>
      <c r="CHH210"/>
      <c r="CHI210"/>
      <c r="CHJ210"/>
      <c r="CHK210"/>
      <c r="CHL210"/>
      <c r="CHM210"/>
      <c r="CHN210"/>
      <c r="CHO210"/>
      <c r="CHP210"/>
      <c r="CHQ210"/>
      <c r="CHR210"/>
      <c r="CHS210"/>
      <c r="CHT210"/>
      <c r="CHU210"/>
      <c r="CHV210"/>
      <c r="CHW210"/>
      <c r="CHX210"/>
      <c r="CHY210"/>
      <c r="CHZ210"/>
      <c r="CIA210"/>
      <c r="CIB210"/>
      <c r="CIC210"/>
      <c r="CID210"/>
      <c r="CIE210"/>
      <c r="CIF210"/>
      <c r="CIG210"/>
      <c r="CIH210"/>
      <c r="CII210"/>
      <c r="CIJ210"/>
      <c r="CIK210"/>
      <c r="CIL210"/>
      <c r="CIM210"/>
      <c r="CIN210"/>
      <c r="CIO210"/>
      <c r="CIP210"/>
      <c r="CIQ210"/>
      <c r="CIR210"/>
      <c r="CIS210"/>
      <c r="CIT210"/>
      <c r="CIU210"/>
      <c r="CIV210"/>
      <c r="CIW210"/>
      <c r="CIX210"/>
      <c r="CIY210"/>
      <c r="CIZ210"/>
      <c r="CJA210"/>
      <c r="CJB210"/>
      <c r="CJC210"/>
      <c r="CJD210"/>
      <c r="CJE210"/>
      <c r="CJF210"/>
      <c r="CJG210"/>
      <c r="CJH210"/>
      <c r="CJI210"/>
      <c r="CJJ210"/>
      <c r="CJK210"/>
      <c r="CJL210"/>
      <c r="CJM210"/>
      <c r="CJN210"/>
      <c r="CJO210"/>
      <c r="CJP210"/>
      <c r="CJQ210"/>
      <c r="CJR210"/>
      <c r="CJS210"/>
      <c r="CJT210"/>
      <c r="CJU210"/>
      <c r="CJV210"/>
      <c r="CJW210"/>
      <c r="CJX210"/>
      <c r="CJY210"/>
      <c r="CJZ210"/>
      <c r="CKA210"/>
      <c r="CKB210"/>
      <c r="CKC210"/>
      <c r="CKD210"/>
      <c r="CKE210"/>
      <c r="CKF210"/>
      <c r="CKG210"/>
      <c r="CKH210"/>
      <c r="CKI210"/>
      <c r="CKJ210"/>
      <c r="CKK210"/>
      <c r="CKL210"/>
      <c r="CKM210"/>
      <c r="CKN210"/>
      <c r="CKO210"/>
      <c r="CKP210"/>
      <c r="CKQ210"/>
      <c r="CKR210"/>
      <c r="CKS210"/>
      <c r="CKT210"/>
      <c r="CKU210"/>
      <c r="CKV210"/>
      <c r="CKW210"/>
      <c r="CKX210"/>
      <c r="CKY210"/>
      <c r="CKZ210"/>
      <c r="CLA210"/>
      <c r="CLB210"/>
      <c r="CLC210"/>
      <c r="CLD210"/>
      <c r="CLE210"/>
      <c r="CLF210"/>
      <c r="CLG210"/>
      <c r="CLH210"/>
      <c r="CLI210"/>
      <c r="CLJ210"/>
      <c r="CLK210"/>
      <c r="CLL210"/>
      <c r="CLM210"/>
      <c r="CLN210"/>
      <c r="CLO210"/>
      <c r="CLP210"/>
      <c r="CLQ210"/>
      <c r="CLR210"/>
      <c r="CLS210"/>
      <c r="CLT210"/>
      <c r="CLU210"/>
      <c r="CLV210"/>
      <c r="CLW210"/>
      <c r="CLX210"/>
      <c r="CLY210"/>
      <c r="CLZ210"/>
      <c r="CMA210"/>
      <c r="CMB210"/>
      <c r="CMC210"/>
      <c r="CMD210"/>
      <c r="CME210"/>
      <c r="CMF210"/>
      <c r="CMG210"/>
      <c r="CMH210"/>
      <c r="CMI210"/>
      <c r="CMJ210"/>
      <c r="CMK210"/>
      <c r="CML210"/>
      <c r="CMM210"/>
      <c r="CMN210"/>
      <c r="CMO210"/>
      <c r="CMP210"/>
      <c r="CMQ210"/>
      <c r="CMR210"/>
      <c r="CMS210"/>
      <c r="CMT210"/>
      <c r="CMU210"/>
      <c r="CMV210"/>
      <c r="CMW210"/>
      <c r="CMX210"/>
      <c r="CMY210"/>
      <c r="CMZ210"/>
      <c r="CNA210"/>
      <c r="CNB210"/>
      <c r="CNC210"/>
      <c r="CND210"/>
      <c r="CNE210"/>
      <c r="CNF210"/>
      <c r="CNG210"/>
      <c r="CNH210"/>
      <c r="CNI210"/>
      <c r="CNJ210"/>
      <c r="CNK210"/>
      <c r="CNL210"/>
      <c r="CNM210"/>
      <c r="CNN210"/>
      <c r="CNO210"/>
      <c r="CNP210"/>
      <c r="CNQ210"/>
      <c r="CNR210"/>
      <c r="CNS210"/>
      <c r="CNT210"/>
      <c r="CNU210"/>
      <c r="CNV210"/>
      <c r="CNW210"/>
      <c r="CNX210"/>
      <c r="CNY210"/>
      <c r="CNZ210"/>
      <c r="COA210"/>
      <c r="COB210"/>
      <c r="COC210"/>
      <c r="COD210"/>
      <c r="COE210"/>
      <c r="COF210"/>
      <c r="COG210"/>
      <c r="COH210"/>
      <c r="COI210"/>
      <c r="COJ210"/>
      <c r="COK210"/>
      <c r="COL210"/>
      <c r="COM210"/>
      <c r="CON210"/>
      <c r="COO210"/>
      <c r="COP210"/>
      <c r="COQ210"/>
      <c r="COR210"/>
      <c r="COS210"/>
      <c r="COT210"/>
      <c r="COU210"/>
      <c r="COV210"/>
      <c r="COW210"/>
      <c r="COX210"/>
      <c r="COY210"/>
      <c r="COZ210"/>
      <c r="CPA210"/>
      <c r="CPB210"/>
      <c r="CPC210"/>
      <c r="CPD210"/>
      <c r="CPE210"/>
      <c r="CPF210"/>
      <c r="CPG210"/>
      <c r="CPH210"/>
      <c r="CPI210"/>
      <c r="CPJ210"/>
      <c r="CPK210"/>
      <c r="CPL210"/>
      <c r="CPM210"/>
      <c r="CPN210"/>
      <c r="CPO210"/>
      <c r="CPP210"/>
      <c r="CPQ210"/>
      <c r="CPR210"/>
      <c r="CPS210"/>
      <c r="CPT210"/>
      <c r="CPU210"/>
      <c r="CPV210"/>
      <c r="CPW210"/>
      <c r="CPX210"/>
      <c r="CPY210"/>
      <c r="CPZ210"/>
      <c r="CQA210"/>
      <c r="CQB210"/>
      <c r="CQC210"/>
      <c r="CQD210"/>
      <c r="CQE210"/>
      <c r="CQF210"/>
      <c r="CQG210"/>
      <c r="CQH210"/>
      <c r="CQI210"/>
      <c r="CQJ210"/>
      <c r="CQK210"/>
      <c r="CQL210"/>
      <c r="CQM210"/>
      <c r="CQN210"/>
      <c r="CQO210"/>
      <c r="CQP210"/>
      <c r="CQQ210"/>
      <c r="CQR210"/>
      <c r="CQS210"/>
      <c r="CQT210"/>
      <c r="CQU210"/>
      <c r="CQV210"/>
      <c r="CQW210"/>
      <c r="CQX210"/>
      <c r="CQY210"/>
      <c r="CQZ210"/>
      <c r="CRA210"/>
      <c r="CRB210"/>
      <c r="CRC210"/>
      <c r="CRD210"/>
      <c r="CRE210"/>
      <c r="CRF210"/>
      <c r="CRG210"/>
      <c r="CRH210"/>
      <c r="CRI210"/>
      <c r="CRJ210"/>
      <c r="CRK210"/>
      <c r="CRL210"/>
      <c r="CRM210"/>
      <c r="CRN210"/>
      <c r="CRO210"/>
      <c r="CRP210"/>
      <c r="CRQ210"/>
      <c r="CRR210"/>
      <c r="CRS210"/>
      <c r="CRT210"/>
      <c r="CRU210"/>
      <c r="CRV210"/>
      <c r="CRW210"/>
      <c r="CRX210"/>
      <c r="CRY210"/>
      <c r="CRZ210"/>
      <c r="CSA210"/>
      <c r="CSB210"/>
      <c r="CSC210"/>
      <c r="CSD210"/>
      <c r="CSE210"/>
      <c r="CSF210"/>
      <c r="CSG210"/>
      <c r="CSH210"/>
      <c r="CSI210"/>
      <c r="CSJ210"/>
      <c r="CSK210"/>
      <c r="CSL210"/>
      <c r="CSM210"/>
      <c r="CSN210"/>
      <c r="CSO210"/>
      <c r="CSP210"/>
      <c r="CSQ210"/>
      <c r="CSR210"/>
      <c r="CSS210"/>
      <c r="CST210"/>
      <c r="CSU210"/>
      <c r="CSV210"/>
      <c r="CSW210"/>
      <c r="CSX210"/>
      <c r="CSY210"/>
      <c r="CSZ210"/>
      <c r="CTA210"/>
      <c r="CTB210"/>
      <c r="CTC210"/>
      <c r="CTD210"/>
      <c r="CTE210"/>
      <c r="CTF210"/>
      <c r="CTG210"/>
      <c r="CTH210"/>
      <c r="CTI210"/>
      <c r="CTJ210"/>
      <c r="CTK210"/>
      <c r="CTL210"/>
      <c r="CTM210"/>
      <c r="CTN210"/>
      <c r="CTO210"/>
      <c r="CTP210"/>
      <c r="CTQ210"/>
      <c r="CTR210"/>
      <c r="CTS210"/>
      <c r="CTT210"/>
      <c r="CTU210"/>
      <c r="CTV210"/>
      <c r="CTW210"/>
      <c r="CTX210"/>
      <c r="CTY210"/>
      <c r="CTZ210"/>
      <c r="CUA210"/>
      <c r="CUB210"/>
      <c r="CUC210"/>
      <c r="CUD210"/>
      <c r="CUE210"/>
      <c r="CUF210"/>
      <c r="CUG210"/>
      <c r="CUH210"/>
      <c r="CUI210"/>
      <c r="CUJ210"/>
      <c r="CUK210"/>
      <c r="CUL210"/>
      <c r="CUM210"/>
      <c r="CUN210"/>
      <c r="CUO210"/>
      <c r="CUP210"/>
      <c r="CUQ210"/>
      <c r="CUR210"/>
      <c r="CUS210"/>
      <c r="CUT210"/>
      <c r="CUU210"/>
      <c r="CUV210"/>
      <c r="CUW210"/>
      <c r="CUX210"/>
      <c r="CUY210"/>
      <c r="CUZ210"/>
      <c r="CVA210"/>
      <c r="CVB210"/>
      <c r="CVC210"/>
      <c r="CVD210"/>
      <c r="CVE210"/>
      <c r="CVF210"/>
      <c r="CVG210"/>
      <c r="CVH210"/>
      <c r="CVI210"/>
      <c r="CVJ210"/>
      <c r="CVK210"/>
      <c r="CVL210"/>
      <c r="CVM210"/>
      <c r="CVN210"/>
      <c r="CVO210"/>
      <c r="CVP210"/>
      <c r="CVQ210"/>
      <c r="CVR210"/>
      <c r="CVS210"/>
      <c r="CVT210"/>
      <c r="CVU210"/>
      <c r="CVV210"/>
      <c r="CVW210"/>
      <c r="CVX210"/>
      <c r="CVY210"/>
      <c r="CVZ210"/>
      <c r="CWA210"/>
      <c r="CWB210"/>
      <c r="CWC210"/>
      <c r="CWD210"/>
      <c r="CWE210"/>
      <c r="CWF210"/>
      <c r="CWG210"/>
      <c r="CWH210"/>
      <c r="CWI210"/>
      <c r="CWJ210"/>
      <c r="CWK210"/>
      <c r="CWL210"/>
      <c r="CWM210"/>
      <c r="CWN210"/>
      <c r="CWO210"/>
      <c r="CWP210"/>
      <c r="CWQ210"/>
      <c r="CWR210"/>
      <c r="CWS210"/>
      <c r="CWT210"/>
      <c r="CWU210"/>
      <c r="CWV210"/>
      <c r="CWW210"/>
      <c r="CWX210"/>
      <c r="CWY210"/>
      <c r="CWZ210"/>
      <c r="CXA210"/>
      <c r="CXB210"/>
      <c r="CXC210"/>
      <c r="CXD210"/>
      <c r="CXE210"/>
      <c r="CXF210"/>
      <c r="CXG210"/>
      <c r="CXH210"/>
      <c r="CXI210"/>
      <c r="CXJ210"/>
      <c r="CXK210"/>
      <c r="CXL210"/>
      <c r="CXM210"/>
      <c r="CXN210"/>
      <c r="CXO210"/>
      <c r="CXP210"/>
      <c r="CXQ210"/>
      <c r="CXR210"/>
      <c r="CXS210"/>
      <c r="CXT210"/>
      <c r="CXU210"/>
      <c r="CXV210"/>
      <c r="CXW210"/>
      <c r="CXX210"/>
      <c r="CXY210"/>
      <c r="CXZ210"/>
      <c r="CYA210"/>
      <c r="CYB210"/>
      <c r="CYC210"/>
      <c r="CYD210"/>
      <c r="CYE210"/>
      <c r="CYF210"/>
      <c r="CYG210"/>
      <c r="CYH210"/>
      <c r="CYI210"/>
      <c r="CYJ210"/>
      <c r="CYK210"/>
      <c r="CYL210"/>
      <c r="CYM210"/>
      <c r="CYN210"/>
      <c r="CYO210"/>
      <c r="CYP210"/>
      <c r="CYQ210"/>
      <c r="CYR210"/>
      <c r="CYS210"/>
      <c r="CYT210"/>
      <c r="CYU210"/>
      <c r="CYV210"/>
      <c r="CYW210"/>
      <c r="CYX210"/>
      <c r="CYY210"/>
      <c r="CYZ210"/>
      <c r="CZA210"/>
      <c r="CZB210"/>
      <c r="CZC210"/>
      <c r="CZD210"/>
      <c r="CZE210"/>
      <c r="CZF210"/>
      <c r="CZG210"/>
      <c r="CZH210"/>
      <c r="CZI210"/>
      <c r="CZJ210"/>
      <c r="CZK210"/>
      <c r="CZL210"/>
      <c r="CZM210"/>
      <c r="CZN210"/>
      <c r="CZO210"/>
      <c r="CZP210"/>
      <c r="CZQ210"/>
      <c r="CZR210"/>
      <c r="CZS210"/>
      <c r="CZT210"/>
      <c r="CZU210"/>
      <c r="CZV210"/>
      <c r="CZW210"/>
      <c r="CZX210"/>
      <c r="CZY210"/>
      <c r="CZZ210"/>
      <c r="DAA210"/>
      <c r="DAB210"/>
      <c r="DAC210"/>
      <c r="DAD210"/>
      <c r="DAE210"/>
      <c r="DAF210"/>
      <c r="DAG210"/>
      <c r="DAH210"/>
      <c r="DAI210"/>
      <c r="DAJ210"/>
      <c r="DAK210"/>
      <c r="DAL210"/>
      <c r="DAM210"/>
      <c r="DAN210"/>
      <c r="DAO210"/>
      <c r="DAP210"/>
      <c r="DAQ210"/>
      <c r="DAR210"/>
      <c r="DAS210"/>
      <c r="DAT210"/>
      <c r="DAU210"/>
      <c r="DAV210"/>
      <c r="DAW210"/>
      <c r="DAX210"/>
      <c r="DAY210"/>
      <c r="DAZ210"/>
      <c r="DBA210"/>
      <c r="DBB210"/>
      <c r="DBC210"/>
      <c r="DBD210"/>
      <c r="DBE210"/>
      <c r="DBF210"/>
      <c r="DBG210"/>
      <c r="DBH210"/>
      <c r="DBI210"/>
      <c r="DBJ210"/>
      <c r="DBK210"/>
      <c r="DBL210"/>
      <c r="DBM210"/>
      <c r="DBN210"/>
      <c r="DBO210"/>
      <c r="DBP210"/>
      <c r="DBQ210"/>
      <c r="DBR210"/>
      <c r="DBS210"/>
      <c r="DBT210"/>
      <c r="DBU210"/>
      <c r="DBV210"/>
      <c r="DBW210"/>
      <c r="DBX210"/>
      <c r="DBY210"/>
      <c r="DBZ210"/>
      <c r="DCA210"/>
      <c r="DCB210"/>
      <c r="DCC210"/>
      <c r="DCD210"/>
      <c r="DCE210"/>
      <c r="DCF210"/>
      <c r="DCG210"/>
      <c r="DCH210"/>
      <c r="DCI210"/>
      <c r="DCJ210"/>
      <c r="DCK210"/>
      <c r="DCL210"/>
      <c r="DCM210"/>
      <c r="DCN210"/>
      <c r="DCO210"/>
      <c r="DCP210"/>
      <c r="DCQ210"/>
      <c r="DCR210"/>
      <c r="DCS210"/>
      <c r="DCT210"/>
      <c r="DCU210"/>
      <c r="DCV210"/>
      <c r="DCW210"/>
      <c r="DCX210"/>
      <c r="DCY210"/>
      <c r="DCZ210"/>
      <c r="DDA210"/>
      <c r="DDB210"/>
      <c r="DDC210"/>
      <c r="DDD210"/>
      <c r="DDE210"/>
      <c r="DDF210"/>
      <c r="DDG210"/>
      <c r="DDH210"/>
      <c r="DDI210"/>
      <c r="DDJ210"/>
      <c r="DDK210"/>
      <c r="DDL210"/>
      <c r="DDM210"/>
      <c r="DDN210"/>
      <c r="DDO210"/>
      <c r="DDP210"/>
      <c r="DDQ210"/>
      <c r="DDR210"/>
      <c r="DDS210"/>
      <c r="DDT210"/>
      <c r="DDU210"/>
      <c r="DDV210"/>
      <c r="DDW210"/>
      <c r="DDX210"/>
      <c r="DDY210"/>
      <c r="DDZ210"/>
      <c r="DEA210"/>
      <c r="DEB210"/>
      <c r="DEC210"/>
      <c r="DED210"/>
      <c r="DEE210"/>
      <c r="DEF210"/>
      <c r="DEG210"/>
      <c r="DEH210"/>
      <c r="DEI210"/>
      <c r="DEJ210"/>
      <c r="DEK210"/>
      <c r="DEL210"/>
      <c r="DEM210"/>
      <c r="DEN210"/>
      <c r="DEO210"/>
      <c r="DEP210"/>
      <c r="DEQ210"/>
      <c r="DER210"/>
      <c r="DES210"/>
      <c r="DET210"/>
      <c r="DEU210"/>
      <c r="DEV210"/>
      <c r="DEW210"/>
      <c r="DEX210"/>
      <c r="DEY210"/>
      <c r="DEZ210"/>
      <c r="DFA210"/>
      <c r="DFB210"/>
      <c r="DFC210"/>
      <c r="DFD210"/>
      <c r="DFE210"/>
      <c r="DFF210"/>
      <c r="DFG210"/>
      <c r="DFH210"/>
      <c r="DFI210"/>
      <c r="DFJ210"/>
      <c r="DFK210"/>
      <c r="DFL210"/>
      <c r="DFM210"/>
      <c r="DFN210"/>
      <c r="DFO210"/>
      <c r="DFP210"/>
      <c r="DFQ210"/>
      <c r="DFR210"/>
      <c r="DFS210"/>
      <c r="DFT210"/>
      <c r="DFU210"/>
      <c r="DFV210"/>
      <c r="DFW210"/>
      <c r="DFX210"/>
      <c r="DFY210"/>
      <c r="DFZ210"/>
      <c r="DGA210"/>
      <c r="DGB210"/>
      <c r="DGC210"/>
      <c r="DGD210"/>
      <c r="DGE210"/>
      <c r="DGF210"/>
      <c r="DGG210"/>
      <c r="DGH210"/>
      <c r="DGI210"/>
      <c r="DGJ210"/>
      <c r="DGK210"/>
      <c r="DGL210"/>
      <c r="DGM210"/>
      <c r="DGN210"/>
      <c r="DGO210"/>
      <c r="DGP210"/>
      <c r="DGQ210"/>
      <c r="DGR210"/>
      <c r="DGS210"/>
      <c r="DGT210"/>
      <c r="DGU210"/>
      <c r="DGV210"/>
      <c r="DGW210"/>
      <c r="DGX210"/>
      <c r="DGY210"/>
      <c r="DGZ210"/>
      <c r="DHA210"/>
      <c r="DHB210"/>
      <c r="DHC210"/>
      <c r="DHD210"/>
      <c r="DHE210"/>
      <c r="DHF210"/>
      <c r="DHG210"/>
      <c r="DHH210"/>
      <c r="DHI210"/>
      <c r="DHJ210"/>
      <c r="DHK210"/>
      <c r="DHL210"/>
      <c r="DHM210"/>
      <c r="DHN210"/>
      <c r="DHO210"/>
      <c r="DHP210"/>
      <c r="DHQ210"/>
      <c r="DHR210"/>
      <c r="DHS210"/>
      <c r="DHT210"/>
      <c r="DHU210"/>
      <c r="DHV210"/>
      <c r="DHW210"/>
      <c r="DHX210"/>
      <c r="DHY210"/>
      <c r="DHZ210"/>
      <c r="DIA210"/>
      <c r="DIB210"/>
      <c r="DIC210"/>
      <c r="DID210"/>
      <c r="DIE210"/>
      <c r="DIF210"/>
      <c r="DIG210"/>
      <c r="DIH210"/>
      <c r="DII210"/>
      <c r="DIJ210"/>
      <c r="DIK210"/>
      <c r="DIL210"/>
      <c r="DIM210"/>
      <c r="DIN210"/>
      <c r="DIO210"/>
      <c r="DIP210"/>
      <c r="DIQ210"/>
      <c r="DIR210"/>
      <c r="DIS210"/>
      <c r="DIT210"/>
      <c r="DIU210"/>
      <c r="DIV210"/>
      <c r="DIW210"/>
      <c r="DIX210"/>
      <c r="DIY210"/>
      <c r="DIZ210"/>
      <c r="DJA210"/>
      <c r="DJB210"/>
      <c r="DJC210"/>
      <c r="DJD210"/>
      <c r="DJE210"/>
      <c r="DJF210"/>
      <c r="DJG210"/>
      <c r="DJH210"/>
      <c r="DJI210"/>
      <c r="DJJ210"/>
      <c r="DJK210"/>
      <c r="DJL210"/>
      <c r="DJM210"/>
      <c r="DJN210"/>
      <c r="DJO210"/>
      <c r="DJP210"/>
      <c r="DJQ210"/>
      <c r="DJR210"/>
      <c r="DJS210"/>
      <c r="DJT210"/>
      <c r="DJU210"/>
      <c r="DJV210"/>
      <c r="DJW210"/>
      <c r="DJX210"/>
      <c r="DJY210"/>
      <c r="DJZ210"/>
      <c r="DKA210"/>
      <c r="DKB210"/>
      <c r="DKC210"/>
      <c r="DKD210"/>
      <c r="DKE210"/>
      <c r="DKF210"/>
      <c r="DKG210"/>
      <c r="DKH210"/>
      <c r="DKI210"/>
      <c r="DKJ210"/>
      <c r="DKK210"/>
      <c r="DKL210"/>
      <c r="DKM210"/>
      <c r="DKN210"/>
      <c r="DKO210"/>
      <c r="DKP210"/>
      <c r="DKQ210"/>
      <c r="DKR210"/>
      <c r="DKS210"/>
      <c r="DKT210"/>
      <c r="DKU210"/>
      <c r="DKV210"/>
      <c r="DKW210"/>
      <c r="DKX210"/>
      <c r="DKY210"/>
      <c r="DKZ210"/>
      <c r="DLA210"/>
      <c r="DLB210"/>
      <c r="DLC210"/>
      <c r="DLD210"/>
      <c r="DLE210"/>
      <c r="DLF210"/>
      <c r="DLG210"/>
      <c r="DLH210"/>
      <c r="DLI210"/>
      <c r="DLJ210"/>
      <c r="DLK210"/>
      <c r="DLL210"/>
      <c r="DLM210"/>
      <c r="DLN210"/>
      <c r="DLO210"/>
      <c r="DLP210"/>
      <c r="DLQ210"/>
      <c r="DLR210"/>
      <c r="DLS210"/>
      <c r="DLT210"/>
      <c r="DLU210"/>
      <c r="DLV210"/>
      <c r="DLW210"/>
      <c r="DLX210"/>
      <c r="DLY210"/>
      <c r="DLZ210"/>
      <c r="DMA210"/>
      <c r="DMB210"/>
      <c r="DMC210"/>
      <c r="DMD210"/>
      <c r="DME210"/>
      <c r="DMF210"/>
      <c r="DMG210"/>
      <c r="DMH210"/>
      <c r="DMI210"/>
      <c r="DMJ210"/>
      <c r="DMK210"/>
      <c r="DML210"/>
      <c r="DMM210"/>
      <c r="DMN210"/>
      <c r="DMO210"/>
      <c r="DMP210"/>
      <c r="DMQ210"/>
      <c r="DMR210"/>
      <c r="DMS210"/>
      <c r="DMT210"/>
      <c r="DMU210"/>
      <c r="DMV210"/>
      <c r="DMW210"/>
      <c r="DMX210"/>
      <c r="DMY210"/>
      <c r="DMZ210"/>
      <c r="DNA210"/>
      <c r="DNB210"/>
      <c r="DNC210"/>
      <c r="DND210"/>
      <c r="DNE210"/>
      <c r="DNF210"/>
      <c r="DNG210"/>
      <c r="DNH210"/>
      <c r="DNI210"/>
      <c r="DNJ210"/>
      <c r="DNK210"/>
      <c r="DNL210"/>
      <c r="DNM210"/>
      <c r="DNN210"/>
      <c r="DNO210"/>
      <c r="DNP210"/>
      <c r="DNQ210"/>
      <c r="DNR210"/>
      <c r="DNS210"/>
      <c r="DNT210"/>
      <c r="DNU210"/>
      <c r="DNV210"/>
      <c r="DNW210"/>
      <c r="DNX210"/>
      <c r="DNY210"/>
      <c r="DNZ210"/>
      <c r="DOA210"/>
      <c r="DOB210"/>
      <c r="DOC210"/>
      <c r="DOD210"/>
      <c r="DOE210"/>
      <c r="DOF210"/>
      <c r="DOG210"/>
      <c r="DOH210"/>
      <c r="DOI210"/>
      <c r="DOJ210"/>
      <c r="DOK210"/>
      <c r="DOL210"/>
      <c r="DOM210"/>
      <c r="DON210"/>
      <c r="DOO210"/>
      <c r="DOP210"/>
      <c r="DOQ210"/>
      <c r="DOR210"/>
      <c r="DOS210"/>
      <c r="DOT210"/>
      <c r="DOU210"/>
      <c r="DOV210"/>
      <c r="DOW210"/>
      <c r="DOX210"/>
      <c r="DOY210"/>
      <c r="DOZ210"/>
      <c r="DPA210"/>
      <c r="DPB210"/>
      <c r="DPC210"/>
      <c r="DPD210"/>
      <c r="DPE210"/>
      <c r="DPF210"/>
      <c r="DPG210"/>
      <c r="DPH210"/>
      <c r="DPI210"/>
      <c r="DPJ210"/>
      <c r="DPK210"/>
      <c r="DPL210"/>
      <c r="DPM210"/>
      <c r="DPN210"/>
      <c r="DPO210"/>
      <c r="DPP210"/>
      <c r="DPQ210"/>
      <c r="DPR210"/>
      <c r="DPS210"/>
      <c r="DPT210"/>
      <c r="DPU210"/>
      <c r="DPV210"/>
      <c r="DPW210"/>
      <c r="DPX210"/>
      <c r="DPY210"/>
      <c r="DPZ210"/>
      <c r="DQA210"/>
      <c r="DQB210"/>
      <c r="DQC210"/>
      <c r="DQD210"/>
      <c r="DQE210"/>
      <c r="DQF210"/>
      <c r="DQG210"/>
      <c r="DQH210"/>
      <c r="DQI210"/>
      <c r="DQJ210"/>
      <c r="DQK210"/>
      <c r="DQL210"/>
      <c r="DQM210"/>
      <c r="DQN210"/>
      <c r="DQO210"/>
      <c r="DQP210"/>
      <c r="DQQ210"/>
      <c r="DQR210"/>
      <c r="DQS210"/>
      <c r="DQT210"/>
      <c r="DQU210"/>
      <c r="DQV210"/>
      <c r="DQW210"/>
      <c r="DQX210"/>
      <c r="DQY210"/>
      <c r="DQZ210"/>
      <c r="DRA210"/>
      <c r="DRB210"/>
      <c r="DRC210"/>
      <c r="DRD210"/>
      <c r="DRE210"/>
      <c r="DRF210"/>
      <c r="DRG210"/>
      <c r="DRH210"/>
      <c r="DRI210"/>
      <c r="DRJ210"/>
      <c r="DRK210"/>
      <c r="DRL210"/>
      <c r="DRM210"/>
      <c r="DRN210"/>
      <c r="DRO210"/>
      <c r="DRP210"/>
      <c r="DRQ210"/>
      <c r="DRR210"/>
      <c r="DRS210"/>
      <c r="DRT210"/>
      <c r="DRU210"/>
      <c r="DRV210"/>
      <c r="DRW210"/>
      <c r="DRX210"/>
      <c r="DRY210"/>
      <c r="DRZ210"/>
      <c r="DSA210"/>
      <c r="DSB210"/>
      <c r="DSC210"/>
      <c r="DSD210"/>
      <c r="DSE210"/>
      <c r="DSF210"/>
      <c r="DSG210"/>
      <c r="DSH210"/>
      <c r="DSI210"/>
      <c r="DSJ210"/>
      <c r="DSK210"/>
      <c r="DSL210"/>
      <c r="DSM210"/>
      <c r="DSN210"/>
      <c r="DSO210"/>
      <c r="DSP210"/>
      <c r="DSQ210"/>
      <c r="DSR210"/>
      <c r="DSS210"/>
      <c r="DST210"/>
      <c r="DSU210"/>
      <c r="DSV210"/>
      <c r="DSW210"/>
      <c r="DSX210"/>
      <c r="DSY210"/>
      <c r="DSZ210"/>
      <c r="DTA210"/>
      <c r="DTB210"/>
      <c r="DTC210"/>
      <c r="DTD210"/>
      <c r="DTE210"/>
      <c r="DTF210"/>
      <c r="DTG210"/>
      <c r="DTH210"/>
      <c r="DTI210"/>
      <c r="DTJ210"/>
      <c r="DTK210"/>
      <c r="DTL210"/>
      <c r="DTM210"/>
      <c r="DTN210"/>
      <c r="DTO210"/>
      <c r="DTP210"/>
      <c r="DTQ210"/>
      <c r="DTR210"/>
      <c r="DTS210"/>
      <c r="DTT210"/>
      <c r="DTU210"/>
      <c r="DTV210"/>
      <c r="DTW210"/>
      <c r="DTX210"/>
      <c r="DTY210"/>
      <c r="DTZ210"/>
      <c r="DUA210"/>
      <c r="DUB210"/>
      <c r="DUC210"/>
      <c r="DUD210"/>
      <c r="DUE210"/>
      <c r="DUF210"/>
      <c r="DUG210"/>
      <c r="DUH210"/>
      <c r="DUI210"/>
      <c r="DUJ210"/>
      <c r="DUK210"/>
      <c r="DUL210"/>
      <c r="DUM210"/>
      <c r="DUN210"/>
      <c r="DUO210"/>
      <c r="DUP210"/>
      <c r="DUQ210"/>
      <c r="DUR210"/>
      <c r="DUS210"/>
      <c r="DUT210"/>
      <c r="DUU210"/>
      <c r="DUV210"/>
      <c r="DUW210"/>
      <c r="DUX210"/>
      <c r="DUY210"/>
      <c r="DUZ210"/>
      <c r="DVA210"/>
      <c r="DVB210"/>
      <c r="DVC210"/>
      <c r="DVD210"/>
      <c r="DVE210"/>
      <c r="DVF210"/>
      <c r="DVG210"/>
      <c r="DVH210"/>
      <c r="DVI210"/>
      <c r="DVJ210"/>
      <c r="DVK210"/>
      <c r="DVL210"/>
      <c r="DVM210"/>
      <c r="DVN210"/>
      <c r="DVO210"/>
      <c r="DVP210"/>
      <c r="DVQ210"/>
      <c r="DVR210"/>
      <c r="DVS210"/>
      <c r="DVT210"/>
      <c r="DVU210"/>
      <c r="DVV210"/>
      <c r="DVW210"/>
      <c r="DVX210"/>
      <c r="DVY210"/>
      <c r="DVZ210"/>
      <c r="DWA210"/>
      <c r="DWB210"/>
      <c r="DWC210"/>
      <c r="DWD210"/>
      <c r="DWE210"/>
      <c r="DWF210"/>
      <c r="DWG210"/>
      <c r="DWH210"/>
      <c r="DWI210"/>
      <c r="DWJ210"/>
      <c r="DWK210"/>
      <c r="DWL210"/>
      <c r="DWM210"/>
      <c r="DWN210"/>
      <c r="DWO210"/>
      <c r="DWP210"/>
      <c r="DWQ210"/>
      <c r="DWR210"/>
      <c r="DWS210"/>
      <c r="DWT210"/>
      <c r="DWU210"/>
      <c r="DWV210"/>
      <c r="DWW210"/>
      <c r="DWX210"/>
      <c r="DWY210"/>
      <c r="DWZ210"/>
      <c r="DXA210"/>
      <c r="DXB210"/>
      <c r="DXC210"/>
      <c r="DXD210"/>
      <c r="DXE210"/>
      <c r="DXF210"/>
      <c r="DXG210"/>
      <c r="DXH210"/>
      <c r="DXI210"/>
      <c r="DXJ210"/>
      <c r="DXK210"/>
      <c r="DXL210"/>
      <c r="DXM210"/>
      <c r="DXN210"/>
      <c r="DXO210"/>
      <c r="DXP210"/>
      <c r="DXQ210"/>
      <c r="DXR210"/>
      <c r="DXS210"/>
      <c r="DXT210"/>
      <c r="DXU210"/>
      <c r="DXV210"/>
      <c r="DXW210"/>
      <c r="DXX210"/>
      <c r="DXY210"/>
      <c r="DXZ210"/>
      <c r="DYA210"/>
      <c r="DYB210"/>
      <c r="DYC210"/>
      <c r="DYD210"/>
      <c r="DYE210"/>
      <c r="DYF210"/>
      <c r="DYG210"/>
      <c r="DYH210"/>
      <c r="DYI210"/>
      <c r="DYJ210"/>
      <c r="DYK210"/>
      <c r="DYL210"/>
      <c r="DYM210"/>
      <c r="DYN210"/>
      <c r="DYO210"/>
      <c r="DYP210"/>
      <c r="DYQ210"/>
      <c r="DYR210"/>
      <c r="DYS210"/>
      <c r="DYT210"/>
      <c r="DYU210"/>
      <c r="DYV210"/>
      <c r="DYW210"/>
      <c r="DYX210"/>
      <c r="DYY210"/>
      <c r="DYZ210"/>
      <c r="DZA210"/>
      <c r="DZB210"/>
      <c r="DZC210"/>
      <c r="DZD210"/>
      <c r="DZE210"/>
      <c r="DZF210"/>
      <c r="DZG210"/>
      <c r="DZH210"/>
      <c r="DZI210"/>
      <c r="DZJ210"/>
      <c r="DZK210"/>
      <c r="DZL210"/>
      <c r="DZM210"/>
      <c r="DZN210"/>
      <c r="DZO210"/>
      <c r="DZP210"/>
      <c r="DZQ210"/>
      <c r="DZR210"/>
      <c r="DZS210"/>
      <c r="DZT210"/>
      <c r="DZU210"/>
      <c r="DZV210"/>
      <c r="DZW210"/>
      <c r="DZX210"/>
      <c r="DZY210"/>
      <c r="DZZ210"/>
      <c r="EAA210"/>
      <c r="EAB210"/>
      <c r="EAC210"/>
      <c r="EAD210"/>
      <c r="EAE210"/>
      <c r="EAF210"/>
      <c r="EAG210"/>
      <c r="EAH210"/>
      <c r="EAI210"/>
      <c r="EAJ210"/>
      <c r="EAK210"/>
      <c r="EAL210"/>
      <c r="EAM210"/>
      <c r="EAN210"/>
      <c r="EAO210"/>
      <c r="EAP210"/>
      <c r="EAQ210"/>
      <c r="EAR210"/>
      <c r="EAS210"/>
      <c r="EAT210"/>
      <c r="EAU210"/>
      <c r="EAV210"/>
      <c r="EAW210"/>
      <c r="EAX210"/>
      <c r="EAY210"/>
      <c r="EAZ210"/>
      <c r="EBA210"/>
      <c r="EBB210"/>
      <c r="EBC210"/>
      <c r="EBD210"/>
      <c r="EBE210"/>
      <c r="EBF210"/>
      <c r="EBG210"/>
      <c r="EBH210"/>
      <c r="EBI210"/>
      <c r="EBJ210"/>
      <c r="EBK210"/>
      <c r="EBL210"/>
      <c r="EBM210"/>
      <c r="EBN210"/>
      <c r="EBO210"/>
      <c r="EBP210"/>
      <c r="EBQ210"/>
      <c r="EBR210"/>
      <c r="EBS210"/>
      <c r="EBT210"/>
      <c r="EBU210"/>
      <c r="EBV210"/>
      <c r="EBW210"/>
      <c r="EBX210"/>
      <c r="EBY210"/>
      <c r="EBZ210"/>
      <c r="ECA210"/>
      <c r="ECB210"/>
      <c r="ECC210"/>
      <c r="ECD210"/>
      <c r="ECE210"/>
      <c r="ECF210"/>
      <c r="ECG210"/>
      <c r="ECH210"/>
      <c r="ECI210"/>
      <c r="ECJ210"/>
      <c r="ECK210"/>
      <c r="ECL210"/>
      <c r="ECM210"/>
      <c r="ECN210"/>
      <c r="ECO210"/>
      <c r="ECP210"/>
      <c r="ECQ210"/>
      <c r="ECR210"/>
      <c r="ECS210"/>
      <c r="ECT210"/>
      <c r="ECU210"/>
      <c r="ECV210"/>
      <c r="ECW210"/>
      <c r="ECX210"/>
      <c r="ECY210"/>
      <c r="ECZ210"/>
      <c r="EDA210"/>
      <c r="EDB210"/>
      <c r="EDC210"/>
      <c r="EDD210"/>
      <c r="EDE210"/>
      <c r="EDF210"/>
      <c r="EDG210"/>
      <c r="EDH210"/>
      <c r="EDI210"/>
      <c r="EDJ210"/>
      <c r="EDK210"/>
      <c r="EDL210"/>
      <c r="EDM210"/>
      <c r="EDN210"/>
      <c r="EDO210"/>
      <c r="EDP210"/>
      <c r="EDQ210"/>
      <c r="EDR210"/>
      <c r="EDS210"/>
      <c r="EDT210"/>
      <c r="EDU210"/>
      <c r="EDV210"/>
      <c r="EDW210"/>
      <c r="EDX210"/>
      <c r="EDY210"/>
      <c r="EDZ210"/>
      <c r="EEA210"/>
      <c r="EEB210"/>
      <c r="EEC210"/>
      <c r="EED210"/>
      <c r="EEE210"/>
      <c r="EEF210"/>
      <c r="EEG210"/>
      <c r="EEH210"/>
      <c r="EEI210"/>
      <c r="EEJ210"/>
      <c r="EEK210"/>
      <c r="EEL210"/>
      <c r="EEM210"/>
      <c r="EEN210"/>
      <c r="EEO210"/>
      <c r="EEP210"/>
      <c r="EEQ210"/>
      <c r="EER210"/>
      <c r="EES210"/>
      <c r="EET210"/>
      <c r="EEU210"/>
      <c r="EEV210"/>
      <c r="EEW210"/>
      <c r="EEX210"/>
      <c r="EEY210"/>
      <c r="EEZ210"/>
      <c r="EFA210"/>
      <c r="EFB210"/>
      <c r="EFC210"/>
      <c r="EFD210"/>
      <c r="EFE210"/>
      <c r="EFF210"/>
      <c r="EFG210"/>
      <c r="EFH210"/>
      <c r="EFI210"/>
      <c r="EFJ210"/>
      <c r="EFK210"/>
      <c r="EFL210"/>
      <c r="EFM210"/>
      <c r="EFN210"/>
      <c r="EFO210"/>
      <c r="EFP210"/>
      <c r="EFQ210"/>
      <c r="EFR210"/>
      <c r="EFS210"/>
      <c r="EFT210"/>
      <c r="EFU210"/>
      <c r="EFV210"/>
      <c r="EFW210"/>
      <c r="EFX210"/>
      <c r="EFY210"/>
      <c r="EFZ210"/>
      <c r="EGA210"/>
      <c r="EGB210"/>
      <c r="EGC210"/>
      <c r="EGD210"/>
      <c r="EGE210"/>
      <c r="EGF210"/>
      <c r="EGG210"/>
      <c r="EGH210"/>
      <c r="EGI210"/>
      <c r="EGJ210"/>
      <c r="EGK210"/>
      <c r="EGL210"/>
      <c r="EGM210"/>
      <c r="EGN210"/>
      <c r="EGO210"/>
      <c r="EGP210"/>
      <c r="EGQ210"/>
      <c r="EGR210"/>
      <c r="EGS210"/>
      <c r="EGT210"/>
      <c r="EGU210"/>
      <c r="EGV210"/>
      <c r="EGW210"/>
      <c r="EGX210"/>
      <c r="EGY210"/>
      <c r="EGZ210"/>
      <c r="EHA210"/>
      <c r="EHB210"/>
      <c r="EHC210"/>
      <c r="EHD210"/>
      <c r="EHE210"/>
      <c r="EHF210"/>
      <c r="EHG210"/>
      <c r="EHH210"/>
      <c r="EHI210"/>
      <c r="EHJ210"/>
      <c r="EHK210"/>
      <c r="EHL210"/>
      <c r="EHM210"/>
      <c r="EHN210"/>
      <c r="EHO210"/>
      <c r="EHP210"/>
      <c r="EHQ210"/>
      <c r="EHR210"/>
      <c r="EHS210"/>
      <c r="EHT210"/>
      <c r="EHU210"/>
      <c r="EHV210"/>
      <c r="EHW210"/>
      <c r="EHX210"/>
      <c r="EHY210"/>
      <c r="EHZ210"/>
      <c r="EIA210"/>
      <c r="EIB210"/>
      <c r="EIC210"/>
      <c r="EID210"/>
      <c r="EIE210"/>
      <c r="EIF210"/>
      <c r="EIG210"/>
      <c r="EIH210"/>
      <c r="EII210"/>
      <c r="EIJ210"/>
      <c r="EIK210"/>
      <c r="EIL210"/>
      <c r="EIM210"/>
      <c r="EIN210"/>
      <c r="EIO210"/>
      <c r="EIP210"/>
      <c r="EIQ210"/>
      <c r="EIR210"/>
      <c r="EIS210"/>
      <c r="EIT210"/>
      <c r="EIU210"/>
      <c r="EIV210"/>
      <c r="EIW210"/>
      <c r="EIX210"/>
      <c r="EIY210"/>
      <c r="EIZ210"/>
      <c r="EJA210"/>
      <c r="EJB210"/>
      <c r="EJC210"/>
      <c r="EJD210"/>
      <c r="EJE210"/>
      <c r="EJF210"/>
      <c r="EJG210"/>
      <c r="EJH210"/>
      <c r="EJI210"/>
      <c r="EJJ210"/>
      <c r="EJK210"/>
      <c r="EJL210"/>
      <c r="EJM210"/>
      <c r="EJN210"/>
      <c r="EJO210"/>
      <c r="EJP210"/>
      <c r="EJQ210"/>
      <c r="EJR210"/>
      <c r="EJS210"/>
      <c r="EJT210"/>
      <c r="EJU210"/>
      <c r="EJV210"/>
      <c r="EJW210"/>
      <c r="EJX210"/>
      <c r="EJY210"/>
      <c r="EJZ210"/>
      <c r="EKA210"/>
      <c r="EKB210"/>
      <c r="EKC210"/>
      <c r="EKD210"/>
      <c r="EKE210"/>
      <c r="EKF210"/>
      <c r="EKG210"/>
      <c r="EKH210"/>
      <c r="EKI210"/>
      <c r="EKJ210"/>
      <c r="EKK210"/>
      <c r="EKL210"/>
      <c r="EKM210"/>
      <c r="EKN210"/>
      <c r="EKO210"/>
      <c r="EKP210"/>
      <c r="EKQ210"/>
      <c r="EKR210"/>
      <c r="EKS210"/>
      <c r="EKT210"/>
      <c r="EKU210"/>
      <c r="EKV210"/>
      <c r="EKW210"/>
      <c r="EKX210"/>
      <c r="EKY210"/>
      <c r="EKZ210"/>
      <c r="ELA210"/>
      <c r="ELB210"/>
      <c r="ELC210"/>
      <c r="ELD210"/>
      <c r="ELE210"/>
      <c r="ELF210"/>
      <c r="ELG210"/>
      <c r="ELH210"/>
      <c r="ELI210"/>
      <c r="ELJ210"/>
      <c r="ELK210"/>
      <c r="ELL210"/>
      <c r="ELM210"/>
      <c r="ELN210"/>
      <c r="ELO210"/>
      <c r="ELP210"/>
      <c r="ELQ210"/>
      <c r="ELR210"/>
      <c r="ELS210"/>
      <c r="ELT210"/>
      <c r="ELU210"/>
      <c r="ELV210"/>
      <c r="ELW210"/>
      <c r="ELX210"/>
      <c r="ELY210"/>
      <c r="ELZ210"/>
      <c r="EMA210"/>
      <c r="EMB210"/>
      <c r="EMC210"/>
      <c r="EMD210"/>
      <c r="EME210"/>
      <c r="EMF210"/>
      <c r="EMG210"/>
      <c r="EMH210"/>
      <c r="EMI210"/>
      <c r="EMJ210"/>
      <c r="EMK210"/>
      <c r="EML210"/>
      <c r="EMM210"/>
      <c r="EMN210"/>
      <c r="EMO210"/>
      <c r="EMP210"/>
      <c r="EMQ210"/>
      <c r="EMR210"/>
      <c r="EMS210"/>
      <c r="EMT210"/>
      <c r="EMU210"/>
      <c r="EMV210"/>
      <c r="EMW210"/>
      <c r="EMX210"/>
      <c r="EMY210"/>
      <c r="EMZ210"/>
      <c r="ENA210"/>
      <c r="ENB210"/>
      <c r="ENC210"/>
      <c r="END210"/>
      <c r="ENE210"/>
      <c r="ENF210"/>
      <c r="ENG210"/>
      <c r="ENH210"/>
      <c r="ENI210"/>
      <c r="ENJ210"/>
      <c r="ENK210"/>
      <c r="ENL210"/>
      <c r="ENM210"/>
      <c r="ENN210"/>
      <c r="ENO210"/>
      <c r="ENP210"/>
      <c r="ENQ210"/>
      <c r="ENR210"/>
      <c r="ENS210"/>
      <c r="ENT210"/>
      <c r="ENU210"/>
      <c r="ENV210"/>
      <c r="ENW210"/>
      <c r="ENX210"/>
      <c r="ENY210"/>
      <c r="ENZ210"/>
      <c r="EOA210"/>
      <c r="EOB210"/>
      <c r="EOC210"/>
      <c r="EOD210"/>
      <c r="EOE210"/>
      <c r="EOF210"/>
      <c r="EOG210"/>
      <c r="EOH210"/>
      <c r="EOI210"/>
      <c r="EOJ210"/>
      <c r="EOK210"/>
      <c r="EOL210"/>
      <c r="EOM210"/>
      <c r="EON210"/>
      <c r="EOO210"/>
      <c r="EOP210"/>
      <c r="EOQ210"/>
      <c r="EOR210"/>
      <c r="EOS210"/>
      <c r="EOT210"/>
      <c r="EOU210"/>
      <c r="EOV210"/>
      <c r="EOW210"/>
      <c r="EOX210"/>
      <c r="EOY210"/>
      <c r="EOZ210"/>
      <c r="EPA210"/>
      <c r="EPB210"/>
      <c r="EPC210"/>
      <c r="EPD210"/>
      <c r="EPE210"/>
      <c r="EPF210"/>
      <c r="EPG210"/>
      <c r="EPH210"/>
      <c r="EPI210"/>
      <c r="EPJ210"/>
      <c r="EPK210"/>
      <c r="EPL210"/>
      <c r="EPM210"/>
      <c r="EPN210"/>
      <c r="EPO210"/>
      <c r="EPP210"/>
      <c r="EPQ210"/>
      <c r="EPR210"/>
      <c r="EPS210"/>
      <c r="EPT210"/>
      <c r="EPU210"/>
      <c r="EPV210"/>
      <c r="EPW210"/>
      <c r="EPX210"/>
      <c r="EPY210"/>
      <c r="EPZ210"/>
      <c r="EQA210"/>
      <c r="EQB210"/>
      <c r="EQC210"/>
      <c r="EQD210"/>
      <c r="EQE210"/>
      <c r="EQF210"/>
      <c r="EQG210"/>
      <c r="EQH210"/>
      <c r="EQI210"/>
      <c r="EQJ210"/>
      <c r="EQK210"/>
      <c r="EQL210"/>
      <c r="EQM210"/>
      <c r="EQN210"/>
      <c r="EQO210"/>
      <c r="EQP210"/>
      <c r="EQQ210"/>
      <c r="EQR210"/>
      <c r="EQS210"/>
      <c r="EQT210"/>
      <c r="EQU210"/>
      <c r="EQV210"/>
      <c r="EQW210"/>
      <c r="EQX210"/>
      <c r="EQY210"/>
      <c r="EQZ210"/>
      <c r="ERA210"/>
      <c r="ERB210"/>
      <c r="ERC210"/>
      <c r="ERD210"/>
      <c r="ERE210"/>
      <c r="ERF210"/>
      <c r="ERG210"/>
      <c r="ERH210"/>
      <c r="ERI210"/>
      <c r="ERJ210"/>
      <c r="ERK210"/>
      <c r="ERL210"/>
      <c r="ERM210"/>
      <c r="ERN210"/>
      <c r="ERO210"/>
      <c r="ERP210"/>
      <c r="ERQ210"/>
      <c r="ERR210"/>
      <c r="ERS210"/>
      <c r="ERT210"/>
      <c r="ERU210"/>
      <c r="ERV210"/>
      <c r="ERW210"/>
      <c r="ERX210"/>
      <c r="ERY210"/>
      <c r="ERZ210"/>
      <c r="ESA210"/>
      <c r="ESB210"/>
      <c r="ESC210"/>
      <c r="ESD210"/>
      <c r="ESE210"/>
      <c r="ESF210"/>
      <c r="ESG210"/>
      <c r="ESH210"/>
      <c r="ESI210"/>
      <c r="ESJ210"/>
      <c r="ESK210"/>
      <c r="ESL210"/>
      <c r="ESM210"/>
      <c r="ESN210"/>
      <c r="ESO210"/>
      <c r="ESP210"/>
      <c r="ESQ210"/>
      <c r="ESR210"/>
      <c r="ESS210"/>
      <c r="EST210"/>
      <c r="ESU210"/>
      <c r="ESV210"/>
      <c r="ESW210"/>
      <c r="ESX210"/>
      <c r="ESY210"/>
      <c r="ESZ210"/>
      <c r="ETA210"/>
      <c r="ETB210"/>
      <c r="ETC210"/>
      <c r="ETD210"/>
      <c r="ETE210"/>
      <c r="ETF210"/>
      <c r="ETG210"/>
      <c r="ETH210"/>
      <c r="ETI210"/>
      <c r="ETJ210"/>
      <c r="ETK210"/>
      <c r="ETL210"/>
      <c r="ETM210"/>
      <c r="ETN210"/>
      <c r="ETO210"/>
      <c r="ETP210"/>
      <c r="ETQ210"/>
      <c r="ETR210"/>
      <c r="ETS210"/>
      <c r="ETT210"/>
      <c r="ETU210"/>
      <c r="ETV210"/>
      <c r="ETW210"/>
      <c r="ETX210"/>
      <c r="ETY210"/>
      <c r="ETZ210"/>
      <c r="EUA210"/>
      <c r="EUB210"/>
      <c r="EUC210"/>
      <c r="EUD210"/>
      <c r="EUE210"/>
      <c r="EUF210"/>
      <c r="EUG210"/>
      <c r="EUH210"/>
      <c r="EUI210"/>
      <c r="EUJ210"/>
      <c r="EUK210"/>
      <c r="EUL210"/>
      <c r="EUM210"/>
      <c r="EUN210"/>
      <c r="EUO210"/>
      <c r="EUP210"/>
      <c r="EUQ210"/>
      <c r="EUR210"/>
      <c r="EUS210"/>
      <c r="EUT210"/>
      <c r="EUU210"/>
      <c r="EUV210"/>
      <c r="EUW210"/>
      <c r="EUX210"/>
      <c r="EUY210"/>
      <c r="EUZ210"/>
      <c r="EVA210"/>
      <c r="EVB210"/>
      <c r="EVC210"/>
      <c r="EVD210"/>
      <c r="EVE210"/>
      <c r="EVF210"/>
      <c r="EVG210"/>
      <c r="EVH210"/>
      <c r="EVI210"/>
      <c r="EVJ210"/>
      <c r="EVK210"/>
      <c r="EVL210"/>
      <c r="EVM210"/>
      <c r="EVN210"/>
      <c r="EVO210"/>
      <c r="EVP210"/>
      <c r="EVQ210"/>
      <c r="EVR210"/>
      <c r="EVS210"/>
      <c r="EVT210"/>
      <c r="EVU210"/>
      <c r="EVV210"/>
      <c r="EVW210"/>
      <c r="EVX210"/>
      <c r="EVY210"/>
      <c r="EVZ210"/>
      <c r="EWA210"/>
      <c r="EWB210"/>
      <c r="EWC210"/>
      <c r="EWD210"/>
      <c r="EWE210"/>
      <c r="EWF210"/>
      <c r="EWG210"/>
      <c r="EWH210"/>
      <c r="EWI210"/>
      <c r="EWJ210"/>
      <c r="EWK210"/>
      <c r="EWL210"/>
      <c r="EWM210"/>
      <c r="EWN210"/>
      <c r="EWO210"/>
      <c r="EWP210"/>
      <c r="EWQ210"/>
      <c r="EWR210"/>
      <c r="EWS210"/>
      <c r="EWT210"/>
      <c r="EWU210"/>
      <c r="EWV210"/>
      <c r="EWW210"/>
      <c r="EWX210"/>
      <c r="EWY210"/>
      <c r="EWZ210"/>
      <c r="EXA210"/>
      <c r="EXB210"/>
      <c r="EXC210"/>
      <c r="EXD210"/>
      <c r="EXE210"/>
      <c r="EXF210"/>
      <c r="EXG210"/>
      <c r="EXH210"/>
      <c r="EXI210"/>
      <c r="EXJ210"/>
      <c r="EXK210"/>
      <c r="EXL210"/>
      <c r="EXM210"/>
      <c r="EXN210"/>
      <c r="EXO210"/>
      <c r="EXP210"/>
      <c r="EXQ210"/>
      <c r="EXR210"/>
      <c r="EXS210"/>
      <c r="EXT210"/>
      <c r="EXU210"/>
      <c r="EXV210"/>
      <c r="EXW210"/>
      <c r="EXX210"/>
      <c r="EXY210"/>
      <c r="EXZ210"/>
      <c r="EYA210"/>
      <c r="EYB210"/>
      <c r="EYC210"/>
      <c r="EYD210"/>
      <c r="EYE210"/>
      <c r="EYF210"/>
      <c r="EYG210"/>
      <c r="EYH210"/>
      <c r="EYI210"/>
      <c r="EYJ210"/>
      <c r="EYK210"/>
      <c r="EYL210"/>
      <c r="EYM210"/>
      <c r="EYN210"/>
      <c r="EYO210"/>
      <c r="EYP210"/>
      <c r="EYQ210"/>
      <c r="EYR210"/>
      <c r="EYS210"/>
      <c r="EYT210"/>
      <c r="EYU210"/>
      <c r="EYV210"/>
      <c r="EYW210"/>
      <c r="EYX210"/>
      <c r="EYY210"/>
      <c r="EYZ210"/>
      <c r="EZA210"/>
      <c r="EZB210"/>
      <c r="EZC210"/>
      <c r="EZD210"/>
      <c r="EZE210"/>
      <c r="EZF210"/>
      <c r="EZG210"/>
      <c r="EZH210"/>
      <c r="EZI210"/>
      <c r="EZJ210"/>
      <c r="EZK210"/>
      <c r="EZL210"/>
      <c r="EZM210"/>
      <c r="EZN210"/>
      <c r="EZO210"/>
      <c r="EZP210"/>
      <c r="EZQ210"/>
      <c r="EZR210"/>
      <c r="EZS210"/>
      <c r="EZT210"/>
      <c r="EZU210"/>
      <c r="EZV210"/>
      <c r="EZW210"/>
      <c r="EZX210"/>
      <c r="EZY210"/>
      <c r="EZZ210"/>
      <c r="FAA210"/>
      <c r="FAB210"/>
      <c r="FAC210"/>
      <c r="FAD210"/>
      <c r="FAE210"/>
      <c r="FAF210"/>
      <c r="FAG210"/>
      <c r="FAH210"/>
      <c r="FAI210"/>
      <c r="FAJ210"/>
      <c r="FAK210"/>
      <c r="FAL210"/>
      <c r="FAM210"/>
      <c r="FAN210"/>
      <c r="FAO210"/>
      <c r="FAP210"/>
      <c r="FAQ210"/>
      <c r="FAR210"/>
      <c r="FAS210"/>
      <c r="FAT210"/>
      <c r="FAU210"/>
      <c r="FAV210"/>
      <c r="FAW210"/>
      <c r="FAX210"/>
      <c r="FAY210"/>
      <c r="FAZ210"/>
      <c r="FBA210"/>
      <c r="FBB210"/>
      <c r="FBC210"/>
      <c r="FBD210"/>
      <c r="FBE210"/>
      <c r="FBF210"/>
      <c r="FBG210"/>
      <c r="FBH210"/>
      <c r="FBI210"/>
      <c r="FBJ210"/>
      <c r="FBK210"/>
      <c r="FBL210"/>
      <c r="FBM210"/>
      <c r="FBN210"/>
      <c r="FBO210"/>
      <c r="FBP210"/>
      <c r="FBQ210"/>
      <c r="FBR210"/>
      <c r="FBS210"/>
      <c r="FBT210"/>
      <c r="FBU210"/>
      <c r="FBV210"/>
      <c r="FBW210"/>
      <c r="FBX210"/>
      <c r="FBY210"/>
      <c r="FBZ210"/>
      <c r="FCA210"/>
      <c r="FCB210"/>
      <c r="FCC210"/>
      <c r="FCD210"/>
      <c r="FCE210"/>
      <c r="FCF210"/>
      <c r="FCG210"/>
      <c r="FCH210"/>
      <c r="FCI210"/>
      <c r="FCJ210"/>
      <c r="FCK210"/>
      <c r="FCL210"/>
      <c r="FCM210"/>
      <c r="FCN210"/>
      <c r="FCO210"/>
      <c r="FCP210"/>
      <c r="FCQ210"/>
      <c r="FCR210"/>
      <c r="FCS210"/>
      <c r="FCT210"/>
      <c r="FCU210"/>
      <c r="FCV210"/>
      <c r="FCW210"/>
      <c r="FCX210"/>
      <c r="FCY210"/>
      <c r="FCZ210"/>
      <c r="FDA210"/>
      <c r="FDB210"/>
      <c r="FDC210"/>
      <c r="FDD210"/>
      <c r="FDE210"/>
      <c r="FDF210"/>
      <c r="FDG210"/>
      <c r="FDH210"/>
      <c r="FDI210"/>
      <c r="FDJ210"/>
      <c r="FDK210"/>
      <c r="FDL210"/>
      <c r="FDM210"/>
      <c r="FDN210"/>
      <c r="FDO210"/>
      <c r="FDP210"/>
      <c r="FDQ210"/>
      <c r="FDR210"/>
      <c r="FDS210"/>
      <c r="FDT210"/>
      <c r="FDU210"/>
      <c r="FDV210"/>
      <c r="FDW210"/>
      <c r="FDX210"/>
      <c r="FDY210"/>
      <c r="FDZ210"/>
      <c r="FEA210"/>
      <c r="FEB210"/>
      <c r="FEC210"/>
      <c r="FED210"/>
      <c r="FEE210"/>
      <c r="FEF210"/>
      <c r="FEG210"/>
      <c r="FEH210"/>
      <c r="FEI210"/>
      <c r="FEJ210"/>
      <c r="FEK210"/>
      <c r="FEL210"/>
      <c r="FEM210"/>
      <c r="FEN210"/>
      <c r="FEO210"/>
      <c r="FEP210"/>
      <c r="FEQ210"/>
      <c r="FER210"/>
      <c r="FES210"/>
      <c r="FET210"/>
      <c r="FEU210"/>
      <c r="FEV210"/>
      <c r="FEW210"/>
      <c r="FEX210"/>
      <c r="FEY210"/>
      <c r="FEZ210"/>
      <c r="FFA210"/>
      <c r="FFB210"/>
      <c r="FFC210"/>
      <c r="FFD210"/>
      <c r="FFE210"/>
      <c r="FFF210"/>
      <c r="FFG210"/>
      <c r="FFH210"/>
      <c r="FFI210"/>
      <c r="FFJ210"/>
      <c r="FFK210"/>
      <c r="FFL210"/>
      <c r="FFM210"/>
      <c r="FFN210"/>
      <c r="FFO210"/>
      <c r="FFP210"/>
      <c r="FFQ210"/>
      <c r="FFR210"/>
      <c r="FFS210"/>
      <c r="FFT210"/>
      <c r="FFU210"/>
      <c r="FFV210"/>
      <c r="FFW210"/>
      <c r="FFX210"/>
      <c r="FFY210"/>
      <c r="FFZ210"/>
      <c r="FGA210"/>
      <c r="FGB210"/>
      <c r="FGC210"/>
      <c r="FGD210"/>
      <c r="FGE210"/>
      <c r="FGF210"/>
      <c r="FGG210"/>
      <c r="FGH210"/>
      <c r="FGI210"/>
      <c r="FGJ210"/>
      <c r="FGK210"/>
      <c r="FGL210"/>
      <c r="FGM210"/>
      <c r="FGN210"/>
      <c r="FGO210"/>
      <c r="FGP210"/>
      <c r="FGQ210"/>
      <c r="FGR210"/>
      <c r="FGS210"/>
      <c r="FGT210"/>
      <c r="FGU210"/>
      <c r="FGV210"/>
      <c r="FGW210"/>
      <c r="FGX210"/>
      <c r="FGY210"/>
      <c r="FGZ210"/>
      <c r="FHA210"/>
      <c r="FHB210"/>
      <c r="FHC210"/>
      <c r="FHD210"/>
      <c r="FHE210"/>
      <c r="FHF210"/>
      <c r="FHG210"/>
      <c r="FHH210"/>
      <c r="FHI210"/>
      <c r="FHJ210"/>
      <c r="FHK210"/>
      <c r="FHL210"/>
      <c r="FHM210"/>
      <c r="FHN210"/>
      <c r="FHO210"/>
      <c r="FHP210"/>
      <c r="FHQ210"/>
      <c r="FHR210"/>
      <c r="FHS210"/>
      <c r="FHT210"/>
      <c r="FHU210"/>
      <c r="FHV210"/>
      <c r="FHW210"/>
      <c r="FHX210"/>
      <c r="FHY210"/>
      <c r="FHZ210"/>
      <c r="FIA210"/>
      <c r="FIB210"/>
      <c r="FIC210"/>
      <c r="FID210"/>
      <c r="FIE210"/>
      <c r="FIF210"/>
      <c r="FIG210"/>
      <c r="FIH210"/>
      <c r="FII210"/>
      <c r="FIJ210"/>
      <c r="FIK210"/>
      <c r="FIL210"/>
      <c r="FIM210"/>
      <c r="FIN210"/>
      <c r="FIO210"/>
      <c r="FIP210"/>
      <c r="FIQ210"/>
      <c r="FIR210"/>
      <c r="FIS210"/>
      <c r="FIT210"/>
      <c r="FIU210"/>
      <c r="FIV210"/>
      <c r="FIW210"/>
      <c r="FIX210"/>
      <c r="FIY210"/>
      <c r="FIZ210"/>
      <c r="FJA210"/>
      <c r="FJB210"/>
      <c r="FJC210"/>
      <c r="FJD210"/>
      <c r="FJE210"/>
      <c r="FJF210"/>
      <c r="FJG210"/>
      <c r="FJH210"/>
      <c r="FJI210"/>
      <c r="FJJ210"/>
      <c r="FJK210"/>
      <c r="FJL210"/>
      <c r="FJM210"/>
      <c r="FJN210"/>
      <c r="FJO210"/>
      <c r="FJP210"/>
      <c r="FJQ210"/>
      <c r="FJR210"/>
      <c r="FJS210"/>
      <c r="FJT210"/>
      <c r="FJU210"/>
      <c r="FJV210"/>
      <c r="FJW210"/>
      <c r="FJX210"/>
      <c r="FJY210"/>
      <c r="FJZ210"/>
      <c r="FKA210"/>
      <c r="FKB210"/>
      <c r="FKC210"/>
      <c r="FKD210"/>
      <c r="FKE210"/>
      <c r="FKF210"/>
      <c r="FKG210"/>
      <c r="FKH210"/>
      <c r="FKI210"/>
      <c r="FKJ210"/>
      <c r="FKK210"/>
      <c r="FKL210"/>
      <c r="FKM210"/>
      <c r="FKN210"/>
      <c r="FKO210"/>
      <c r="FKP210"/>
      <c r="FKQ210"/>
      <c r="FKR210"/>
      <c r="FKS210"/>
      <c r="FKT210"/>
      <c r="FKU210"/>
      <c r="FKV210"/>
      <c r="FKW210"/>
      <c r="FKX210"/>
      <c r="FKY210"/>
      <c r="FKZ210"/>
      <c r="FLA210"/>
      <c r="FLB210"/>
      <c r="FLC210"/>
      <c r="FLD210"/>
      <c r="FLE210"/>
      <c r="FLF210"/>
      <c r="FLG210"/>
      <c r="FLH210"/>
      <c r="FLI210"/>
      <c r="FLJ210"/>
      <c r="FLK210"/>
      <c r="FLL210"/>
      <c r="FLM210"/>
      <c r="FLN210"/>
      <c r="FLO210"/>
      <c r="FLP210"/>
      <c r="FLQ210"/>
      <c r="FLR210"/>
      <c r="FLS210"/>
      <c r="FLT210"/>
      <c r="FLU210"/>
      <c r="FLV210"/>
      <c r="FLW210"/>
      <c r="FLX210"/>
      <c r="FLY210"/>
      <c r="FLZ210"/>
      <c r="FMA210"/>
      <c r="FMB210"/>
      <c r="FMC210"/>
      <c r="FMD210"/>
      <c r="FME210"/>
      <c r="FMF210"/>
      <c r="FMG210"/>
      <c r="FMH210"/>
      <c r="FMI210"/>
      <c r="FMJ210"/>
      <c r="FMK210"/>
      <c r="FML210"/>
      <c r="FMM210"/>
      <c r="FMN210"/>
      <c r="FMO210"/>
      <c r="FMP210"/>
      <c r="FMQ210"/>
      <c r="FMR210"/>
      <c r="FMS210"/>
      <c r="FMT210"/>
      <c r="FMU210"/>
      <c r="FMV210"/>
      <c r="FMW210"/>
      <c r="FMX210"/>
      <c r="FMY210"/>
      <c r="FMZ210"/>
      <c r="FNA210"/>
      <c r="FNB210"/>
      <c r="FNC210"/>
      <c r="FND210"/>
      <c r="FNE210"/>
      <c r="FNF210"/>
      <c r="FNG210"/>
      <c r="FNH210"/>
      <c r="FNI210"/>
      <c r="FNJ210"/>
      <c r="FNK210"/>
      <c r="FNL210"/>
      <c r="FNM210"/>
      <c r="FNN210"/>
      <c r="FNO210"/>
      <c r="FNP210"/>
      <c r="FNQ210"/>
      <c r="FNR210"/>
      <c r="FNS210"/>
      <c r="FNT210"/>
      <c r="FNU210"/>
      <c r="FNV210"/>
      <c r="FNW210"/>
      <c r="FNX210"/>
      <c r="FNY210"/>
      <c r="FNZ210"/>
      <c r="FOA210"/>
      <c r="FOB210"/>
      <c r="FOC210"/>
      <c r="FOD210"/>
      <c r="FOE210"/>
      <c r="FOF210"/>
      <c r="FOG210"/>
      <c r="FOH210"/>
      <c r="FOI210"/>
      <c r="FOJ210"/>
      <c r="FOK210"/>
      <c r="FOL210"/>
      <c r="FOM210"/>
      <c r="FON210"/>
      <c r="FOO210"/>
      <c r="FOP210"/>
      <c r="FOQ210"/>
      <c r="FOR210"/>
      <c r="FOS210"/>
      <c r="FOT210"/>
      <c r="FOU210"/>
      <c r="FOV210"/>
      <c r="FOW210"/>
      <c r="FOX210"/>
      <c r="FOY210"/>
      <c r="FOZ210"/>
      <c r="FPA210"/>
      <c r="FPB210"/>
      <c r="FPC210"/>
      <c r="FPD210"/>
      <c r="FPE210"/>
      <c r="FPF210"/>
      <c r="FPG210"/>
      <c r="FPH210"/>
      <c r="FPI210"/>
      <c r="FPJ210"/>
      <c r="FPK210"/>
      <c r="FPL210"/>
      <c r="FPM210"/>
      <c r="FPN210"/>
      <c r="FPO210"/>
      <c r="FPP210"/>
      <c r="FPQ210"/>
      <c r="FPR210"/>
      <c r="FPS210"/>
      <c r="FPT210"/>
      <c r="FPU210"/>
      <c r="FPV210"/>
      <c r="FPW210"/>
      <c r="FPX210"/>
      <c r="FPY210"/>
      <c r="FPZ210"/>
      <c r="FQA210"/>
      <c r="FQB210"/>
      <c r="FQC210"/>
      <c r="FQD210"/>
      <c r="FQE210"/>
      <c r="FQF210"/>
      <c r="FQG210"/>
      <c r="FQH210"/>
      <c r="FQI210"/>
      <c r="FQJ210"/>
      <c r="FQK210"/>
      <c r="FQL210"/>
      <c r="FQM210"/>
      <c r="FQN210"/>
      <c r="FQO210"/>
      <c r="FQP210"/>
      <c r="FQQ210"/>
      <c r="FQR210"/>
      <c r="FQS210"/>
      <c r="FQT210"/>
      <c r="FQU210"/>
      <c r="FQV210"/>
      <c r="FQW210"/>
      <c r="FQX210"/>
      <c r="FQY210"/>
      <c r="FQZ210"/>
      <c r="FRA210"/>
      <c r="FRB210"/>
      <c r="FRC210"/>
      <c r="FRD210"/>
      <c r="FRE210"/>
      <c r="FRF210"/>
      <c r="FRG210"/>
      <c r="FRH210"/>
      <c r="FRI210"/>
      <c r="FRJ210"/>
      <c r="FRK210"/>
      <c r="FRL210"/>
      <c r="FRM210"/>
      <c r="FRN210"/>
      <c r="FRO210"/>
      <c r="FRP210"/>
      <c r="FRQ210"/>
      <c r="FRR210"/>
      <c r="FRS210"/>
      <c r="FRT210"/>
      <c r="FRU210"/>
      <c r="FRV210"/>
      <c r="FRW210"/>
      <c r="FRX210"/>
      <c r="FRY210"/>
      <c r="FRZ210"/>
      <c r="FSA210"/>
      <c r="FSB210"/>
      <c r="FSC210"/>
      <c r="FSD210"/>
      <c r="FSE210"/>
      <c r="FSF210"/>
      <c r="FSG210"/>
      <c r="FSH210"/>
      <c r="FSI210"/>
      <c r="FSJ210"/>
      <c r="FSK210"/>
      <c r="FSL210"/>
      <c r="FSM210"/>
      <c r="FSN210"/>
      <c r="FSO210"/>
      <c r="FSP210"/>
      <c r="FSQ210"/>
      <c r="FSR210"/>
      <c r="FSS210"/>
      <c r="FST210"/>
      <c r="FSU210"/>
      <c r="FSV210"/>
      <c r="FSW210"/>
      <c r="FSX210"/>
      <c r="FSY210"/>
      <c r="FSZ210"/>
      <c r="FTA210"/>
      <c r="FTB210"/>
      <c r="FTC210"/>
      <c r="FTD210"/>
      <c r="FTE210"/>
      <c r="FTF210"/>
      <c r="FTG210"/>
      <c r="FTH210"/>
      <c r="FTI210"/>
      <c r="FTJ210"/>
      <c r="FTK210"/>
      <c r="FTL210"/>
      <c r="FTM210"/>
      <c r="FTN210"/>
      <c r="FTO210"/>
      <c r="FTP210"/>
      <c r="FTQ210"/>
      <c r="FTR210"/>
      <c r="FTS210"/>
      <c r="FTT210"/>
      <c r="FTU210"/>
      <c r="FTV210"/>
      <c r="FTW210"/>
      <c r="FTX210"/>
      <c r="FTY210"/>
      <c r="FTZ210"/>
      <c r="FUA210"/>
      <c r="FUB210"/>
      <c r="FUC210"/>
      <c r="FUD210"/>
      <c r="FUE210"/>
      <c r="FUF210"/>
      <c r="FUG210"/>
      <c r="FUH210"/>
      <c r="FUI210"/>
      <c r="FUJ210"/>
      <c r="FUK210"/>
      <c r="FUL210"/>
      <c r="FUM210"/>
      <c r="FUN210"/>
      <c r="FUO210"/>
      <c r="FUP210"/>
      <c r="FUQ210"/>
      <c r="FUR210"/>
      <c r="FUS210"/>
      <c r="FUT210"/>
      <c r="FUU210"/>
      <c r="FUV210"/>
      <c r="FUW210"/>
      <c r="FUX210"/>
      <c r="FUY210"/>
      <c r="FUZ210"/>
      <c r="FVA210"/>
      <c r="FVB210"/>
      <c r="FVC210"/>
      <c r="FVD210"/>
      <c r="FVE210"/>
      <c r="FVF210"/>
      <c r="FVG210"/>
      <c r="FVH210"/>
      <c r="FVI210"/>
      <c r="FVJ210"/>
      <c r="FVK210"/>
      <c r="FVL210"/>
      <c r="FVM210"/>
      <c r="FVN210"/>
      <c r="FVO210"/>
      <c r="FVP210"/>
      <c r="FVQ210"/>
      <c r="FVR210"/>
      <c r="FVS210"/>
      <c r="FVT210"/>
      <c r="FVU210"/>
      <c r="FVV210"/>
      <c r="FVW210"/>
      <c r="FVX210"/>
      <c r="FVY210"/>
      <c r="FVZ210"/>
      <c r="FWA210"/>
      <c r="FWB210"/>
      <c r="FWC210"/>
      <c r="FWD210"/>
      <c r="FWE210"/>
      <c r="FWF210"/>
      <c r="FWG210"/>
      <c r="FWH210"/>
      <c r="FWI210"/>
      <c r="FWJ210"/>
      <c r="FWK210"/>
      <c r="FWL210"/>
      <c r="FWM210"/>
      <c r="FWN210"/>
      <c r="FWO210"/>
      <c r="FWP210"/>
      <c r="FWQ210"/>
      <c r="FWR210"/>
      <c r="FWS210"/>
      <c r="FWT210"/>
      <c r="FWU210"/>
      <c r="FWV210"/>
      <c r="FWW210"/>
      <c r="FWX210"/>
      <c r="FWY210"/>
      <c r="FWZ210"/>
      <c r="FXA210"/>
      <c r="FXB210"/>
      <c r="FXC210"/>
      <c r="FXD210"/>
      <c r="FXE210"/>
      <c r="FXF210"/>
      <c r="FXG210"/>
      <c r="FXH210"/>
      <c r="FXI210"/>
      <c r="FXJ210"/>
      <c r="FXK210"/>
      <c r="FXL210"/>
      <c r="FXM210"/>
      <c r="FXN210"/>
      <c r="FXO210"/>
      <c r="FXP210"/>
      <c r="FXQ210"/>
      <c r="FXR210"/>
      <c r="FXS210"/>
      <c r="FXT210"/>
      <c r="FXU210"/>
      <c r="FXV210"/>
      <c r="FXW210"/>
      <c r="FXX210"/>
      <c r="FXY210"/>
      <c r="FXZ210"/>
      <c r="FYA210"/>
      <c r="FYB210"/>
      <c r="FYC210"/>
      <c r="FYD210"/>
      <c r="FYE210"/>
      <c r="FYF210"/>
      <c r="FYG210"/>
      <c r="FYH210"/>
      <c r="FYI210"/>
      <c r="FYJ210"/>
      <c r="FYK210"/>
      <c r="FYL210"/>
      <c r="FYM210"/>
      <c r="FYN210"/>
      <c r="FYO210"/>
      <c r="FYP210"/>
      <c r="FYQ210"/>
      <c r="FYR210"/>
      <c r="FYS210"/>
      <c r="FYT210"/>
      <c r="FYU210"/>
      <c r="FYV210"/>
      <c r="FYW210"/>
      <c r="FYX210"/>
      <c r="FYY210"/>
      <c r="FYZ210"/>
      <c r="FZA210"/>
      <c r="FZB210"/>
      <c r="FZC210"/>
      <c r="FZD210"/>
      <c r="FZE210"/>
      <c r="FZF210"/>
      <c r="FZG210"/>
      <c r="FZH210"/>
      <c r="FZI210"/>
      <c r="FZJ210"/>
      <c r="FZK210"/>
      <c r="FZL210"/>
      <c r="FZM210"/>
      <c r="FZN210"/>
      <c r="FZO210"/>
      <c r="FZP210"/>
      <c r="FZQ210"/>
      <c r="FZR210"/>
      <c r="FZS210"/>
      <c r="FZT210"/>
      <c r="FZU210"/>
      <c r="FZV210"/>
      <c r="FZW210"/>
      <c r="FZX210"/>
      <c r="FZY210"/>
      <c r="FZZ210"/>
      <c r="GAA210"/>
      <c r="GAB210"/>
      <c r="GAC210"/>
      <c r="GAD210"/>
      <c r="GAE210"/>
      <c r="GAF210"/>
      <c r="GAG210"/>
      <c r="GAH210"/>
      <c r="GAI210"/>
      <c r="GAJ210"/>
      <c r="GAK210"/>
      <c r="GAL210"/>
      <c r="GAM210"/>
      <c r="GAN210"/>
      <c r="GAO210"/>
      <c r="GAP210"/>
      <c r="GAQ210"/>
      <c r="GAR210"/>
      <c r="GAS210"/>
      <c r="GAT210"/>
      <c r="GAU210"/>
      <c r="GAV210"/>
      <c r="GAW210"/>
      <c r="GAX210"/>
      <c r="GAY210"/>
      <c r="GAZ210"/>
      <c r="GBA210"/>
      <c r="GBB210"/>
      <c r="GBC210"/>
      <c r="GBD210"/>
      <c r="GBE210"/>
      <c r="GBF210"/>
      <c r="GBG210"/>
      <c r="GBH210"/>
      <c r="GBI210"/>
      <c r="GBJ210"/>
      <c r="GBK210"/>
      <c r="GBL210"/>
      <c r="GBM210"/>
      <c r="GBN210"/>
      <c r="GBO210"/>
      <c r="GBP210"/>
      <c r="GBQ210"/>
      <c r="GBR210"/>
      <c r="GBS210"/>
      <c r="GBT210"/>
      <c r="GBU210"/>
      <c r="GBV210"/>
      <c r="GBW210"/>
      <c r="GBX210"/>
      <c r="GBY210"/>
      <c r="GBZ210"/>
      <c r="GCA210"/>
      <c r="GCB210"/>
      <c r="GCC210"/>
      <c r="GCD210"/>
      <c r="GCE210"/>
      <c r="GCF210"/>
      <c r="GCG210"/>
      <c r="GCH210"/>
      <c r="GCI210"/>
      <c r="GCJ210"/>
      <c r="GCK210"/>
      <c r="GCL210"/>
      <c r="GCM210"/>
      <c r="GCN210"/>
      <c r="GCO210"/>
      <c r="GCP210"/>
      <c r="GCQ210"/>
      <c r="GCR210"/>
      <c r="GCS210"/>
      <c r="GCT210"/>
      <c r="GCU210"/>
      <c r="GCV210"/>
      <c r="GCW210"/>
      <c r="GCX210"/>
      <c r="GCY210"/>
      <c r="GCZ210"/>
      <c r="GDA210"/>
      <c r="GDB210"/>
      <c r="GDC210"/>
      <c r="GDD210"/>
      <c r="GDE210"/>
      <c r="GDF210"/>
      <c r="GDG210"/>
      <c r="GDH210"/>
      <c r="GDI210"/>
      <c r="GDJ210"/>
      <c r="GDK210"/>
      <c r="GDL210"/>
      <c r="GDM210"/>
      <c r="GDN210"/>
      <c r="GDO210"/>
      <c r="GDP210"/>
      <c r="GDQ210"/>
      <c r="GDR210"/>
      <c r="GDS210"/>
      <c r="GDT210"/>
      <c r="GDU210"/>
      <c r="GDV210"/>
      <c r="GDW210"/>
      <c r="GDX210"/>
      <c r="GDY210"/>
      <c r="GDZ210"/>
      <c r="GEA210"/>
      <c r="GEB210"/>
      <c r="GEC210"/>
      <c r="GED210"/>
      <c r="GEE210"/>
      <c r="GEF210"/>
      <c r="GEG210"/>
      <c r="GEH210"/>
      <c r="GEI210"/>
      <c r="GEJ210"/>
      <c r="GEK210"/>
      <c r="GEL210"/>
      <c r="GEM210"/>
      <c r="GEN210"/>
      <c r="GEO210"/>
      <c r="GEP210"/>
      <c r="GEQ210"/>
      <c r="GER210"/>
      <c r="GES210"/>
      <c r="GET210"/>
      <c r="GEU210"/>
      <c r="GEV210"/>
      <c r="GEW210"/>
      <c r="GEX210"/>
      <c r="GEY210"/>
      <c r="GEZ210"/>
      <c r="GFA210"/>
      <c r="GFB210"/>
      <c r="GFC210"/>
      <c r="GFD210"/>
      <c r="GFE210"/>
      <c r="GFF210"/>
      <c r="GFG210"/>
      <c r="GFH210"/>
      <c r="GFI210"/>
      <c r="GFJ210"/>
      <c r="GFK210"/>
      <c r="GFL210"/>
      <c r="GFM210"/>
      <c r="GFN210"/>
      <c r="GFO210"/>
      <c r="GFP210"/>
      <c r="GFQ210"/>
      <c r="GFR210"/>
      <c r="GFS210"/>
      <c r="GFT210"/>
      <c r="GFU210"/>
      <c r="GFV210"/>
      <c r="GFW210"/>
      <c r="GFX210"/>
      <c r="GFY210"/>
      <c r="GFZ210"/>
      <c r="GGA210"/>
      <c r="GGB210"/>
      <c r="GGC210"/>
      <c r="GGD210"/>
      <c r="GGE210"/>
      <c r="GGF210"/>
      <c r="GGG210"/>
      <c r="GGH210"/>
      <c r="GGI210"/>
      <c r="GGJ210"/>
      <c r="GGK210"/>
      <c r="GGL210"/>
      <c r="GGM210"/>
      <c r="GGN210"/>
      <c r="GGO210"/>
      <c r="GGP210"/>
      <c r="GGQ210"/>
      <c r="GGR210"/>
      <c r="GGS210"/>
      <c r="GGT210"/>
      <c r="GGU210"/>
      <c r="GGV210"/>
      <c r="GGW210"/>
      <c r="GGX210"/>
      <c r="GGY210"/>
      <c r="GGZ210"/>
      <c r="GHA210"/>
      <c r="GHB210"/>
      <c r="GHC210"/>
      <c r="GHD210"/>
      <c r="GHE210"/>
      <c r="GHF210"/>
      <c r="GHG210"/>
      <c r="GHH210"/>
      <c r="GHI210"/>
      <c r="GHJ210"/>
      <c r="GHK210"/>
      <c r="GHL210"/>
      <c r="GHM210"/>
      <c r="GHN210"/>
      <c r="GHO210"/>
      <c r="GHP210"/>
      <c r="GHQ210"/>
      <c r="GHR210"/>
      <c r="GHS210"/>
      <c r="GHT210"/>
      <c r="GHU210"/>
      <c r="GHV210"/>
      <c r="GHW210"/>
      <c r="GHX210"/>
      <c r="GHY210"/>
      <c r="GHZ210"/>
      <c r="GIA210"/>
      <c r="GIB210"/>
      <c r="GIC210"/>
      <c r="GID210"/>
      <c r="GIE210"/>
      <c r="GIF210"/>
      <c r="GIG210"/>
      <c r="GIH210"/>
      <c r="GII210"/>
      <c r="GIJ210"/>
      <c r="GIK210"/>
      <c r="GIL210"/>
      <c r="GIM210"/>
      <c r="GIN210"/>
      <c r="GIO210"/>
      <c r="GIP210"/>
      <c r="GIQ210"/>
      <c r="GIR210"/>
      <c r="GIS210"/>
      <c r="GIT210"/>
      <c r="GIU210"/>
      <c r="GIV210"/>
      <c r="GIW210"/>
      <c r="GIX210"/>
      <c r="GIY210"/>
      <c r="GIZ210"/>
      <c r="GJA210"/>
      <c r="GJB210"/>
      <c r="GJC210"/>
      <c r="GJD210"/>
      <c r="GJE210"/>
      <c r="GJF210"/>
      <c r="GJG210"/>
      <c r="GJH210"/>
      <c r="GJI210"/>
      <c r="GJJ210"/>
      <c r="GJK210"/>
      <c r="GJL210"/>
      <c r="GJM210"/>
      <c r="GJN210"/>
      <c r="GJO210"/>
      <c r="GJP210"/>
      <c r="GJQ210"/>
      <c r="GJR210"/>
      <c r="GJS210"/>
      <c r="GJT210"/>
      <c r="GJU210"/>
      <c r="GJV210"/>
      <c r="GJW210"/>
      <c r="GJX210"/>
      <c r="GJY210"/>
      <c r="GJZ210"/>
      <c r="GKA210"/>
      <c r="GKB210"/>
      <c r="GKC210"/>
      <c r="GKD210"/>
      <c r="GKE210"/>
      <c r="GKF210"/>
      <c r="GKG210"/>
      <c r="GKH210"/>
      <c r="GKI210"/>
      <c r="GKJ210"/>
      <c r="GKK210"/>
      <c r="GKL210"/>
      <c r="GKM210"/>
      <c r="GKN210"/>
      <c r="GKO210"/>
      <c r="GKP210"/>
      <c r="GKQ210"/>
      <c r="GKR210"/>
      <c r="GKS210"/>
      <c r="GKT210"/>
      <c r="GKU210"/>
      <c r="GKV210"/>
      <c r="GKW210"/>
      <c r="GKX210"/>
      <c r="GKY210"/>
      <c r="GKZ210"/>
      <c r="GLA210"/>
      <c r="GLB210"/>
      <c r="GLC210"/>
      <c r="GLD210"/>
      <c r="GLE210"/>
      <c r="GLF210"/>
      <c r="GLG210"/>
      <c r="GLH210"/>
      <c r="GLI210"/>
      <c r="GLJ210"/>
      <c r="GLK210"/>
      <c r="GLL210"/>
      <c r="GLM210"/>
      <c r="GLN210"/>
      <c r="GLO210"/>
      <c r="GLP210"/>
      <c r="GLQ210"/>
      <c r="GLR210"/>
      <c r="GLS210"/>
      <c r="GLT210"/>
      <c r="GLU210"/>
      <c r="GLV210"/>
      <c r="GLW210"/>
      <c r="GLX210"/>
      <c r="GLY210"/>
      <c r="GLZ210"/>
      <c r="GMA210"/>
      <c r="GMB210"/>
      <c r="GMC210"/>
      <c r="GMD210"/>
      <c r="GME210"/>
      <c r="GMF210"/>
      <c r="GMG210"/>
      <c r="GMH210"/>
      <c r="GMI210"/>
      <c r="GMJ210"/>
      <c r="GMK210"/>
      <c r="GML210"/>
      <c r="GMM210"/>
      <c r="GMN210"/>
      <c r="GMO210"/>
      <c r="GMP210"/>
      <c r="GMQ210"/>
      <c r="GMR210"/>
      <c r="GMS210"/>
      <c r="GMT210"/>
      <c r="GMU210"/>
      <c r="GMV210"/>
      <c r="GMW210"/>
      <c r="GMX210"/>
      <c r="GMY210"/>
      <c r="GMZ210"/>
      <c r="GNA210"/>
      <c r="GNB210"/>
      <c r="GNC210"/>
      <c r="GND210"/>
      <c r="GNE210"/>
      <c r="GNF210"/>
      <c r="GNG210"/>
      <c r="GNH210"/>
      <c r="GNI210"/>
      <c r="GNJ210"/>
      <c r="GNK210"/>
      <c r="GNL210"/>
      <c r="GNM210"/>
      <c r="GNN210"/>
      <c r="GNO210"/>
      <c r="GNP210"/>
      <c r="GNQ210"/>
      <c r="GNR210"/>
      <c r="GNS210"/>
      <c r="GNT210"/>
      <c r="GNU210"/>
      <c r="GNV210"/>
      <c r="GNW210"/>
      <c r="GNX210"/>
      <c r="GNY210"/>
      <c r="GNZ210"/>
      <c r="GOA210"/>
      <c r="GOB210"/>
      <c r="GOC210"/>
      <c r="GOD210"/>
      <c r="GOE210"/>
      <c r="GOF210"/>
      <c r="GOG210"/>
      <c r="GOH210"/>
      <c r="GOI210"/>
      <c r="GOJ210"/>
      <c r="GOK210"/>
      <c r="GOL210"/>
      <c r="GOM210"/>
      <c r="GON210"/>
      <c r="GOO210"/>
      <c r="GOP210"/>
      <c r="GOQ210"/>
      <c r="GOR210"/>
      <c r="GOS210"/>
      <c r="GOT210"/>
      <c r="GOU210"/>
      <c r="GOV210"/>
      <c r="GOW210"/>
      <c r="GOX210"/>
      <c r="GOY210"/>
      <c r="GOZ210"/>
      <c r="GPA210"/>
      <c r="GPB210"/>
      <c r="GPC210"/>
      <c r="GPD210"/>
      <c r="GPE210"/>
      <c r="GPF210"/>
      <c r="GPG210"/>
      <c r="GPH210"/>
      <c r="GPI210"/>
      <c r="GPJ210"/>
      <c r="GPK210"/>
      <c r="GPL210"/>
      <c r="GPM210"/>
      <c r="GPN210"/>
      <c r="GPO210"/>
      <c r="GPP210"/>
      <c r="GPQ210"/>
      <c r="GPR210"/>
      <c r="GPS210"/>
      <c r="GPT210"/>
      <c r="GPU210"/>
      <c r="GPV210"/>
      <c r="GPW210"/>
      <c r="GPX210"/>
      <c r="GPY210"/>
      <c r="GPZ210"/>
      <c r="GQA210"/>
      <c r="GQB210"/>
      <c r="GQC210"/>
      <c r="GQD210"/>
      <c r="GQE210"/>
      <c r="GQF210"/>
      <c r="GQG210"/>
      <c r="GQH210"/>
      <c r="GQI210"/>
      <c r="GQJ210"/>
      <c r="GQK210"/>
      <c r="GQL210"/>
      <c r="GQM210"/>
      <c r="GQN210"/>
      <c r="GQO210"/>
      <c r="GQP210"/>
      <c r="GQQ210"/>
      <c r="GQR210"/>
      <c r="GQS210"/>
      <c r="GQT210"/>
      <c r="GQU210"/>
      <c r="GQV210"/>
      <c r="GQW210"/>
      <c r="GQX210"/>
      <c r="GQY210"/>
      <c r="GQZ210"/>
      <c r="GRA210"/>
      <c r="GRB210"/>
      <c r="GRC210"/>
      <c r="GRD210"/>
      <c r="GRE210"/>
      <c r="GRF210"/>
      <c r="GRG210"/>
      <c r="GRH210"/>
      <c r="GRI210"/>
      <c r="GRJ210"/>
      <c r="GRK210"/>
      <c r="GRL210"/>
      <c r="GRM210"/>
      <c r="GRN210"/>
      <c r="GRO210"/>
      <c r="GRP210"/>
      <c r="GRQ210"/>
      <c r="GRR210"/>
      <c r="GRS210"/>
      <c r="GRT210"/>
      <c r="GRU210"/>
      <c r="GRV210"/>
      <c r="GRW210"/>
      <c r="GRX210"/>
      <c r="GRY210"/>
      <c r="GRZ210"/>
      <c r="GSA210"/>
      <c r="GSB210"/>
      <c r="GSC210"/>
      <c r="GSD210"/>
      <c r="GSE210"/>
      <c r="GSF210"/>
      <c r="GSG210"/>
      <c r="GSH210"/>
      <c r="GSI210"/>
      <c r="GSJ210"/>
      <c r="GSK210"/>
      <c r="GSL210"/>
      <c r="GSM210"/>
      <c r="GSN210"/>
      <c r="GSO210"/>
      <c r="GSP210"/>
      <c r="GSQ210"/>
      <c r="GSR210"/>
      <c r="GSS210"/>
      <c r="GST210"/>
      <c r="GSU210"/>
      <c r="GSV210"/>
      <c r="GSW210"/>
      <c r="GSX210"/>
      <c r="GSY210"/>
      <c r="GSZ210"/>
      <c r="GTA210"/>
      <c r="GTB210"/>
      <c r="GTC210"/>
      <c r="GTD210"/>
      <c r="GTE210"/>
      <c r="GTF210"/>
      <c r="GTG210"/>
      <c r="GTH210"/>
      <c r="GTI210"/>
      <c r="GTJ210"/>
      <c r="GTK210"/>
      <c r="GTL210"/>
      <c r="GTM210"/>
      <c r="GTN210"/>
      <c r="GTO210"/>
      <c r="GTP210"/>
      <c r="GTQ210"/>
      <c r="GTR210"/>
      <c r="GTS210"/>
      <c r="GTT210"/>
      <c r="GTU210"/>
      <c r="GTV210"/>
      <c r="GTW210"/>
      <c r="GTX210"/>
      <c r="GTY210"/>
      <c r="GTZ210"/>
      <c r="GUA210"/>
      <c r="GUB210"/>
      <c r="GUC210"/>
      <c r="GUD210"/>
      <c r="GUE210"/>
      <c r="GUF210"/>
      <c r="GUG210"/>
      <c r="GUH210"/>
      <c r="GUI210"/>
      <c r="GUJ210"/>
      <c r="GUK210"/>
      <c r="GUL210"/>
      <c r="GUM210"/>
      <c r="GUN210"/>
      <c r="GUO210"/>
      <c r="GUP210"/>
      <c r="GUQ210"/>
      <c r="GUR210"/>
      <c r="GUS210"/>
      <c r="GUT210"/>
      <c r="GUU210"/>
      <c r="GUV210"/>
      <c r="GUW210"/>
      <c r="GUX210"/>
      <c r="GUY210"/>
      <c r="GUZ210"/>
      <c r="GVA210"/>
      <c r="GVB210"/>
      <c r="GVC210"/>
      <c r="GVD210"/>
      <c r="GVE210"/>
      <c r="GVF210"/>
      <c r="GVG210"/>
      <c r="GVH210"/>
      <c r="GVI210"/>
      <c r="GVJ210"/>
      <c r="GVK210"/>
      <c r="GVL210"/>
      <c r="GVM210"/>
      <c r="GVN210"/>
      <c r="GVO210"/>
      <c r="GVP210"/>
      <c r="GVQ210"/>
      <c r="GVR210"/>
      <c r="GVS210"/>
      <c r="GVT210"/>
      <c r="GVU210"/>
      <c r="GVV210"/>
      <c r="GVW210"/>
      <c r="GVX210"/>
      <c r="GVY210"/>
      <c r="GVZ210"/>
      <c r="GWA210"/>
      <c r="GWB210"/>
      <c r="GWC210"/>
      <c r="GWD210"/>
      <c r="GWE210"/>
      <c r="GWF210"/>
      <c r="GWG210"/>
      <c r="GWH210"/>
      <c r="GWI210"/>
      <c r="GWJ210"/>
      <c r="GWK210"/>
      <c r="GWL210"/>
      <c r="GWM210"/>
      <c r="GWN210"/>
      <c r="GWO210"/>
      <c r="GWP210"/>
      <c r="GWQ210"/>
      <c r="GWR210"/>
      <c r="GWS210"/>
      <c r="GWT210"/>
      <c r="GWU210"/>
      <c r="GWV210"/>
      <c r="GWW210"/>
      <c r="GWX210"/>
      <c r="GWY210"/>
      <c r="GWZ210"/>
      <c r="GXA210"/>
      <c r="GXB210"/>
      <c r="GXC210"/>
      <c r="GXD210"/>
      <c r="GXE210"/>
      <c r="GXF210"/>
      <c r="GXG210"/>
      <c r="GXH210"/>
      <c r="GXI210"/>
      <c r="GXJ210"/>
      <c r="GXK210"/>
      <c r="GXL210"/>
      <c r="GXM210"/>
      <c r="GXN210"/>
      <c r="GXO210"/>
      <c r="GXP210"/>
      <c r="GXQ210"/>
      <c r="GXR210"/>
      <c r="GXS210"/>
      <c r="GXT210"/>
      <c r="GXU210"/>
      <c r="GXV210"/>
      <c r="GXW210"/>
      <c r="GXX210"/>
      <c r="GXY210"/>
      <c r="GXZ210"/>
      <c r="GYA210"/>
      <c r="GYB210"/>
      <c r="GYC210"/>
      <c r="GYD210"/>
      <c r="GYE210"/>
      <c r="GYF210"/>
      <c r="GYG210"/>
      <c r="GYH210"/>
      <c r="GYI210"/>
      <c r="GYJ210"/>
      <c r="GYK210"/>
      <c r="GYL210"/>
      <c r="GYM210"/>
      <c r="GYN210"/>
      <c r="GYO210"/>
      <c r="GYP210"/>
      <c r="GYQ210"/>
      <c r="GYR210"/>
      <c r="GYS210"/>
      <c r="GYT210"/>
      <c r="GYU210"/>
      <c r="GYV210"/>
      <c r="GYW210"/>
      <c r="GYX210"/>
      <c r="GYY210"/>
      <c r="GYZ210"/>
      <c r="GZA210"/>
      <c r="GZB210"/>
      <c r="GZC210"/>
      <c r="GZD210"/>
      <c r="GZE210"/>
      <c r="GZF210"/>
      <c r="GZG210"/>
      <c r="GZH210"/>
      <c r="GZI210"/>
      <c r="GZJ210"/>
      <c r="GZK210"/>
      <c r="GZL210"/>
      <c r="GZM210"/>
      <c r="GZN210"/>
      <c r="GZO210"/>
      <c r="GZP210"/>
      <c r="GZQ210"/>
      <c r="GZR210"/>
      <c r="GZS210"/>
      <c r="GZT210"/>
      <c r="GZU210"/>
      <c r="GZV210"/>
      <c r="GZW210"/>
      <c r="GZX210"/>
      <c r="GZY210"/>
      <c r="GZZ210"/>
      <c r="HAA210"/>
      <c r="HAB210"/>
      <c r="HAC210"/>
      <c r="HAD210"/>
      <c r="HAE210"/>
      <c r="HAF210"/>
      <c r="HAG210"/>
      <c r="HAH210"/>
      <c r="HAI210"/>
      <c r="HAJ210"/>
      <c r="HAK210"/>
      <c r="HAL210"/>
      <c r="HAM210"/>
      <c r="HAN210"/>
      <c r="HAO210"/>
      <c r="HAP210"/>
      <c r="HAQ210"/>
      <c r="HAR210"/>
      <c r="HAS210"/>
      <c r="HAT210"/>
      <c r="HAU210"/>
      <c r="HAV210"/>
      <c r="HAW210"/>
      <c r="HAX210"/>
      <c r="HAY210"/>
      <c r="HAZ210"/>
      <c r="HBA210"/>
      <c r="HBB210"/>
      <c r="HBC210"/>
      <c r="HBD210"/>
      <c r="HBE210"/>
      <c r="HBF210"/>
      <c r="HBG210"/>
      <c r="HBH210"/>
      <c r="HBI210"/>
      <c r="HBJ210"/>
      <c r="HBK210"/>
      <c r="HBL210"/>
      <c r="HBM210"/>
      <c r="HBN210"/>
      <c r="HBO210"/>
      <c r="HBP210"/>
      <c r="HBQ210"/>
      <c r="HBR210"/>
      <c r="HBS210"/>
      <c r="HBT210"/>
      <c r="HBU210"/>
      <c r="HBV210"/>
      <c r="HBW210"/>
      <c r="HBX210"/>
      <c r="HBY210"/>
      <c r="HBZ210"/>
      <c r="HCA210"/>
      <c r="HCB210"/>
      <c r="HCC210"/>
      <c r="HCD210"/>
      <c r="HCE210"/>
      <c r="HCF210"/>
      <c r="HCG210"/>
      <c r="HCH210"/>
      <c r="HCI210"/>
      <c r="HCJ210"/>
      <c r="HCK210"/>
      <c r="HCL210"/>
      <c r="HCM210"/>
      <c r="HCN210"/>
      <c r="HCO210"/>
      <c r="HCP210"/>
      <c r="HCQ210"/>
      <c r="HCR210"/>
      <c r="HCS210"/>
      <c r="HCT210"/>
      <c r="HCU210"/>
      <c r="HCV210"/>
      <c r="HCW210"/>
      <c r="HCX210"/>
      <c r="HCY210"/>
      <c r="HCZ210"/>
      <c r="HDA210"/>
      <c r="HDB210"/>
      <c r="HDC210"/>
      <c r="HDD210"/>
      <c r="HDE210"/>
      <c r="HDF210"/>
      <c r="HDG210"/>
      <c r="HDH210"/>
      <c r="HDI210"/>
      <c r="HDJ210"/>
      <c r="HDK210"/>
      <c r="HDL210"/>
      <c r="HDM210"/>
      <c r="HDN210"/>
      <c r="HDO210"/>
      <c r="HDP210"/>
      <c r="HDQ210"/>
      <c r="HDR210"/>
      <c r="HDS210"/>
      <c r="HDT210"/>
      <c r="HDU210"/>
      <c r="HDV210"/>
      <c r="HDW210"/>
      <c r="HDX210"/>
      <c r="HDY210"/>
      <c r="HDZ210"/>
      <c r="HEA210"/>
      <c r="HEB210"/>
      <c r="HEC210"/>
      <c r="HED210"/>
      <c r="HEE210"/>
      <c r="HEF210"/>
      <c r="HEG210"/>
      <c r="HEH210"/>
      <c r="HEI210"/>
      <c r="HEJ210"/>
      <c r="HEK210"/>
      <c r="HEL210"/>
      <c r="HEM210"/>
      <c r="HEN210"/>
      <c r="HEO210"/>
      <c r="HEP210"/>
      <c r="HEQ210"/>
      <c r="HER210"/>
      <c r="HES210"/>
      <c r="HET210"/>
      <c r="HEU210"/>
      <c r="HEV210"/>
      <c r="HEW210"/>
      <c r="HEX210"/>
      <c r="HEY210"/>
      <c r="HEZ210"/>
      <c r="HFA210"/>
      <c r="HFB210"/>
      <c r="HFC210"/>
      <c r="HFD210"/>
      <c r="HFE210"/>
      <c r="HFF210"/>
      <c r="HFG210"/>
      <c r="HFH210"/>
      <c r="HFI210"/>
      <c r="HFJ210"/>
      <c r="HFK210"/>
      <c r="HFL210"/>
      <c r="HFM210"/>
      <c r="HFN210"/>
      <c r="HFO210"/>
      <c r="HFP210"/>
      <c r="HFQ210"/>
      <c r="HFR210"/>
      <c r="HFS210"/>
      <c r="HFT210"/>
      <c r="HFU210"/>
      <c r="HFV210"/>
      <c r="HFW210"/>
      <c r="HFX210"/>
      <c r="HFY210"/>
      <c r="HFZ210"/>
      <c r="HGA210"/>
      <c r="HGB210"/>
      <c r="HGC210"/>
      <c r="HGD210"/>
      <c r="HGE210"/>
      <c r="HGF210"/>
      <c r="HGG210"/>
      <c r="HGH210"/>
      <c r="HGI210"/>
      <c r="HGJ210"/>
      <c r="HGK210"/>
      <c r="HGL210"/>
      <c r="HGM210"/>
      <c r="HGN210"/>
      <c r="HGO210"/>
      <c r="HGP210"/>
      <c r="HGQ210"/>
      <c r="HGR210"/>
      <c r="HGS210"/>
      <c r="HGT210"/>
      <c r="HGU210"/>
      <c r="HGV210"/>
      <c r="HGW210"/>
      <c r="HGX210"/>
      <c r="HGY210"/>
      <c r="HGZ210"/>
      <c r="HHA210"/>
      <c r="HHB210"/>
      <c r="HHC210"/>
      <c r="HHD210"/>
      <c r="HHE210"/>
      <c r="HHF210"/>
      <c r="HHG210"/>
      <c r="HHH210"/>
      <c r="HHI210"/>
      <c r="HHJ210"/>
      <c r="HHK210"/>
      <c r="HHL210"/>
      <c r="HHM210"/>
      <c r="HHN210"/>
      <c r="HHO210"/>
      <c r="HHP210"/>
      <c r="HHQ210"/>
      <c r="HHR210"/>
      <c r="HHS210"/>
      <c r="HHT210"/>
      <c r="HHU210"/>
      <c r="HHV210"/>
      <c r="HHW210"/>
      <c r="HHX210"/>
      <c r="HHY210"/>
      <c r="HHZ210"/>
      <c r="HIA210"/>
      <c r="HIB210"/>
      <c r="HIC210"/>
      <c r="HID210"/>
      <c r="HIE210"/>
      <c r="HIF210"/>
      <c r="HIG210"/>
      <c r="HIH210"/>
      <c r="HII210"/>
      <c r="HIJ210"/>
      <c r="HIK210"/>
      <c r="HIL210"/>
      <c r="HIM210"/>
      <c r="HIN210"/>
      <c r="HIO210"/>
      <c r="HIP210"/>
      <c r="HIQ210"/>
      <c r="HIR210"/>
      <c r="HIS210"/>
      <c r="HIT210"/>
      <c r="HIU210"/>
      <c r="HIV210"/>
      <c r="HIW210"/>
      <c r="HIX210"/>
      <c r="HIY210"/>
      <c r="HIZ210"/>
      <c r="HJA210"/>
      <c r="HJB210"/>
      <c r="HJC210"/>
      <c r="HJD210"/>
      <c r="HJE210"/>
      <c r="HJF210"/>
      <c r="HJG210"/>
      <c r="HJH210"/>
      <c r="HJI210"/>
      <c r="HJJ210"/>
      <c r="HJK210"/>
      <c r="HJL210"/>
      <c r="HJM210"/>
      <c r="HJN210"/>
      <c r="HJO210"/>
      <c r="HJP210"/>
      <c r="HJQ210"/>
      <c r="HJR210"/>
      <c r="HJS210"/>
      <c r="HJT210"/>
      <c r="HJU210"/>
      <c r="HJV210"/>
      <c r="HJW210"/>
      <c r="HJX210"/>
      <c r="HJY210"/>
      <c r="HJZ210"/>
      <c r="HKA210"/>
      <c r="HKB210"/>
      <c r="HKC210"/>
      <c r="HKD210"/>
      <c r="HKE210"/>
      <c r="HKF210"/>
      <c r="HKG210"/>
      <c r="HKH210"/>
      <c r="HKI210"/>
      <c r="HKJ210"/>
      <c r="HKK210"/>
      <c r="HKL210"/>
      <c r="HKM210"/>
      <c r="HKN210"/>
      <c r="HKO210"/>
      <c r="HKP210"/>
      <c r="HKQ210"/>
      <c r="HKR210"/>
      <c r="HKS210"/>
      <c r="HKT210"/>
      <c r="HKU210"/>
      <c r="HKV210"/>
      <c r="HKW210"/>
      <c r="HKX210"/>
      <c r="HKY210"/>
      <c r="HKZ210"/>
      <c r="HLA210"/>
      <c r="HLB210"/>
      <c r="HLC210"/>
      <c r="HLD210"/>
      <c r="HLE210"/>
      <c r="HLF210"/>
      <c r="HLG210"/>
      <c r="HLH210"/>
      <c r="HLI210"/>
      <c r="HLJ210"/>
      <c r="HLK210"/>
      <c r="HLL210"/>
      <c r="HLM210"/>
      <c r="HLN210"/>
      <c r="HLO210"/>
      <c r="HLP210"/>
      <c r="HLQ210"/>
      <c r="HLR210"/>
      <c r="HLS210"/>
      <c r="HLT210"/>
      <c r="HLU210"/>
      <c r="HLV210"/>
      <c r="HLW210"/>
      <c r="HLX210"/>
      <c r="HLY210"/>
      <c r="HLZ210"/>
      <c r="HMA210"/>
      <c r="HMB210"/>
      <c r="HMC210"/>
      <c r="HMD210"/>
      <c r="HME210"/>
      <c r="HMF210"/>
      <c r="HMG210"/>
      <c r="HMH210"/>
      <c r="HMI210"/>
      <c r="HMJ210"/>
      <c r="HMK210"/>
      <c r="HML210"/>
      <c r="HMM210"/>
      <c r="HMN210"/>
      <c r="HMO210"/>
      <c r="HMP210"/>
      <c r="HMQ210"/>
      <c r="HMR210"/>
      <c r="HMS210"/>
      <c r="HMT210"/>
      <c r="HMU210"/>
      <c r="HMV210"/>
      <c r="HMW210"/>
      <c r="HMX210"/>
      <c r="HMY210"/>
      <c r="HMZ210"/>
      <c r="HNA210"/>
      <c r="HNB210"/>
      <c r="HNC210"/>
      <c r="HND210"/>
      <c r="HNE210"/>
      <c r="HNF210"/>
      <c r="HNG210"/>
      <c r="HNH210"/>
      <c r="HNI210"/>
      <c r="HNJ210"/>
      <c r="HNK210"/>
      <c r="HNL210"/>
      <c r="HNM210"/>
      <c r="HNN210"/>
      <c r="HNO210"/>
      <c r="HNP210"/>
      <c r="HNQ210"/>
      <c r="HNR210"/>
      <c r="HNS210"/>
      <c r="HNT210"/>
      <c r="HNU210"/>
      <c r="HNV210"/>
      <c r="HNW210"/>
      <c r="HNX210"/>
      <c r="HNY210"/>
      <c r="HNZ210"/>
      <c r="HOA210"/>
      <c r="HOB210"/>
      <c r="HOC210"/>
      <c r="HOD210"/>
      <c r="HOE210"/>
      <c r="HOF210"/>
      <c r="HOG210"/>
      <c r="HOH210"/>
      <c r="HOI210"/>
      <c r="HOJ210"/>
      <c r="HOK210"/>
      <c r="HOL210"/>
      <c r="HOM210"/>
      <c r="HON210"/>
      <c r="HOO210"/>
      <c r="HOP210"/>
      <c r="HOQ210"/>
      <c r="HOR210"/>
      <c r="HOS210"/>
      <c r="HOT210"/>
      <c r="HOU210"/>
      <c r="HOV210"/>
      <c r="HOW210"/>
      <c r="HOX210"/>
      <c r="HOY210"/>
      <c r="HOZ210"/>
      <c r="HPA210"/>
      <c r="HPB210"/>
      <c r="HPC210"/>
      <c r="HPD210"/>
      <c r="HPE210"/>
      <c r="HPF210"/>
      <c r="HPG210"/>
      <c r="HPH210"/>
      <c r="HPI210"/>
      <c r="HPJ210"/>
      <c r="HPK210"/>
      <c r="HPL210"/>
      <c r="HPM210"/>
      <c r="HPN210"/>
      <c r="HPO210"/>
      <c r="HPP210"/>
      <c r="HPQ210"/>
      <c r="HPR210"/>
      <c r="HPS210"/>
      <c r="HPT210"/>
      <c r="HPU210"/>
      <c r="HPV210"/>
      <c r="HPW210"/>
      <c r="HPX210"/>
      <c r="HPY210"/>
      <c r="HPZ210"/>
      <c r="HQA210"/>
      <c r="HQB210"/>
      <c r="HQC210"/>
      <c r="HQD210"/>
      <c r="HQE210"/>
      <c r="HQF210"/>
      <c r="HQG210"/>
      <c r="HQH210"/>
      <c r="HQI210"/>
      <c r="HQJ210"/>
      <c r="HQK210"/>
      <c r="HQL210"/>
      <c r="HQM210"/>
      <c r="HQN210"/>
      <c r="HQO210"/>
      <c r="HQP210"/>
      <c r="HQQ210"/>
      <c r="HQR210"/>
      <c r="HQS210"/>
      <c r="HQT210"/>
      <c r="HQU210"/>
      <c r="HQV210"/>
      <c r="HQW210"/>
      <c r="HQX210"/>
      <c r="HQY210"/>
      <c r="HQZ210"/>
      <c r="HRA210"/>
      <c r="HRB210"/>
      <c r="HRC210"/>
      <c r="HRD210"/>
      <c r="HRE210"/>
      <c r="HRF210"/>
      <c r="HRG210"/>
      <c r="HRH210"/>
      <c r="HRI210"/>
      <c r="HRJ210"/>
      <c r="HRK210"/>
      <c r="HRL210"/>
      <c r="HRM210"/>
      <c r="HRN210"/>
      <c r="HRO210"/>
      <c r="HRP210"/>
      <c r="HRQ210"/>
      <c r="HRR210"/>
      <c r="HRS210"/>
      <c r="HRT210"/>
      <c r="HRU210"/>
      <c r="HRV210"/>
      <c r="HRW210"/>
      <c r="HRX210"/>
      <c r="HRY210"/>
      <c r="HRZ210"/>
      <c r="HSA210"/>
      <c r="HSB210"/>
      <c r="HSC210"/>
      <c r="HSD210"/>
      <c r="HSE210"/>
      <c r="HSF210"/>
      <c r="HSG210"/>
      <c r="HSH210"/>
      <c r="HSI210"/>
      <c r="HSJ210"/>
      <c r="HSK210"/>
      <c r="HSL210"/>
      <c r="HSM210"/>
      <c r="HSN210"/>
      <c r="HSO210"/>
      <c r="HSP210"/>
      <c r="HSQ210"/>
      <c r="HSR210"/>
      <c r="HSS210"/>
      <c r="HST210"/>
      <c r="HSU210"/>
      <c r="HSV210"/>
      <c r="HSW210"/>
      <c r="HSX210"/>
      <c r="HSY210"/>
      <c r="HSZ210"/>
      <c r="HTA210"/>
      <c r="HTB210"/>
      <c r="HTC210"/>
      <c r="HTD210"/>
      <c r="HTE210"/>
      <c r="HTF210"/>
      <c r="HTG210"/>
      <c r="HTH210"/>
      <c r="HTI210"/>
      <c r="HTJ210"/>
      <c r="HTK210"/>
      <c r="HTL210"/>
      <c r="HTM210"/>
      <c r="HTN210"/>
      <c r="HTO210"/>
      <c r="HTP210"/>
      <c r="HTQ210"/>
      <c r="HTR210"/>
      <c r="HTS210"/>
      <c r="HTT210"/>
      <c r="HTU210"/>
      <c r="HTV210"/>
      <c r="HTW210"/>
      <c r="HTX210"/>
      <c r="HTY210"/>
      <c r="HTZ210"/>
      <c r="HUA210"/>
      <c r="HUB210"/>
      <c r="HUC210"/>
      <c r="HUD210"/>
      <c r="HUE210"/>
      <c r="HUF210"/>
      <c r="HUG210"/>
      <c r="HUH210"/>
      <c r="HUI210"/>
      <c r="HUJ210"/>
      <c r="HUK210"/>
      <c r="HUL210"/>
      <c r="HUM210"/>
      <c r="HUN210"/>
      <c r="HUO210"/>
      <c r="HUP210"/>
      <c r="HUQ210"/>
      <c r="HUR210"/>
      <c r="HUS210"/>
      <c r="HUT210"/>
      <c r="HUU210"/>
      <c r="HUV210"/>
      <c r="HUW210"/>
      <c r="HUX210"/>
      <c r="HUY210"/>
      <c r="HUZ210"/>
      <c r="HVA210"/>
      <c r="HVB210"/>
      <c r="HVC210"/>
      <c r="HVD210"/>
      <c r="HVE210"/>
      <c r="HVF210"/>
      <c r="HVG210"/>
      <c r="HVH210"/>
      <c r="HVI210"/>
      <c r="HVJ210"/>
      <c r="HVK210"/>
      <c r="HVL210"/>
      <c r="HVM210"/>
      <c r="HVN210"/>
      <c r="HVO210"/>
      <c r="HVP210"/>
      <c r="HVQ210"/>
      <c r="HVR210"/>
      <c r="HVS210"/>
      <c r="HVT210"/>
      <c r="HVU210"/>
      <c r="HVV210"/>
      <c r="HVW210"/>
      <c r="HVX210"/>
      <c r="HVY210"/>
      <c r="HVZ210"/>
      <c r="HWA210"/>
      <c r="HWB210"/>
      <c r="HWC210"/>
      <c r="HWD210"/>
      <c r="HWE210"/>
      <c r="HWF210"/>
      <c r="HWG210"/>
      <c r="HWH210"/>
      <c r="HWI210"/>
      <c r="HWJ210"/>
      <c r="HWK210"/>
      <c r="HWL210"/>
      <c r="HWM210"/>
      <c r="HWN210"/>
      <c r="HWO210"/>
      <c r="HWP210"/>
      <c r="HWQ210"/>
      <c r="HWR210"/>
      <c r="HWS210"/>
      <c r="HWT210"/>
      <c r="HWU210"/>
      <c r="HWV210"/>
      <c r="HWW210"/>
      <c r="HWX210"/>
      <c r="HWY210"/>
      <c r="HWZ210"/>
      <c r="HXA210"/>
      <c r="HXB210"/>
      <c r="HXC210"/>
      <c r="HXD210"/>
      <c r="HXE210"/>
      <c r="HXF210"/>
      <c r="HXG210"/>
      <c r="HXH210"/>
      <c r="HXI210"/>
      <c r="HXJ210"/>
      <c r="HXK210"/>
      <c r="HXL210"/>
      <c r="HXM210"/>
      <c r="HXN210"/>
      <c r="HXO210"/>
      <c r="HXP210"/>
      <c r="HXQ210"/>
      <c r="HXR210"/>
      <c r="HXS210"/>
      <c r="HXT210"/>
      <c r="HXU210"/>
      <c r="HXV210"/>
      <c r="HXW210"/>
      <c r="HXX210"/>
      <c r="HXY210"/>
      <c r="HXZ210"/>
      <c r="HYA210"/>
      <c r="HYB210"/>
      <c r="HYC210"/>
      <c r="HYD210"/>
      <c r="HYE210"/>
      <c r="HYF210"/>
      <c r="HYG210"/>
      <c r="HYH210"/>
      <c r="HYI210"/>
      <c r="HYJ210"/>
      <c r="HYK210"/>
      <c r="HYL210"/>
      <c r="HYM210"/>
      <c r="HYN210"/>
      <c r="HYO210"/>
      <c r="HYP210"/>
      <c r="HYQ210"/>
      <c r="HYR210"/>
      <c r="HYS210"/>
      <c r="HYT210"/>
      <c r="HYU210"/>
      <c r="HYV210"/>
      <c r="HYW210"/>
      <c r="HYX210"/>
      <c r="HYY210"/>
      <c r="HYZ210"/>
      <c r="HZA210"/>
      <c r="HZB210"/>
      <c r="HZC210"/>
      <c r="HZD210"/>
      <c r="HZE210"/>
      <c r="HZF210"/>
      <c r="HZG210"/>
      <c r="HZH210"/>
      <c r="HZI210"/>
      <c r="HZJ210"/>
      <c r="HZK210"/>
      <c r="HZL210"/>
      <c r="HZM210"/>
      <c r="HZN210"/>
      <c r="HZO210"/>
      <c r="HZP210"/>
      <c r="HZQ210"/>
      <c r="HZR210"/>
      <c r="HZS210"/>
      <c r="HZT210"/>
      <c r="HZU210"/>
      <c r="HZV210"/>
      <c r="HZW210"/>
      <c r="HZX210"/>
      <c r="HZY210"/>
      <c r="HZZ210"/>
      <c r="IAA210"/>
      <c r="IAB210"/>
      <c r="IAC210"/>
      <c r="IAD210"/>
      <c r="IAE210"/>
      <c r="IAF210"/>
      <c r="IAG210"/>
      <c r="IAH210"/>
      <c r="IAI210"/>
      <c r="IAJ210"/>
      <c r="IAK210"/>
      <c r="IAL210"/>
      <c r="IAM210"/>
      <c r="IAN210"/>
      <c r="IAO210"/>
      <c r="IAP210"/>
      <c r="IAQ210"/>
      <c r="IAR210"/>
      <c r="IAS210"/>
      <c r="IAT210"/>
      <c r="IAU210"/>
      <c r="IAV210"/>
      <c r="IAW210"/>
      <c r="IAX210"/>
      <c r="IAY210"/>
      <c r="IAZ210"/>
      <c r="IBA210"/>
      <c r="IBB210"/>
      <c r="IBC210"/>
      <c r="IBD210"/>
      <c r="IBE210"/>
      <c r="IBF210"/>
      <c r="IBG210"/>
      <c r="IBH210"/>
      <c r="IBI210"/>
      <c r="IBJ210"/>
      <c r="IBK210"/>
      <c r="IBL210"/>
      <c r="IBM210"/>
      <c r="IBN210"/>
      <c r="IBO210"/>
      <c r="IBP210"/>
      <c r="IBQ210"/>
      <c r="IBR210"/>
      <c r="IBS210"/>
      <c r="IBT210"/>
      <c r="IBU210"/>
      <c r="IBV210"/>
      <c r="IBW210"/>
      <c r="IBX210"/>
      <c r="IBY210"/>
      <c r="IBZ210"/>
      <c r="ICA210"/>
      <c r="ICB210"/>
      <c r="ICC210"/>
      <c r="ICD210"/>
      <c r="ICE210"/>
      <c r="ICF210"/>
      <c r="ICG210"/>
      <c r="ICH210"/>
      <c r="ICI210"/>
      <c r="ICJ210"/>
      <c r="ICK210"/>
      <c r="ICL210"/>
      <c r="ICM210"/>
      <c r="ICN210"/>
      <c r="ICO210"/>
      <c r="ICP210"/>
      <c r="ICQ210"/>
      <c r="ICR210"/>
      <c r="ICS210"/>
      <c r="ICT210"/>
      <c r="ICU210"/>
      <c r="ICV210"/>
      <c r="ICW210"/>
      <c r="ICX210"/>
      <c r="ICY210"/>
      <c r="ICZ210"/>
      <c r="IDA210"/>
      <c r="IDB210"/>
      <c r="IDC210"/>
      <c r="IDD210"/>
      <c r="IDE210"/>
      <c r="IDF210"/>
      <c r="IDG210"/>
      <c r="IDH210"/>
      <c r="IDI210"/>
      <c r="IDJ210"/>
      <c r="IDK210"/>
      <c r="IDL210"/>
      <c r="IDM210"/>
      <c r="IDN210"/>
      <c r="IDO210"/>
      <c r="IDP210"/>
      <c r="IDQ210"/>
      <c r="IDR210"/>
      <c r="IDS210"/>
      <c r="IDT210"/>
      <c r="IDU210"/>
      <c r="IDV210"/>
      <c r="IDW210"/>
      <c r="IDX210"/>
      <c r="IDY210"/>
      <c r="IDZ210"/>
      <c r="IEA210"/>
      <c r="IEB210"/>
      <c r="IEC210"/>
      <c r="IED210"/>
      <c r="IEE210"/>
      <c r="IEF210"/>
      <c r="IEG210"/>
      <c r="IEH210"/>
      <c r="IEI210"/>
      <c r="IEJ210"/>
      <c r="IEK210"/>
      <c r="IEL210"/>
      <c r="IEM210"/>
      <c r="IEN210"/>
      <c r="IEO210"/>
      <c r="IEP210"/>
      <c r="IEQ210"/>
      <c r="IER210"/>
      <c r="IES210"/>
      <c r="IET210"/>
      <c r="IEU210"/>
      <c r="IEV210"/>
      <c r="IEW210"/>
      <c r="IEX210"/>
      <c r="IEY210"/>
      <c r="IEZ210"/>
      <c r="IFA210"/>
      <c r="IFB210"/>
      <c r="IFC210"/>
      <c r="IFD210"/>
      <c r="IFE210"/>
      <c r="IFF210"/>
      <c r="IFG210"/>
      <c r="IFH210"/>
      <c r="IFI210"/>
      <c r="IFJ210"/>
      <c r="IFK210"/>
      <c r="IFL210"/>
      <c r="IFM210"/>
      <c r="IFN210"/>
      <c r="IFO210"/>
      <c r="IFP210"/>
      <c r="IFQ210"/>
      <c r="IFR210"/>
      <c r="IFS210"/>
      <c r="IFT210"/>
      <c r="IFU210"/>
      <c r="IFV210"/>
      <c r="IFW210"/>
      <c r="IFX210"/>
      <c r="IFY210"/>
      <c r="IFZ210"/>
      <c r="IGA210"/>
      <c r="IGB210"/>
      <c r="IGC210"/>
      <c r="IGD210"/>
      <c r="IGE210"/>
      <c r="IGF210"/>
      <c r="IGG210"/>
      <c r="IGH210"/>
      <c r="IGI210"/>
      <c r="IGJ210"/>
      <c r="IGK210"/>
      <c r="IGL210"/>
      <c r="IGM210"/>
      <c r="IGN210"/>
      <c r="IGO210"/>
      <c r="IGP210"/>
      <c r="IGQ210"/>
      <c r="IGR210"/>
      <c r="IGS210"/>
      <c r="IGT210"/>
      <c r="IGU210"/>
      <c r="IGV210"/>
      <c r="IGW210"/>
      <c r="IGX210"/>
      <c r="IGY210"/>
      <c r="IGZ210"/>
      <c r="IHA210"/>
      <c r="IHB210"/>
      <c r="IHC210"/>
      <c r="IHD210"/>
      <c r="IHE210"/>
      <c r="IHF210"/>
      <c r="IHG210"/>
      <c r="IHH210"/>
      <c r="IHI210"/>
      <c r="IHJ210"/>
      <c r="IHK210"/>
      <c r="IHL210"/>
      <c r="IHM210"/>
      <c r="IHN210"/>
      <c r="IHO210"/>
      <c r="IHP210"/>
      <c r="IHQ210"/>
      <c r="IHR210"/>
      <c r="IHS210"/>
      <c r="IHT210"/>
      <c r="IHU210"/>
      <c r="IHV210"/>
      <c r="IHW210"/>
      <c r="IHX210"/>
      <c r="IHY210"/>
      <c r="IHZ210"/>
      <c r="IIA210"/>
      <c r="IIB210"/>
      <c r="IIC210"/>
      <c r="IID210"/>
      <c r="IIE210"/>
      <c r="IIF210"/>
      <c r="IIG210"/>
      <c r="IIH210"/>
      <c r="III210"/>
      <c r="IIJ210"/>
      <c r="IIK210"/>
      <c r="IIL210"/>
      <c r="IIM210"/>
      <c r="IIN210"/>
      <c r="IIO210"/>
      <c r="IIP210"/>
      <c r="IIQ210"/>
      <c r="IIR210"/>
      <c r="IIS210"/>
      <c r="IIT210"/>
      <c r="IIU210"/>
      <c r="IIV210"/>
      <c r="IIW210"/>
      <c r="IIX210"/>
      <c r="IIY210"/>
      <c r="IIZ210"/>
      <c r="IJA210"/>
      <c r="IJB210"/>
      <c r="IJC210"/>
      <c r="IJD210"/>
      <c r="IJE210"/>
      <c r="IJF210"/>
      <c r="IJG210"/>
      <c r="IJH210"/>
      <c r="IJI210"/>
      <c r="IJJ210"/>
      <c r="IJK210"/>
      <c r="IJL210"/>
      <c r="IJM210"/>
      <c r="IJN210"/>
      <c r="IJO210"/>
      <c r="IJP210"/>
      <c r="IJQ210"/>
      <c r="IJR210"/>
      <c r="IJS210"/>
      <c r="IJT210"/>
      <c r="IJU210"/>
      <c r="IJV210"/>
      <c r="IJW210"/>
      <c r="IJX210"/>
      <c r="IJY210"/>
      <c r="IJZ210"/>
      <c r="IKA210"/>
      <c r="IKB210"/>
      <c r="IKC210"/>
      <c r="IKD210"/>
      <c r="IKE210"/>
      <c r="IKF210"/>
      <c r="IKG210"/>
      <c r="IKH210"/>
      <c r="IKI210"/>
      <c r="IKJ210"/>
      <c r="IKK210"/>
      <c r="IKL210"/>
      <c r="IKM210"/>
      <c r="IKN210"/>
      <c r="IKO210"/>
      <c r="IKP210"/>
      <c r="IKQ210"/>
      <c r="IKR210"/>
      <c r="IKS210"/>
      <c r="IKT210"/>
      <c r="IKU210"/>
      <c r="IKV210"/>
      <c r="IKW210"/>
      <c r="IKX210"/>
      <c r="IKY210"/>
      <c r="IKZ210"/>
      <c r="ILA210"/>
      <c r="ILB210"/>
      <c r="ILC210"/>
      <c r="ILD210"/>
      <c r="ILE210"/>
      <c r="ILF210"/>
      <c r="ILG210"/>
      <c r="ILH210"/>
      <c r="ILI210"/>
      <c r="ILJ210"/>
      <c r="ILK210"/>
      <c r="ILL210"/>
      <c r="ILM210"/>
      <c r="ILN210"/>
      <c r="ILO210"/>
      <c r="ILP210"/>
      <c r="ILQ210"/>
      <c r="ILR210"/>
      <c r="ILS210"/>
      <c r="ILT210"/>
      <c r="ILU210"/>
      <c r="ILV210"/>
      <c r="ILW210"/>
      <c r="ILX210"/>
      <c r="ILY210"/>
      <c r="ILZ210"/>
      <c r="IMA210"/>
      <c r="IMB210"/>
      <c r="IMC210"/>
      <c r="IMD210"/>
      <c r="IME210"/>
      <c r="IMF210"/>
      <c r="IMG210"/>
      <c r="IMH210"/>
      <c r="IMI210"/>
      <c r="IMJ210"/>
      <c r="IMK210"/>
      <c r="IML210"/>
      <c r="IMM210"/>
      <c r="IMN210"/>
      <c r="IMO210"/>
      <c r="IMP210"/>
      <c r="IMQ210"/>
      <c r="IMR210"/>
      <c r="IMS210"/>
      <c r="IMT210"/>
      <c r="IMU210"/>
      <c r="IMV210"/>
      <c r="IMW210"/>
      <c r="IMX210"/>
      <c r="IMY210"/>
      <c r="IMZ210"/>
      <c r="INA210"/>
      <c r="INB210"/>
      <c r="INC210"/>
      <c r="IND210"/>
      <c r="INE210"/>
      <c r="INF210"/>
      <c r="ING210"/>
      <c r="INH210"/>
      <c r="INI210"/>
      <c r="INJ210"/>
      <c r="INK210"/>
      <c r="INL210"/>
      <c r="INM210"/>
      <c r="INN210"/>
      <c r="INO210"/>
      <c r="INP210"/>
      <c r="INQ210"/>
      <c r="INR210"/>
      <c r="INS210"/>
      <c r="INT210"/>
      <c r="INU210"/>
      <c r="INV210"/>
      <c r="INW210"/>
      <c r="INX210"/>
      <c r="INY210"/>
      <c r="INZ210"/>
      <c r="IOA210"/>
      <c r="IOB210"/>
      <c r="IOC210"/>
      <c r="IOD210"/>
      <c r="IOE210"/>
      <c r="IOF210"/>
      <c r="IOG210"/>
      <c r="IOH210"/>
      <c r="IOI210"/>
      <c r="IOJ210"/>
      <c r="IOK210"/>
      <c r="IOL210"/>
      <c r="IOM210"/>
      <c r="ION210"/>
      <c r="IOO210"/>
      <c r="IOP210"/>
      <c r="IOQ210"/>
      <c r="IOR210"/>
      <c r="IOS210"/>
      <c r="IOT210"/>
      <c r="IOU210"/>
      <c r="IOV210"/>
      <c r="IOW210"/>
      <c r="IOX210"/>
      <c r="IOY210"/>
      <c r="IOZ210"/>
      <c r="IPA210"/>
      <c r="IPB210"/>
      <c r="IPC210"/>
      <c r="IPD210"/>
      <c r="IPE210"/>
      <c r="IPF210"/>
      <c r="IPG210"/>
      <c r="IPH210"/>
      <c r="IPI210"/>
      <c r="IPJ210"/>
      <c r="IPK210"/>
      <c r="IPL210"/>
      <c r="IPM210"/>
      <c r="IPN210"/>
      <c r="IPO210"/>
      <c r="IPP210"/>
      <c r="IPQ210"/>
      <c r="IPR210"/>
      <c r="IPS210"/>
      <c r="IPT210"/>
      <c r="IPU210"/>
      <c r="IPV210"/>
      <c r="IPW210"/>
      <c r="IPX210"/>
      <c r="IPY210"/>
      <c r="IPZ210"/>
      <c r="IQA210"/>
      <c r="IQB210"/>
      <c r="IQC210"/>
      <c r="IQD210"/>
      <c r="IQE210"/>
      <c r="IQF210"/>
      <c r="IQG210"/>
      <c r="IQH210"/>
      <c r="IQI210"/>
      <c r="IQJ210"/>
      <c r="IQK210"/>
      <c r="IQL210"/>
      <c r="IQM210"/>
      <c r="IQN210"/>
      <c r="IQO210"/>
      <c r="IQP210"/>
      <c r="IQQ210"/>
      <c r="IQR210"/>
      <c r="IQS210"/>
      <c r="IQT210"/>
      <c r="IQU210"/>
      <c r="IQV210"/>
      <c r="IQW210"/>
      <c r="IQX210"/>
      <c r="IQY210"/>
      <c r="IQZ210"/>
      <c r="IRA210"/>
      <c r="IRB210"/>
      <c r="IRC210"/>
      <c r="IRD210"/>
      <c r="IRE210"/>
      <c r="IRF210"/>
      <c r="IRG210"/>
      <c r="IRH210"/>
      <c r="IRI210"/>
      <c r="IRJ210"/>
      <c r="IRK210"/>
      <c r="IRL210"/>
      <c r="IRM210"/>
      <c r="IRN210"/>
      <c r="IRO210"/>
      <c r="IRP210"/>
      <c r="IRQ210"/>
      <c r="IRR210"/>
      <c r="IRS210"/>
      <c r="IRT210"/>
      <c r="IRU210"/>
      <c r="IRV210"/>
      <c r="IRW210"/>
      <c r="IRX210"/>
      <c r="IRY210"/>
      <c r="IRZ210"/>
      <c r="ISA210"/>
      <c r="ISB210"/>
      <c r="ISC210"/>
      <c r="ISD210"/>
      <c r="ISE210"/>
      <c r="ISF210"/>
      <c r="ISG210"/>
      <c r="ISH210"/>
      <c r="ISI210"/>
      <c r="ISJ210"/>
      <c r="ISK210"/>
      <c r="ISL210"/>
      <c r="ISM210"/>
      <c r="ISN210"/>
      <c r="ISO210"/>
      <c r="ISP210"/>
      <c r="ISQ210"/>
      <c r="ISR210"/>
      <c r="ISS210"/>
      <c r="IST210"/>
      <c r="ISU210"/>
      <c r="ISV210"/>
      <c r="ISW210"/>
      <c r="ISX210"/>
      <c r="ISY210"/>
      <c r="ISZ210"/>
      <c r="ITA210"/>
      <c r="ITB210"/>
      <c r="ITC210"/>
      <c r="ITD210"/>
      <c r="ITE210"/>
      <c r="ITF210"/>
      <c r="ITG210"/>
      <c r="ITH210"/>
      <c r="ITI210"/>
      <c r="ITJ210"/>
      <c r="ITK210"/>
      <c r="ITL210"/>
      <c r="ITM210"/>
      <c r="ITN210"/>
      <c r="ITO210"/>
      <c r="ITP210"/>
      <c r="ITQ210"/>
      <c r="ITR210"/>
      <c r="ITS210"/>
      <c r="ITT210"/>
      <c r="ITU210"/>
      <c r="ITV210"/>
      <c r="ITW210"/>
      <c r="ITX210"/>
      <c r="ITY210"/>
      <c r="ITZ210"/>
      <c r="IUA210"/>
      <c r="IUB210"/>
      <c r="IUC210"/>
      <c r="IUD210"/>
      <c r="IUE210"/>
      <c r="IUF210"/>
      <c r="IUG210"/>
      <c r="IUH210"/>
      <c r="IUI210"/>
      <c r="IUJ210"/>
      <c r="IUK210"/>
      <c r="IUL210"/>
      <c r="IUM210"/>
      <c r="IUN210"/>
      <c r="IUO210"/>
      <c r="IUP210"/>
      <c r="IUQ210"/>
      <c r="IUR210"/>
      <c r="IUS210"/>
      <c r="IUT210"/>
      <c r="IUU210"/>
      <c r="IUV210"/>
      <c r="IUW210"/>
      <c r="IUX210"/>
      <c r="IUY210"/>
      <c r="IUZ210"/>
      <c r="IVA210"/>
      <c r="IVB210"/>
      <c r="IVC210"/>
      <c r="IVD210"/>
      <c r="IVE210"/>
      <c r="IVF210"/>
      <c r="IVG210"/>
      <c r="IVH210"/>
      <c r="IVI210"/>
      <c r="IVJ210"/>
      <c r="IVK210"/>
      <c r="IVL210"/>
      <c r="IVM210"/>
      <c r="IVN210"/>
      <c r="IVO210"/>
      <c r="IVP210"/>
      <c r="IVQ210"/>
      <c r="IVR210"/>
      <c r="IVS210"/>
      <c r="IVT210"/>
      <c r="IVU210"/>
      <c r="IVV210"/>
      <c r="IVW210"/>
      <c r="IVX210"/>
      <c r="IVY210"/>
      <c r="IVZ210"/>
      <c r="IWA210"/>
      <c r="IWB210"/>
      <c r="IWC210"/>
      <c r="IWD210"/>
      <c r="IWE210"/>
      <c r="IWF210"/>
      <c r="IWG210"/>
      <c r="IWH210"/>
      <c r="IWI210"/>
      <c r="IWJ210"/>
      <c r="IWK210"/>
      <c r="IWL210"/>
      <c r="IWM210"/>
      <c r="IWN210"/>
      <c r="IWO210"/>
      <c r="IWP210"/>
      <c r="IWQ210"/>
      <c r="IWR210"/>
      <c r="IWS210"/>
      <c r="IWT210"/>
      <c r="IWU210"/>
      <c r="IWV210"/>
      <c r="IWW210"/>
      <c r="IWX210"/>
      <c r="IWY210"/>
      <c r="IWZ210"/>
      <c r="IXA210"/>
      <c r="IXB210"/>
      <c r="IXC210"/>
      <c r="IXD210"/>
      <c r="IXE210"/>
      <c r="IXF210"/>
      <c r="IXG210"/>
      <c r="IXH210"/>
      <c r="IXI210"/>
      <c r="IXJ210"/>
      <c r="IXK210"/>
      <c r="IXL210"/>
      <c r="IXM210"/>
      <c r="IXN210"/>
      <c r="IXO210"/>
      <c r="IXP210"/>
      <c r="IXQ210"/>
      <c r="IXR210"/>
      <c r="IXS210"/>
      <c r="IXT210"/>
      <c r="IXU210"/>
      <c r="IXV210"/>
      <c r="IXW210"/>
      <c r="IXX210"/>
      <c r="IXY210"/>
      <c r="IXZ210"/>
      <c r="IYA210"/>
      <c r="IYB210"/>
      <c r="IYC210"/>
      <c r="IYD210"/>
      <c r="IYE210"/>
      <c r="IYF210"/>
      <c r="IYG210"/>
      <c r="IYH210"/>
      <c r="IYI210"/>
      <c r="IYJ210"/>
      <c r="IYK210"/>
      <c r="IYL210"/>
      <c r="IYM210"/>
      <c r="IYN210"/>
      <c r="IYO210"/>
      <c r="IYP210"/>
      <c r="IYQ210"/>
      <c r="IYR210"/>
      <c r="IYS210"/>
      <c r="IYT210"/>
      <c r="IYU210"/>
      <c r="IYV210"/>
      <c r="IYW210"/>
      <c r="IYX210"/>
      <c r="IYY210"/>
      <c r="IYZ210"/>
      <c r="IZA210"/>
      <c r="IZB210"/>
      <c r="IZC210"/>
      <c r="IZD210"/>
      <c r="IZE210"/>
      <c r="IZF210"/>
      <c r="IZG210"/>
      <c r="IZH210"/>
      <c r="IZI210"/>
      <c r="IZJ210"/>
      <c r="IZK210"/>
      <c r="IZL210"/>
      <c r="IZM210"/>
      <c r="IZN210"/>
      <c r="IZO210"/>
      <c r="IZP210"/>
      <c r="IZQ210"/>
      <c r="IZR210"/>
      <c r="IZS210"/>
      <c r="IZT210"/>
      <c r="IZU210"/>
      <c r="IZV210"/>
      <c r="IZW210"/>
      <c r="IZX210"/>
      <c r="IZY210"/>
      <c r="IZZ210"/>
      <c r="JAA210"/>
      <c r="JAB210"/>
      <c r="JAC210"/>
      <c r="JAD210"/>
      <c r="JAE210"/>
      <c r="JAF210"/>
      <c r="JAG210"/>
      <c r="JAH210"/>
      <c r="JAI210"/>
      <c r="JAJ210"/>
      <c r="JAK210"/>
      <c r="JAL210"/>
      <c r="JAM210"/>
      <c r="JAN210"/>
      <c r="JAO210"/>
      <c r="JAP210"/>
      <c r="JAQ210"/>
      <c r="JAR210"/>
      <c r="JAS210"/>
      <c r="JAT210"/>
      <c r="JAU210"/>
      <c r="JAV210"/>
      <c r="JAW210"/>
      <c r="JAX210"/>
      <c r="JAY210"/>
      <c r="JAZ210"/>
      <c r="JBA210"/>
      <c r="JBB210"/>
      <c r="JBC210"/>
      <c r="JBD210"/>
      <c r="JBE210"/>
      <c r="JBF210"/>
      <c r="JBG210"/>
      <c r="JBH210"/>
      <c r="JBI210"/>
      <c r="JBJ210"/>
      <c r="JBK210"/>
      <c r="JBL210"/>
      <c r="JBM210"/>
      <c r="JBN210"/>
      <c r="JBO210"/>
      <c r="JBP210"/>
      <c r="JBQ210"/>
      <c r="JBR210"/>
      <c r="JBS210"/>
      <c r="JBT210"/>
      <c r="JBU210"/>
      <c r="JBV210"/>
      <c r="JBW210"/>
      <c r="JBX210"/>
      <c r="JBY210"/>
      <c r="JBZ210"/>
      <c r="JCA210"/>
      <c r="JCB210"/>
      <c r="JCC210"/>
      <c r="JCD210"/>
      <c r="JCE210"/>
      <c r="JCF210"/>
      <c r="JCG210"/>
      <c r="JCH210"/>
      <c r="JCI210"/>
      <c r="JCJ210"/>
      <c r="JCK210"/>
      <c r="JCL210"/>
      <c r="JCM210"/>
      <c r="JCN210"/>
      <c r="JCO210"/>
      <c r="JCP210"/>
      <c r="JCQ210"/>
      <c r="JCR210"/>
      <c r="JCS210"/>
      <c r="JCT210"/>
      <c r="JCU210"/>
      <c r="JCV210"/>
      <c r="JCW210"/>
      <c r="JCX210"/>
      <c r="JCY210"/>
      <c r="JCZ210"/>
      <c r="JDA210"/>
      <c r="JDB210"/>
      <c r="JDC210"/>
      <c r="JDD210"/>
      <c r="JDE210"/>
      <c r="JDF210"/>
      <c r="JDG210"/>
      <c r="JDH210"/>
      <c r="JDI210"/>
      <c r="JDJ210"/>
      <c r="JDK210"/>
      <c r="JDL210"/>
      <c r="JDM210"/>
      <c r="JDN210"/>
      <c r="JDO210"/>
      <c r="JDP210"/>
      <c r="JDQ210"/>
      <c r="JDR210"/>
      <c r="JDS210"/>
      <c r="JDT210"/>
      <c r="JDU210"/>
      <c r="JDV210"/>
      <c r="JDW210"/>
      <c r="JDX210"/>
      <c r="JDY210"/>
      <c r="JDZ210"/>
      <c r="JEA210"/>
      <c r="JEB210"/>
      <c r="JEC210"/>
      <c r="JED210"/>
      <c r="JEE210"/>
      <c r="JEF210"/>
      <c r="JEG210"/>
      <c r="JEH210"/>
      <c r="JEI210"/>
      <c r="JEJ210"/>
      <c r="JEK210"/>
      <c r="JEL210"/>
      <c r="JEM210"/>
      <c r="JEN210"/>
      <c r="JEO210"/>
      <c r="JEP210"/>
      <c r="JEQ210"/>
      <c r="JER210"/>
      <c r="JES210"/>
      <c r="JET210"/>
      <c r="JEU210"/>
      <c r="JEV210"/>
      <c r="JEW210"/>
      <c r="JEX210"/>
      <c r="JEY210"/>
      <c r="JEZ210"/>
      <c r="JFA210"/>
      <c r="JFB210"/>
      <c r="JFC210"/>
      <c r="JFD210"/>
      <c r="JFE210"/>
      <c r="JFF210"/>
      <c r="JFG210"/>
      <c r="JFH210"/>
      <c r="JFI210"/>
      <c r="JFJ210"/>
      <c r="JFK210"/>
      <c r="JFL210"/>
      <c r="JFM210"/>
      <c r="JFN210"/>
      <c r="JFO210"/>
      <c r="JFP210"/>
      <c r="JFQ210"/>
      <c r="JFR210"/>
      <c r="JFS210"/>
      <c r="JFT210"/>
      <c r="JFU210"/>
      <c r="JFV210"/>
      <c r="JFW210"/>
      <c r="JFX210"/>
      <c r="JFY210"/>
      <c r="JFZ210"/>
      <c r="JGA210"/>
      <c r="JGB210"/>
      <c r="JGC210"/>
      <c r="JGD210"/>
      <c r="JGE210"/>
      <c r="JGF210"/>
      <c r="JGG210"/>
      <c r="JGH210"/>
      <c r="JGI210"/>
      <c r="JGJ210"/>
      <c r="JGK210"/>
      <c r="JGL210"/>
      <c r="JGM210"/>
      <c r="JGN210"/>
      <c r="JGO210"/>
      <c r="JGP210"/>
      <c r="JGQ210"/>
      <c r="JGR210"/>
      <c r="JGS210"/>
      <c r="JGT210"/>
      <c r="JGU210"/>
      <c r="JGV210"/>
      <c r="JGW210"/>
      <c r="JGX210"/>
      <c r="JGY210"/>
      <c r="JGZ210"/>
      <c r="JHA210"/>
      <c r="JHB210"/>
      <c r="JHC210"/>
      <c r="JHD210"/>
      <c r="JHE210"/>
      <c r="JHF210"/>
      <c r="JHG210"/>
      <c r="JHH210"/>
      <c r="JHI210"/>
      <c r="JHJ210"/>
      <c r="JHK210"/>
      <c r="JHL210"/>
      <c r="JHM210"/>
      <c r="JHN210"/>
      <c r="JHO210"/>
      <c r="JHP210"/>
      <c r="JHQ210"/>
      <c r="JHR210"/>
      <c r="JHS210"/>
      <c r="JHT210"/>
      <c r="JHU210"/>
      <c r="JHV210"/>
      <c r="JHW210"/>
      <c r="JHX210"/>
      <c r="JHY210"/>
      <c r="JHZ210"/>
      <c r="JIA210"/>
      <c r="JIB210"/>
      <c r="JIC210"/>
      <c r="JID210"/>
      <c r="JIE210"/>
      <c r="JIF210"/>
      <c r="JIG210"/>
      <c r="JIH210"/>
      <c r="JII210"/>
      <c r="JIJ210"/>
      <c r="JIK210"/>
      <c r="JIL210"/>
      <c r="JIM210"/>
      <c r="JIN210"/>
      <c r="JIO210"/>
      <c r="JIP210"/>
      <c r="JIQ210"/>
      <c r="JIR210"/>
      <c r="JIS210"/>
      <c r="JIT210"/>
      <c r="JIU210"/>
      <c r="JIV210"/>
      <c r="JIW210"/>
      <c r="JIX210"/>
      <c r="JIY210"/>
      <c r="JIZ210"/>
      <c r="JJA210"/>
      <c r="JJB210"/>
      <c r="JJC210"/>
      <c r="JJD210"/>
      <c r="JJE210"/>
      <c r="JJF210"/>
      <c r="JJG210"/>
      <c r="JJH210"/>
      <c r="JJI210"/>
      <c r="JJJ210"/>
      <c r="JJK210"/>
      <c r="JJL210"/>
      <c r="JJM210"/>
      <c r="JJN210"/>
      <c r="JJO210"/>
      <c r="JJP210"/>
      <c r="JJQ210"/>
      <c r="JJR210"/>
      <c r="JJS210"/>
      <c r="JJT210"/>
      <c r="JJU210"/>
      <c r="JJV210"/>
      <c r="JJW210"/>
      <c r="JJX210"/>
      <c r="JJY210"/>
      <c r="JJZ210"/>
      <c r="JKA210"/>
      <c r="JKB210"/>
      <c r="JKC210"/>
      <c r="JKD210"/>
      <c r="JKE210"/>
      <c r="JKF210"/>
      <c r="JKG210"/>
      <c r="JKH210"/>
      <c r="JKI210"/>
      <c r="JKJ210"/>
      <c r="JKK210"/>
      <c r="JKL210"/>
      <c r="JKM210"/>
      <c r="JKN210"/>
      <c r="JKO210"/>
      <c r="JKP210"/>
      <c r="JKQ210"/>
      <c r="JKR210"/>
      <c r="JKS210"/>
      <c r="JKT210"/>
      <c r="JKU210"/>
      <c r="JKV210"/>
      <c r="JKW210"/>
      <c r="JKX210"/>
      <c r="JKY210"/>
      <c r="JKZ210"/>
      <c r="JLA210"/>
      <c r="JLB210"/>
      <c r="JLC210"/>
      <c r="JLD210"/>
      <c r="JLE210"/>
      <c r="JLF210"/>
      <c r="JLG210"/>
      <c r="JLH210"/>
      <c r="JLI210"/>
      <c r="JLJ210"/>
      <c r="JLK210"/>
      <c r="JLL210"/>
      <c r="JLM210"/>
      <c r="JLN210"/>
      <c r="JLO210"/>
      <c r="JLP210"/>
      <c r="JLQ210"/>
      <c r="JLR210"/>
      <c r="JLS210"/>
      <c r="JLT210"/>
      <c r="JLU210"/>
      <c r="JLV210"/>
      <c r="JLW210"/>
      <c r="JLX210"/>
      <c r="JLY210"/>
      <c r="JLZ210"/>
      <c r="JMA210"/>
      <c r="JMB210"/>
      <c r="JMC210"/>
      <c r="JMD210"/>
      <c r="JME210"/>
      <c r="JMF210"/>
      <c r="JMG210"/>
      <c r="JMH210"/>
      <c r="JMI210"/>
      <c r="JMJ210"/>
      <c r="JMK210"/>
      <c r="JML210"/>
      <c r="JMM210"/>
      <c r="JMN210"/>
      <c r="JMO210"/>
      <c r="JMP210"/>
      <c r="JMQ210"/>
      <c r="JMR210"/>
      <c r="JMS210"/>
      <c r="JMT210"/>
      <c r="JMU210"/>
      <c r="JMV210"/>
      <c r="JMW210"/>
      <c r="JMX210"/>
      <c r="JMY210"/>
      <c r="JMZ210"/>
      <c r="JNA210"/>
      <c r="JNB210"/>
      <c r="JNC210"/>
      <c r="JND210"/>
      <c r="JNE210"/>
      <c r="JNF210"/>
      <c r="JNG210"/>
      <c r="JNH210"/>
      <c r="JNI210"/>
      <c r="JNJ210"/>
      <c r="JNK210"/>
      <c r="JNL210"/>
      <c r="JNM210"/>
      <c r="JNN210"/>
      <c r="JNO210"/>
      <c r="JNP210"/>
      <c r="JNQ210"/>
      <c r="JNR210"/>
      <c r="JNS210"/>
      <c r="JNT210"/>
      <c r="JNU210"/>
      <c r="JNV210"/>
      <c r="JNW210"/>
      <c r="JNX210"/>
      <c r="JNY210"/>
      <c r="JNZ210"/>
      <c r="JOA210"/>
      <c r="JOB210"/>
      <c r="JOC210"/>
      <c r="JOD210"/>
      <c r="JOE210"/>
      <c r="JOF210"/>
      <c r="JOG210"/>
      <c r="JOH210"/>
      <c r="JOI210"/>
      <c r="JOJ210"/>
      <c r="JOK210"/>
      <c r="JOL210"/>
      <c r="JOM210"/>
      <c r="JON210"/>
      <c r="JOO210"/>
      <c r="JOP210"/>
      <c r="JOQ210"/>
      <c r="JOR210"/>
      <c r="JOS210"/>
      <c r="JOT210"/>
      <c r="JOU210"/>
      <c r="JOV210"/>
      <c r="JOW210"/>
      <c r="JOX210"/>
      <c r="JOY210"/>
      <c r="JOZ210"/>
      <c r="JPA210"/>
      <c r="JPB210"/>
      <c r="JPC210"/>
      <c r="JPD210"/>
      <c r="JPE210"/>
      <c r="JPF210"/>
      <c r="JPG210"/>
      <c r="JPH210"/>
      <c r="JPI210"/>
      <c r="JPJ210"/>
      <c r="JPK210"/>
      <c r="JPL210"/>
      <c r="JPM210"/>
      <c r="JPN210"/>
      <c r="JPO210"/>
      <c r="JPP210"/>
      <c r="JPQ210"/>
      <c r="JPR210"/>
      <c r="JPS210"/>
      <c r="JPT210"/>
      <c r="JPU210"/>
      <c r="JPV210"/>
      <c r="JPW210"/>
      <c r="JPX210"/>
      <c r="JPY210"/>
      <c r="JPZ210"/>
      <c r="JQA210"/>
      <c r="JQB210"/>
      <c r="JQC210"/>
      <c r="JQD210"/>
      <c r="JQE210"/>
      <c r="JQF210"/>
      <c r="JQG210"/>
      <c r="JQH210"/>
      <c r="JQI210"/>
      <c r="JQJ210"/>
      <c r="JQK210"/>
      <c r="JQL210"/>
      <c r="JQM210"/>
      <c r="JQN210"/>
      <c r="JQO210"/>
      <c r="JQP210"/>
      <c r="JQQ210"/>
      <c r="JQR210"/>
      <c r="JQS210"/>
      <c r="JQT210"/>
      <c r="JQU210"/>
      <c r="JQV210"/>
      <c r="JQW210"/>
      <c r="JQX210"/>
      <c r="JQY210"/>
      <c r="JQZ210"/>
      <c r="JRA210"/>
      <c r="JRB210"/>
      <c r="JRC210"/>
      <c r="JRD210"/>
      <c r="JRE210"/>
      <c r="JRF210"/>
      <c r="JRG210"/>
      <c r="JRH210"/>
      <c r="JRI210"/>
      <c r="JRJ210"/>
      <c r="JRK210"/>
      <c r="JRL210"/>
      <c r="JRM210"/>
      <c r="JRN210"/>
      <c r="JRO210"/>
      <c r="JRP210"/>
      <c r="JRQ210"/>
      <c r="JRR210"/>
      <c r="JRS210"/>
      <c r="JRT210"/>
      <c r="JRU210"/>
      <c r="JRV210"/>
      <c r="JRW210"/>
      <c r="JRX210"/>
      <c r="JRY210"/>
      <c r="JRZ210"/>
      <c r="JSA210"/>
      <c r="JSB210"/>
      <c r="JSC210"/>
      <c r="JSD210"/>
      <c r="JSE210"/>
      <c r="JSF210"/>
      <c r="JSG210"/>
      <c r="JSH210"/>
      <c r="JSI210"/>
      <c r="JSJ210"/>
      <c r="JSK210"/>
      <c r="JSL210"/>
      <c r="JSM210"/>
      <c r="JSN210"/>
      <c r="JSO210"/>
      <c r="JSP210"/>
      <c r="JSQ210"/>
      <c r="JSR210"/>
      <c r="JSS210"/>
      <c r="JST210"/>
      <c r="JSU210"/>
      <c r="JSV210"/>
      <c r="JSW210"/>
      <c r="JSX210"/>
      <c r="JSY210"/>
      <c r="JSZ210"/>
      <c r="JTA210"/>
      <c r="JTB210"/>
      <c r="JTC210"/>
      <c r="JTD210"/>
      <c r="JTE210"/>
      <c r="JTF210"/>
      <c r="JTG210"/>
      <c r="JTH210"/>
      <c r="JTI210"/>
      <c r="JTJ210"/>
      <c r="JTK210"/>
      <c r="JTL210"/>
      <c r="JTM210"/>
      <c r="JTN210"/>
      <c r="JTO210"/>
      <c r="JTP210"/>
      <c r="JTQ210"/>
      <c r="JTR210"/>
      <c r="JTS210"/>
      <c r="JTT210"/>
      <c r="JTU210"/>
      <c r="JTV210"/>
      <c r="JTW210"/>
      <c r="JTX210"/>
      <c r="JTY210"/>
      <c r="JTZ210"/>
      <c r="JUA210"/>
      <c r="JUB210"/>
      <c r="JUC210"/>
      <c r="JUD210"/>
      <c r="JUE210"/>
      <c r="JUF210"/>
      <c r="JUG210"/>
      <c r="JUH210"/>
      <c r="JUI210"/>
      <c r="JUJ210"/>
      <c r="JUK210"/>
      <c r="JUL210"/>
      <c r="JUM210"/>
      <c r="JUN210"/>
      <c r="JUO210"/>
      <c r="JUP210"/>
      <c r="JUQ210"/>
      <c r="JUR210"/>
      <c r="JUS210"/>
      <c r="JUT210"/>
      <c r="JUU210"/>
      <c r="JUV210"/>
      <c r="JUW210"/>
      <c r="JUX210"/>
      <c r="JUY210"/>
      <c r="JUZ210"/>
      <c r="JVA210"/>
      <c r="JVB210"/>
      <c r="JVC210"/>
      <c r="JVD210"/>
      <c r="JVE210"/>
      <c r="JVF210"/>
      <c r="JVG210"/>
      <c r="JVH210"/>
      <c r="JVI210"/>
      <c r="JVJ210"/>
      <c r="JVK210"/>
      <c r="JVL210"/>
      <c r="JVM210"/>
      <c r="JVN210"/>
      <c r="JVO210"/>
      <c r="JVP210"/>
      <c r="JVQ210"/>
      <c r="JVR210"/>
      <c r="JVS210"/>
      <c r="JVT210"/>
      <c r="JVU210"/>
      <c r="JVV210"/>
      <c r="JVW210"/>
      <c r="JVX210"/>
      <c r="JVY210"/>
      <c r="JVZ210"/>
      <c r="JWA210"/>
      <c r="JWB210"/>
      <c r="JWC210"/>
      <c r="JWD210"/>
      <c r="JWE210"/>
      <c r="JWF210"/>
      <c r="JWG210"/>
      <c r="JWH210"/>
      <c r="JWI210"/>
      <c r="JWJ210"/>
      <c r="JWK210"/>
      <c r="JWL210"/>
      <c r="JWM210"/>
      <c r="JWN210"/>
      <c r="JWO210"/>
      <c r="JWP210"/>
      <c r="JWQ210"/>
      <c r="JWR210"/>
      <c r="JWS210"/>
      <c r="JWT210"/>
      <c r="JWU210"/>
      <c r="JWV210"/>
      <c r="JWW210"/>
      <c r="JWX210"/>
      <c r="JWY210"/>
      <c r="JWZ210"/>
      <c r="JXA210"/>
      <c r="JXB210"/>
      <c r="JXC210"/>
      <c r="JXD210"/>
      <c r="JXE210"/>
      <c r="JXF210"/>
      <c r="JXG210"/>
      <c r="JXH210"/>
      <c r="JXI210"/>
      <c r="JXJ210"/>
      <c r="JXK210"/>
      <c r="JXL210"/>
      <c r="JXM210"/>
      <c r="JXN210"/>
      <c r="JXO210"/>
      <c r="JXP210"/>
      <c r="JXQ210"/>
      <c r="JXR210"/>
      <c r="JXS210"/>
      <c r="JXT210"/>
      <c r="JXU210"/>
      <c r="JXV210"/>
      <c r="JXW210"/>
      <c r="JXX210"/>
      <c r="JXY210"/>
      <c r="JXZ210"/>
      <c r="JYA210"/>
      <c r="JYB210"/>
      <c r="JYC210"/>
      <c r="JYD210"/>
      <c r="JYE210"/>
      <c r="JYF210"/>
      <c r="JYG210"/>
      <c r="JYH210"/>
      <c r="JYI210"/>
      <c r="JYJ210"/>
      <c r="JYK210"/>
      <c r="JYL210"/>
      <c r="JYM210"/>
      <c r="JYN210"/>
      <c r="JYO210"/>
      <c r="JYP210"/>
      <c r="JYQ210"/>
      <c r="JYR210"/>
      <c r="JYS210"/>
      <c r="JYT210"/>
      <c r="JYU210"/>
      <c r="JYV210"/>
      <c r="JYW210"/>
      <c r="JYX210"/>
      <c r="JYY210"/>
      <c r="JYZ210"/>
      <c r="JZA210"/>
      <c r="JZB210"/>
      <c r="JZC210"/>
      <c r="JZD210"/>
      <c r="JZE210"/>
      <c r="JZF210"/>
      <c r="JZG210"/>
      <c r="JZH210"/>
      <c r="JZI210"/>
      <c r="JZJ210"/>
      <c r="JZK210"/>
      <c r="JZL210"/>
      <c r="JZM210"/>
      <c r="JZN210"/>
      <c r="JZO210"/>
      <c r="JZP210"/>
      <c r="JZQ210"/>
      <c r="JZR210"/>
      <c r="JZS210"/>
      <c r="JZT210"/>
      <c r="JZU210"/>
      <c r="JZV210"/>
      <c r="JZW210"/>
      <c r="JZX210"/>
      <c r="JZY210"/>
      <c r="JZZ210"/>
      <c r="KAA210"/>
      <c r="KAB210"/>
      <c r="KAC210"/>
      <c r="KAD210"/>
      <c r="KAE210"/>
      <c r="KAF210"/>
      <c r="KAG210"/>
      <c r="KAH210"/>
      <c r="KAI210"/>
      <c r="KAJ210"/>
      <c r="KAK210"/>
      <c r="KAL210"/>
      <c r="KAM210"/>
      <c r="KAN210"/>
      <c r="KAO210"/>
      <c r="KAP210"/>
      <c r="KAQ210"/>
      <c r="KAR210"/>
      <c r="KAS210"/>
      <c r="KAT210"/>
      <c r="KAU210"/>
      <c r="KAV210"/>
      <c r="KAW210"/>
      <c r="KAX210"/>
      <c r="KAY210"/>
      <c r="KAZ210"/>
      <c r="KBA210"/>
      <c r="KBB210"/>
      <c r="KBC210"/>
      <c r="KBD210"/>
      <c r="KBE210"/>
      <c r="KBF210"/>
      <c r="KBG210"/>
      <c r="KBH210"/>
      <c r="KBI210"/>
      <c r="KBJ210"/>
      <c r="KBK210"/>
      <c r="KBL210"/>
      <c r="KBM210"/>
      <c r="KBN210"/>
      <c r="KBO210"/>
      <c r="KBP210"/>
      <c r="KBQ210"/>
      <c r="KBR210"/>
      <c r="KBS210"/>
      <c r="KBT210"/>
      <c r="KBU210"/>
      <c r="KBV210"/>
      <c r="KBW210"/>
      <c r="KBX210"/>
      <c r="KBY210"/>
      <c r="KBZ210"/>
      <c r="KCA210"/>
      <c r="KCB210"/>
      <c r="KCC210"/>
      <c r="KCD210"/>
      <c r="KCE210"/>
      <c r="KCF210"/>
      <c r="KCG210"/>
      <c r="KCH210"/>
      <c r="KCI210"/>
      <c r="KCJ210"/>
      <c r="KCK210"/>
      <c r="KCL210"/>
      <c r="KCM210"/>
      <c r="KCN210"/>
      <c r="KCO210"/>
      <c r="KCP210"/>
      <c r="KCQ210"/>
      <c r="KCR210"/>
      <c r="KCS210"/>
      <c r="KCT210"/>
      <c r="KCU210"/>
      <c r="KCV210"/>
      <c r="KCW210"/>
      <c r="KCX210"/>
      <c r="KCY210"/>
      <c r="KCZ210"/>
      <c r="KDA210"/>
      <c r="KDB210"/>
      <c r="KDC210"/>
      <c r="KDD210"/>
      <c r="KDE210"/>
      <c r="KDF210"/>
      <c r="KDG210"/>
      <c r="KDH210"/>
      <c r="KDI210"/>
      <c r="KDJ210"/>
      <c r="KDK210"/>
      <c r="KDL210"/>
      <c r="KDM210"/>
      <c r="KDN210"/>
      <c r="KDO210"/>
      <c r="KDP210"/>
      <c r="KDQ210"/>
      <c r="KDR210"/>
      <c r="KDS210"/>
      <c r="KDT210"/>
      <c r="KDU210"/>
      <c r="KDV210"/>
      <c r="KDW210"/>
      <c r="KDX210"/>
      <c r="KDY210"/>
      <c r="KDZ210"/>
      <c r="KEA210"/>
      <c r="KEB210"/>
      <c r="KEC210"/>
      <c r="KED210"/>
      <c r="KEE210"/>
      <c r="KEF210"/>
      <c r="KEG210"/>
      <c r="KEH210"/>
      <c r="KEI210"/>
      <c r="KEJ210"/>
      <c r="KEK210"/>
      <c r="KEL210"/>
      <c r="KEM210"/>
      <c r="KEN210"/>
      <c r="KEO210"/>
      <c r="KEP210"/>
      <c r="KEQ210"/>
      <c r="KER210"/>
      <c r="KES210"/>
      <c r="KET210"/>
      <c r="KEU210"/>
      <c r="KEV210"/>
      <c r="KEW210"/>
      <c r="KEX210"/>
      <c r="KEY210"/>
      <c r="KEZ210"/>
      <c r="KFA210"/>
      <c r="KFB210"/>
      <c r="KFC210"/>
      <c r="KFD210"/>
      <c r="KFE210"/>
      <c r="KFF210"/>
      <c r="KFG210"/>
      <c r="KFH210"/>
      <c r="KFI210"/>
      <c r="KFJ210"/>
      <c r="KFK210"/>
      <c r="KFL210"/>
      <c r="KFM210"/>
      <c r="KFN210"/>
      <c r="KFO210"/>
      <c r="KFP210"/>
      <c r="KFQ210"/>
      <c r="KFR210"/>
      <c r="KFS210"/>
      <c r="KFT210"/>
      <c r="KFU210"/>
      <c r="KFV210"/>
      <c r="KFW210"/>
      <c r="KFX210"/>
      <c r="KFY210"/>
      <c r="KFZ210"/>
      <c r="KGA210"/>
      <c r="KGB210"/>
      <c r="KGC210"/>
      <c r="KGD210"/>
      <c r="KGE210"/>
      <c r="KGF210"/>
      <c r="KGG210"/>
      <c r="KGH210"/>
      <c r="KGI210"/>
      <c r="KGJ210"/>
      <c r="KGK210"/>
      <c r="KGL210"/>
      <c r="KGM210"/>
      <c r="KGN210"/>
      <c r="KGO210"/>
      <c r="KGP210"/>
      <c r="KGQ210"/>
      <c r="KGR210"/>
      <c r="KGS210"/>
      <c r="KGT210"/>
      <c r="KGU210"/>
      <c r="KGV210"/>
      <c r="KGW210"/>
      <c r="KGX210"/>
      <c r="KGY210"/>
      <c r="KGZ210"/>
      <c r="KHA210"/>
      <c r="KHB210"/>
      <c r="KHC210"/>
      <c r="KHD210"/>
      <c r="KHE210"/>
      <c r="KHF210"/>
      <c r="KHG210"/>
      <c r="KHH210"/>
      <c r="KHI210"/>
      <c r="KHJ210"/>
      <c r="KHK210"/>
      <c r="KHL210"/>
      <c r="KHM210"/>
      <c r="KHN210"/>
      <c r="KHO210"/>
      <c r="KHP210"/>
      <c r="KHQ210"/>
      <c r="KHR210"/>
      <c r="KHS210"/>
      <c r="KHT210"/>
      <c r="KHU210"/>
      <c r="KHV210"/>
      <c r="KHW210"/>
      <c r="KHX210"/>
      <c r="KHY210"/>
      <c r="KHZ210"/>
      <c r="KIA210"/>
      <c r="KIB210"/>
      <c r="KIC210"/>
      <c r="KID210"/>
      <c r="KIE210"/>
      <c r="KIF210"/>
      <c r="KIG210"/>
      <c r="KIH210"/>
      <c r="KII210"/>
      <c r="KIJ210"/>
      <c r="KIK210"/>
      <c r="KIL210"/>
      <c r="KIM210"/>
      <c r="KIN210"/>
      <c r="KIO210"/>
      <c r="KIP210"/>
      <c r="KIQ210"/>
      <c r="KIR210"/>
      <c r="KIS210"/>
      <c r="KIT210"/>
      <c r="KIU210"/>
      <c r="KIV210"/>
      <c r="KIW210"/>
      <c r="KIX210"/>
      <c r="KIY210"/>
      <c r="KIZ210"/>
      <c r="KJA210"/>
      <c r="KJB210"/>
      <c r="KJC210"/>
      <c r="KJD210"/>
      <c r="KJE210"/>
      <c r="KJF210"/>
      <c r="KJG210"/>
      <c r="KJH210"/>
      <c r="KJI210"/>
      <c r="KJJ210"/>
      <c r="KJK210"/>
      <c r="KJL210"/>
      <c r="KJM210"/>
      <c r="KJN210"/>
      <c r="KJO210"/>
      <c r="KJP210"/>
      <c r="KJQ210"/>
      <c r="KJR210"/>
      <c r="KJS210"/>
      <c r="KJT210"/>
      <c r="KJU210"/>
      <c r="KJV210"/>
      <c r="KJW210"/>
      <c r="KJX210"/>
      <c r="KJY210"/>
      <c r="KJZ210"/>
      <c r="KKA210"/>
      <c r="KKB210"/>
      <c r="KKC210"/>
      <c r="KKD210"/>
      <c r="KKE210"/>
      <c r="KKF210"/>
      <c r="KKG210"/>
      <c r="KKH210"/>
      <c r="KKI210"/>
      <c r="KKJ210"/>
      <c r="KKK210"/>
      <c r="KKL210"/>
      <c r="KKM210"/>
      <c r="KKN210"/>
      <c r="KKO210"/>
      <c r="KKP210"/>
      <c r="KKQ210"/>
      <c r="KKR210"/>
      <c r="KKS210"/>
      <c r="KKT210"/>
      <c r="KKU210"/>
      <c r="KKV210"/>
      <c r="KKW210"/>
      <c r="KKX210"/>
      <c r="KKY210"/>
      <c r="KKZ210"/>
      <c r="KLA210"/>
      <c r="KLB210"/>
      <c r="KLC210"/>
      <c r="KLD210"/>
      <c r="KLE210"/>
      <c r="KLF210"/>
      <c r="KLG210"/>
      <c r="KLH210"/>
      <c r="KLI210"/>
      <c r="KLJ210"/>
      <c r="KLK210"/>
      <c r="KLL210"/>
      <c r="KLM210"/>
      <c r="KLN210"/>
      <c r="KLO210"/>
      <c r="KLP210"/>
      <c r="KLQ210"/>
      <c r="KLR210"/>
      <c r="KLS210"/>
      <c r="KLT210"/>
      <c r="KLU210"/>
      <c r="KLV210"/>
      <c r="KLW210"/>
      <c r="KLX210"/>
      <c r="KLY210"/>
      <c r="KLZ210"/>
      <c r="KMA210"/>
      <c r="KMB210"/>
      <c r="KMC210"/>
      <c r="KMD210"/>
      <c r="KME210"/>
      <c r="KMF210"/>
      <c r="KMG210"/>
      <c r="KMH210"/>
      <c r="KMI210"/>
      <c r="KMJ210"/>
      <c r="KMK210"/>
      <c r="KML210"/>
      <c r="KMM210"/>
      <c r="KMN210"/>
      <c r="KMO210"/>
      <c r="KMP210"/>
      <c r="KMQ210"/>
      <c r="KMR210"/>
      <c r="KMS210"/>
      <c r="KMT210"/>
      <c r="KMU210"/>
      <c r="KMV210"/>
      <c r="KMW210"/>
      <c r="KMX210"/>
      <c r="KMY210"/>
      <c r="KMZ210"/>
      <c r="KNA210"/>
      <c r="KNB210"/>
      <c r="KNC210"/>
      <c r="KND210"/>
      <c r="KNE210"/>
      <c r="KNF210"/>
      <c r="KNG210"/>
      <c r="KNH210"/>
      <c r="KNI210"/>
      <c r="KNJ210"/>
      <c r="KNK210"/>
      <c r="KNL210"/>
      <c r="KNM210"/>
      <c r="KNN210"/>
      <c r="KNO210"/>
      <c r="KNP210"/>
      <c r="KNQ210"/>
      <c r="KNR210"/>
      <c r="KNS210"/>
      <c r="KNT210"/>
      <c r="KNU210"/>
      <c r="KNV210"/>
      <c r="KNW210"/>
      <c r="KNX210"/>
      <c r="KNY210"/>
      <c r="KNZ210"/>
      <c r="KOA210"/>
      <c r="KOB210"/>
      <c r="KOC210"/>
      <c r="KOD210"/>
      <c r="KOE210"/>
      <c r="KOF210"/>
      <c r="KOG210"/>
      <c r="KOH210"/>
      <c r="KOI210"/>
      <c r="KOJ210"/>
      <c r="KOK210"/>
      <c r="KOL210"/>
      <c r="KOM210"/>
      <c r="KON210"/>
      <c r="KOO210"/>
      <c r="KOP210"/>
      <c r="KOQ210"/>
      <c r="KOR210"/>
      <c r="KOS210"/>
      <c r="KOT210"/>
      <c r="KOU210"/>
      <c r="KOV210"/>
      <c r="KOW210"/>
      <c r="KOX210"/>
      <c r="KOY210"/>
      <c r="KOZ210"/>
      <c r="KPA210"/>
      <c r="KPB210"/>
      <c r="KPC210"/>
      <c r="KPD210"/>
      <c r="KPE210"/>
      <c r="KPF210"/>
      <c r="KPG210"/>
      <c r="KPH210"/>
      <c r="KPI210"/>
      <c r="KPJ210"/>
      <c r="KPK210"/>
      <c r="KPL210"/>
      <c r="KPM210"/>
      <c r="KPN210"/>
      <c r="KPO210"/>
      <c r="KPP210"/>
      <c r="KPQ210"/>
      <c r="KPR210"/>
      <c r="KPS210"/>
      <c r="KPT210"/>
      <c r="KPU210"/>
      <c r="KPV210"/>
      <c r="KPW210"/>
      <c r="KPX210"/>
      <c r="KPY210"/>
      <c r="KPZ210"/>
      <c r="KQA210"/>
      <c r="KQB210"/>
      <c r="KQC210"/>
      <c r="KQD210"/>
      <c r="KQE210"/>
      <c r="KQF210"/>
      <c r="KQG210"/>
      <c r="KQH210"/>
      <c r="KQI210"/>
      <c r="KQJ210"/>
      <c r="KQK210"/>
      <c r="KQL210"/>
      <c r="KQM210"/>
      <c r="KQN210"/>
      <c r="KQO210"/>
      <c r="KQP210"/>
      <c r="KQQ210"/>
      <c r="KQR210"/>
      <c r="KQS210"/>
      <c r="KQT210"/>
      <c r="KQU210"/>
      <c r="KQV210"/>
      <c r="KQW210"/>
      <c r="KQX210"/>
      <c r="KQY210"/>
      <c r="KQZ210"/>
      <c r="KRA210"/>
      <c r="KRB210"/>
      <c r="KRC210"/>
      <c r="KRD210"/>
      <c r="KRE210"/>
      <c r="KRF210"/>
      <c r="KRG210"/>
      <c r="KRH210"/>
      <c r="KRI210"/>
      <c r="KRJ210"/>
      <c r="KRK210"/>
      <c r="KRL210"/>
      <c r="KRM210"/>
      <c r="KRN210"/>
      <c r="KRO210"/>
      <c r="KRP210"/>
      <c r="KRQ210"/>
      <c r="KRR210"/>
      <c r="KRS210"/>
      <c r="KRT210"/>
      <c r="KRU210"/>
      <c r="KRV210"/>
      <c r="KRW210"/>
      <c r="KRX210"/>
      <c r="KRY210"/>
      <c r="KRZ210"/>
      <c r="KSA210"/>
      <c r="KSB210"/>
      <c r="KSC210"/>
      <c r="KSD210"/>
      <c r="KSE210"/>
      <c r="KSF210"/>
      <c r="KSG210"/>
      <c r="KSH210"/>
      <c r="KSI210"/>
      <c r="KSJ210"/>
      <c r="KSK210"/>
      <c r="KSL210"/>
      <c r="KSM210"/>
      <c r="KSN210"/>
      <c r="KSO210"/>
      <c r="KSP210"/>
      <c r="KSQ210"/>
      <c r="KSR210"/>
      <c r="KSS210"/>
      <c r="KST210"/>
      <c r="KSU210"/>
      <c r="KSV210"/>
      <c r="KSW210"/>
      <c r="KSX210"/>
      <c r="KSY210"/>
      <c r="KSZ210"/>
      <c r="KTA210"/>
      <c r="KTB210"/>
      <c r="KTC210"/>
      <c r="KTD210"/>
      <c r="KTE210"/>
      <c r="KTF210"/>
      <c r="KTG210"/>
      <c r="KTH210"/>
      <c r="KTI210"/>
      <c r="KTJ210"/>
      <c r="KTK210"/>
      <c r="KTL210"/>
      <c r="KTM210"/>
      <c r="KTN210"/>
      <c r="KTO210"/>
      <c r="KTP210"/>
      <c r="KTQ210"/>
      <c r="KTR210"/>
      <c r="KTS210"/>
      <c r="KTT210"/>
      <c r="KTU210"/>
      <c r="KTV210"/>
      <c r="KTW210"/>
      <c r="KTX210"/>
      <c r="KTY210"/>
      <c r="KTZ210"/>
      <c r="KUA210"/>
      <c r="KUB210"/>
      <c r="KUC210"/>
      <c r="KUD210"/>
      <c r="KUE210"/>
      <c r="KUF210"/>
      <c r="KUG210"/>
      <c r="KUH210"/>
      <c r="KUI210"/>
      <c r="KUJ210"/>
      <c r="KUK210"/>
      <c r="KUL210"/>
      <c r="KUM210"/>
      <c r="KUN210"/>
      <c r="KUO210"/>
      <c r="KUP210"/>
      <c r="KUQ210"/>
      <c r="KUR210"/>
      <c r="KUS210"/>
      <c r="KUT210"/>
      <c r="KUU210"/>
      <c r="KUV210"/>
      <c r="KUW210"/>
      <c r="KUX210"/>
      <c r="KUY210"/>
      <c r="KUZ210"/>
      <c r="KVA210"/>
      <c r="KVB210"/>
      <c r="KVC210"/>
      <c r="KVD210"/>
      <c r="KVE210"/>
      <c r="KVF210"/>
      <c r="KVG210"/>
      <c r="KVH210"/>
      <c r="KVI210"/>
      <c r="KVJ210"/>
      <c r="KVK210"/>
      <c r="KVL210"/>
      <c r="KVM210"/>
      <c r="KVN210"/>
      <c r="KVO210"/>
      <c r="KVP210"/>
      <c r="KVQ210"/>
      <c r="KVR210"/>
      <c r="KVS210"/>
      <c r="KVT210"/>
      <c r="KVU210"/>
      <c r="KVV210"/>
      <c r="KVW210"/>
      <c r="KVX210"/>
      <c r="KVY210"/>
      <c r="KVZ210"/>
      <c r="KWA210"/>
      <c r="KWB210"/>
      <c r="KWC210"/>
      <c r="KWD210"/>
      <c r="KWE210"/>
      <c r="KWF210"/>
      <c r="KWG210"/>
      <c r="KWH210"/>
      <c r="KWI210"/>
      <c r="KWJ210"/>
      <c r="KWK210"/>
      <c r="KWL210"/>
      <c r="KWM210"/>
      <c r="KWN210"/>
      <c r="KWO210"/>
      <c r="KWP210"/>
      <c r="KWQ210"/>
      <c r="KWR210"/>
      <c r="KWS210"/>
      <c r="KWT210"/>
      <c r="KWU210"/>
      <c r="KWV210"/>
      <c r="KWW210"/>
      <c r="KWX210"/>
      <c r="KWY210"/>
      <c r="KWZ210"/>
      <c r="KXA210"/>
      <c r="KXB210"/>
      <c r="KXC210"/>
      <c r="KXD210"/>
      <c r="KXE210"/>
      <c r="KXF210"/>
      <c r="KXG210"/>
      <c r="KXH210"/>
      <c r="KXI210"/>
      <c r="KXJ210"/>
      <c r="KXK210"/>
      <c r="KXL210"/>
      <c r="KXM210"/>
      <c r="KXN210"/>
      <c r="KXO210"/>
      <c r="KXP210"/>
      <c r="KXQ210"/>
      <c r="KXR210"/>
      <c r="KXS210"/>
      <c r="KXT210"/>
      <c r="KXU210"/>
      <c r="KXV210"/>
      <c r="KXW210"/>
      <c r="KXX210"/>
      <c r="KXY210"/>
      <c r="KXZ210"/>
      <c r="KYA210"/>
      <c r="KYB210"/>
      <c r="KYC210"/>
      <c r="KYD210"/>
      <c r="KYE210"/>
      <c r="KYF210"/>
      <c r="KYG210"/>
      <c r="KYH210"/>
      <c r="KYI210"/>
      <c r="KYJ210"/>
      <c r="KYK210"/>
      <c r="KYL210"/>
      <c r="KYM210"/>
      <c r="KYN210"/>
      <c r="KYO210"/>
      <c r="KYP210"/>
      <c r="KYQ210"/>
      <c r="KYR210"/>
      <c r="KYS210"/>
      <c r="KYT210"/>
      <c r="KYU210"/>
      <c r="KYV210"/>
      <c r="KYW210"/>
      <c r="KYX210"/>
      <c r="KYY210"/>
      <c r="KYZ210"/>
      <c r="KZA210"/>
      <c r="KZB210"/>
      <c r="KZC210"/>
      <c r="KZD210"/>
      <c r="KZE210"/>
      <c r="KZF210"/>
      <c r="KZG210"/>
      <c r="KZH210"/>
      <c r="KZI210"/>
      <c r="KZJ210"/>
      <c r="KZK210"/>
      <c r="KZL210"/>
      <c r="KZM210"/>
      <c r="KZN210"/>
      <c r="KZO210"/>
      <c r="KZP210"/>
      <c r="KZQ210"/>
      <c r="KZR210"/>
      <c r="KZS210"/>
      <c r="KZT210"/>
      <c r="KZU210"/>
      <c r="KZV210"/>
      <c r="KZW210"/>
      <c r="KZX210"/>
      <c r="KZY210"/>
      <c r="KZZ210"/>
      <c r="LAA210"/>
      <c r="LAB210"/>
      <c r="LAC210"/>
      <c r="LAD210"/>
      <c r="LAE210"/>
      <c r="LAF210"/>
      <c r="LAG210"/>
      <c r="LAH210"/>
      <c r="LAI210"/>
      <c r="LAJ210"/>
      <c r="LAK210"/>
      <c r="LAL210"/>
      <c r="LAM210"/>
      <c r="LAN210"/>
      <c r="LAO210"/>
      <c r="LAP210"/>
      <c r="LAQ210"/>
      <c r="LAR210"/>
      <c r="LAS210"/>
      <c r="LAT210"/>
      <c r="LAU210"/>
      <c r="LAV210"/>
      <c r="LAW210"/>
      <c r="LAX210"/>
      <c r="LAY210"/>
      <c r="LAZ210"/>
      <c r="LBA210"/>
      <c r="LBB210"/>
      <c r="LBC210"/>
      <c r="LBD210"/>
      <c r="LBE210"/>
      <c r="LBF210"/>
      <c r="LBG210"/>
      <c r="LBH210"/>
      <c r="LBI210"/>
      <c r="LBJ210"/>
      <c r="LBK210"/>
      <c r="LBL210"/>
      <c r="LBM210"/>
      <c r="LBN210"/>
      <c r="LBO210"/>
      <c r="LBP210"/>
      <c r="LBQ210"/>
      <c r="LBR210"/>
      <c r="LBS210"/>
      <c r="LBT210"/>
      <c r="LBU210"/>
      <c r="LBV210"/>
      <c r="LBW210"/>
      <c r="LBX210"/>
      <c r="LBY210"/>
      <c r="LBZ210"/>
      <c r="LCA210"/>
      <c r="LCB210"/>
      <c r="LCC210"/>
      <c r="LCD210"/>
      <c r="LCE210"/>
      <c r="LCF210"/>
      <c r="LCG210"/>
      <c r="LCH210"/>
      <c r="LCI210"/>
      <c r="LCJ210"/>
      <c r="LCK210"/>
      <c r="LCL210"/>
      <c r="LCM210"/>
      <c r="LCN210"/>
      <c r="LCO210"/>
      <c r="LCP210"/>
      <c r="LCQ210"/>
      <c r="LCR210"/>
      <c r="LCS210"/>
      <c r="LCT210"/>
      <c r="LCU210"/>
      <c r="LCV210"/>
      <c r="LCW210"/>
      <c r="LCX210"/>
      <c r="LCY210"/>
      <c r="LCZ210"/>
      <c r="LDA210"/>
      <c r="LDB210"/>
      <c r="LDC210"/>
      <c r="LDD210"/>
      <c r="LDE210"/>
      <c r="LDF210"/>
      <c r="LDG210"/>
      <c r="LDH210"/>
      <c r="LDI210"/>
      <c r="LDJ210"/>
      <c r="LDK210"/>
      <c r="LDL210"/>
      <c r="LDM210"/>
      <c r="LDN210"/>
      <c r="LDO210"/>
      <c r="LDP210"/>
      <c r="LDQ210"/>
      <c r="LDR210"/>
      <c r="LDS210"/>
      <c r="LDT210"/>
      <c r="LDU210"/>
      <c r="LDV210"/>
      <c r="LDW210"/>
      <c r="LDX210"/>
      <c r="LDY210"/>
      <c r="LDZ210"/>
      <c r="LEA210"/>
      <c r="LEB210"/>
      <c r="LEC210"/>
      <c r="LED210"/>
      <c r="LEE210"/>
      <c r="LEF210"/>
      <c r="LEG210"/>
      <c r="LEH210"/>
      <c r="LEI210"/>
      <c r="LEJ210"/>
      <c r="LEK210"/>
      <c r="LEL210"/>
      <c r="LEM210"/>
      <c r="LEN210"/>
      <c r="LEO210"/>
      <c r="LEP210"/>
      <c r="LEQ210"/>
      <c r="LER210"/>
      <c r="LES210"/>
      <c r="LET210"/>
      <c r="LEU210"/>
      <c r="LEV210"/>
      <c r="LEW210"/>
      <c r="LEX210"/>
      <c r="LEY210"/>
      <c r="LEZ210"/>
      <c r="LFA210"/>
      <c r="LFB210"/>
      <c r="LFC210"/>
      <c r="LFD210"/>
      <c r="LFE210"/>
      <c r="LFF210"/>
      <c r="LFG210"/>
      <c r="LFH210"/>
      <c r="LFI210"/>
      <c r="LFJ210"/>
      <c r="LFK210"/>
      <c r="LFL210"/>
      <c r="LFM210"/>
      <c r="LFN210"/>
      <c r="LFO210"/>
      <c r="LFP210"/>
      <c r="LFQ210"/>
      <c r="LFR210"/>
      <c r="LFS210"/>
      <c r="LFT210"/>
      <c r="LFU210"/>
      <c r="LFV210"/>
      <c r="LFW210"/>
      <c r="LFX210"/>
      <c r="LFY210"/>
      <c r="LFZ210"/>
      <c r="LGA210"/>
      <c r="LGB210"/>
      <c r="LGC210"/>
      <c r="LGD210"/>
      <c r="LGE210"/>
      <c r="LGF210"/>
      <c r="LGG210"/>
      <c r="LGH210"/>
      <c r="LGI210"/>
      <c r="LGJ210"/>
      <c r="LGK210"/>
      <c r="LGL210"/>
      <c r="LGM210"/>
      <c r="LGN210"/>
      <c r="LGO210"/>
      <c r="LGP210"/>
      <c r="LGQ210"/>
      <c r="LGR210"/>
      <c r="LGS210"/>
      <c r="LGT210"/>
      <c r="LGU210"/>
      <c r="LGV210"/>
      <c r="LGW210"/>
      <c r="LGX210"/>
      <c r="LGY210"/>
      <c r="LGZ210"/>
      <c r="LHA210"/>
      <c r="LHB210"/>
      <c r="LHC210"/>
      <c r="LHD210"/>
      <c r="LHE210"/>
      <c r="LHF210"/>
      <c r="LHG210"/>
      <c r="LHH210"/>
      <c r="LHI210"/>
      <c r="LHJ210"/>
      <c r="LHK210"/>
      <c r="LHL210"/>
      <c r="LHM210"/>
      <c r="LHN210"/>
      <c r="LHO210"/>
      <c r="LHP210"/>
      <c r="LHQ210"/>
      <c r="LHR210"/>
      <c r="LHS210"/>
      <c r="LHT210"/>
      <c r="LHU210"/>
      <c r="LHV210"/>
      <c r="LHW210"/>
      <c r="LHX210"/>
      <c r="LHY210"/>
      <c r="LHZ210"/>
      <c r="LIA210"/>
      <c r="LIB210"/>
      <c r="LIC210"/>
      <c r="LID210"/>
      <c r="LIE210"/>
      <c r="LIF210"/>
      <c r="LIG210"/>
      <c r="LIH210"/>
      <c r="LII210"/>
      <c r="LIJ210"/>
      <c r="LIK210"/>
      <c r="LIL210"/>
      <c r="LIM210"/>
      <c r="LIN210"/>
      <c r="LIO210"/>
      <c r="LIP210"/>
      <c r="LIQ210"/>
      <c r="LIR210"/>
      <c r="LIS210"/>
      <c r="LIT210"/>
      <c r="LIU210"/>
      <c r="LIV210"/>
      <c r="LIW210"/>
      <c r="LIX210"/>
      <c r="LIY210"/>
      <c r="LIZ210"/>
      <c r="LJA210"/>
      <c r="LJB210"/>
      <c r="LJC210"/>
      <c r="LJD210"/>
      <c r="LJE210"/>
      <c r="LJF210"/>
      <c r="LJG210"/>
      <c r="LJH210"/>
      <c r="LJI210"/>
      <c r="LJJ210"/>
      <c r="LJK210"/>
      <c r="LJL210"/>
      <c r="LJM210"/>
      <c r="LJN210"/>
      <c r="LJO210"/>
      <c r="LJP210"/>
      <c r="LJQ210"/>
      <c r="LJR210"/>
      <c r="LJS210"/>
      <c r="LJT210"/>
      <c r="LJU210"/>
      <c r="LJV210"/>
      <c r="LJW210"/>
      <c r="LJX210"/>
      <c r="LJY210"/>
      <c r="LJZ210"/>
      <c r="LKA210"/>
      <c r="LKB210"/>
      <c r="LKC210"/>
      <c r="LKD210"/>
      <c r="LKE210"/>
      <c r="LKF210"/>
      <c r="LKG210"/>
      <c r="LKH210"/>
      <c r="LKI210"/>
      <c r="LKJ210"/>
      <c r="LKK210"/>
      <c r="LKL210"/>
      <c r="LKM210"/>
      <c r="LKN210"/>
      <c r="LKO210"/>
      <c r="LKP210"/>
      <c r="LKQ210"/>
      <c r="LKR210"/>
      <c r="LKS210"/>
      <c r="LKT210"/>
      <c r="LKU210"/>
      <c r="LKV210"/>
      <c r="LKW210"/>
      <c r="LKX210"/>
      <c r="LKY210"/>
      <c r="LKZ210"/>
      <c r="LLA210"/>
      <c r="LLB210"/>
      <c r="LLC210"/>
      <c r="LLD210"/>
      <c r="LLE210"/>
      <c r="LLF210"/>
      <c r="LLG210"/>
      <c r="LLH210"/>
      <c r="LLI210"/>
      <c r="LLJ210"/>
      <c r="LLK210"/>
      <c r="LLL210"/>
      <c r="LLM210"/>
      <c r="LLN210"/>
      <c r="LLO210"/>
      <c r="LLP210"/>
      <c r="LLQ210"/>
      <c r="LLR210"/>
      <c r="LLS210"/>
      <c r="LLT210"/>
      <c r="LLU210"/>
      <c r="LLV210"/>
      <c r="LLW210"/>
      <c r="LLX210"/>
      <c r="LLY210"/>
      <c r="LLZ210"/>
      <c r="LMA210"/>
      <c r="LMB210"/>
      <c r="LMC210"/>
      <c r="LMD210"/>
      <c r="LME210"/>
      <c r="LMF210"/>
      <c r="LMG210"/>
      <c r="LMH210"/>
      <c r="LMI210"/>
      <c r="LMJ210"/>
      <c r="LMK210"/>
      <c r="LML210"/>
      <c r="LMM210"/>
      <c r="LMN210"/>
      <c r="LMO210"/>
      <c r="LMP210"/>
      <c r="LMQ210"/>
      <c r="LMR210"/>
      <c r="LMS210"/>
      <c r="LMT210"/>
      <c r="LMU210"/>
      <c r="LMV210"/>
      <c r="LMW210"/>
      <c r="LMX210"/>
      <c r="LMY210"/>
      <c r="LMZ210"/>
      <c r="LNA210"/>
      <c r="LNB210"/>
      <c r="LNC210"/>
      <c r="LND210"/>
      <c r="LNE210"/>
      <c r="LNF210"/>
      <c r="LNG210"/>
      <c r="LNH210"/>
      <c r="LNI210"/>
      <c r="LNJ210"/>
      <c r="LNK210"/>
      <c r="LNL210"/>
      <c r="LNM210"/>
      <c r="LNN210"/>
      <c r="LNO210"/>
      <c r="LNP210"/>
      <c r="LNQ210"/>
      <c r="LNR210"/>
      <c r="LNS210"/>
      <c r="LNT210"/>
      <c r="LNU210"/>
      <c r="LNV210"/>
      <c r="LNW210"/>
      <c r="LNX210"/>
      <c r="LNY210"/>
      <c r="LNZ210"/>
      <c r="LOA210"/>
      <c r="LOB210"/>
      <c r="LOC210"/>
      <c r="LOD210"/>
      <c r="LOE210"/>
      <c r="LOF210"/>
      <c r="LOG210"/>
      <c r="LOH210"/>
      <c r="LOI210"/>
      <c r="LOJ210"/>
      <c r="LOK210"/>
      <c r="LOL210"/>
      <c r="LOM210"/>
      <c r="LON210"/>
      <c r="LOO210"/>
      <c r="LOP210"/>
      <c r="LOQ210"/>
      <c r="LOR210"/>
      <c r="LOS210"/>
      <c r="LOT210"/>
      <c r="LOU210"/>
      <c r="LOV210"/>
      <c r="LOW210"/>
      <c r="LOX210"/>
      <c r="LOY210"/>
      <c r="LOZ210"/>
      <c r="LPA210"/>
      <c r="LPB210"/>
      <c r="LPC210"/>
      <c r="LPD210"/>
      <c r="LPE210"/>
      <c r="LPF210"/>
      <c r="LPG210"/>
      <c r="LPH210"/>
      <c r="LPI210"/>
      <c r="LPJ210"/>
      <c r="LPK210"/>
      <c r="LPL210"/>
      <c r="LPM210"/>
      <c r="LPN210"/>
      <c r="LPO210"/>
      <c r="LPP210"/>
      <c r="LPQ210"/>
      <c r="LPR210"/>
      <c r="LPS210"/>
      <c r="LPT210"/>
      <c r="LPU210"/>
      <c r="LPV210"/>
      <c r="LPW210"/>
      <c r="LPX210"/>
      <c r="LPY210"/>
      <c r="LPZ210"/>
      <c r="LQA210"/>
      <c r="LQB210"/>
      <c r="LQC210"/>
      <c r="LQD210"/>
      <c r="LQE210"/>
      <c r="LQF210"/>
      <c r="LQG210"/>
      <c r="LQH210"/>
      <c r="LQI210"/>
      <c r="LQJ210"/>
      <c r="LQK210"/>
      <c r="LQL210"/>
      <c r="LQM210"/>
      <c r="LQN210"/>
      <c r="LQO210"/>
      <c r="LQP210"/>
      <c r="LQQ210"/>
      <c r="LQR210"/>
      <c r="LQS210"/>
      <c r="LQT210"/>
      <c r="LQU210"/>
      <c r="LQV210"/>
      <c r="LQW210"/>
      <c r="LQX210"/>
      <c r="LQY210"/>
      <c r="LQZ210"/>
      <c r="LRA210"/>
      <c r="LRB210"/>
      <c r="LRC210"/>
      <c r="LRD210"/>
      <c r="LRE210"/>
      <c r="LRF210"/>
      <c r="LRG210"/>
      <c r="LRH210"/>
      <c r="LRI210"/>
      <c r="LRJ210"/>
      <c r="LRK210"/>
      <c r="LRL210"/>
      <c r="LRM210"/>
      <c r="LRN210"/>
      <c r="LRO210"/>
      <c r="LRP210"/>
      <c r="LRQ210"/>
      <c r="LRR210"/>
      <c r="LRS210"/>
      <c r="LRT210"/>
      <c r="LRU210"/>
      <c r="LRV210"/>
      <c r="LRW210"/>
      <c r="LRX210"/>
      <c r="LRY210"/>
      <c r="LRZ210"/>
      <c r="LSA210"/>
      <c r="LSB210"/>
      <c r="LSC210"/>
      <c r="LSD210"/>
      <c r="LSE210"/>
      <c r="LSF210"/>
      <c r="LSG210"/>
      <c r="LSH210"/>
      <c r="LSI210"/>
      <c r="LSJ210"/>
      <c r="LSK210"/>
      <c r="LSL210"/>
      <c r="LSM210"/>
      <c r="LSN210"/>
      <c r="LSO210"/>
      <c r="LSP210"/>
      <c r="LSQ210"/>
      <c r="LSR210"/>
      <c r="LSS210"/>
      <c r="LST210"/>
      <c r="LSU210"/>
      <c r="LSV210"/>
      <c r="LSW210"/>
      <c r="LSX210"/>
      <c r="LSY210"/>
      <c r="LSZ210"/>
      <c r="LTA210"/>
      <c r="LTB210"/>
      <c r="LTC210"/>
      <c r="LTD210"/>
      <c r="LTE210"/>
      <c r="LTF210"/>
      <c r="LTG210"/>
      <c r="LTH210"/>
      <c r="LTI210"/>
      <c r="LTJ210"/>
      <c r="LTK210"/>
      <c r="LTL210"/>
      <c r="LTM210"/>
      <c r="LTN210"/>
      <c r="LTO210"/>
      <c r="LTP210"/>
      <c r="LTQ210"/>
      <c r="LTR210"/>
      <c r="LTS210"/>
      <c r="LTT210"/>
      <c r="LTU210"/>
      <c r="LTV210"/>
      <c r="LTW210"/>
      <c r="LTX210"/>
      <c r="LTY210"/>
      <c r="LTZ210"/>
      <c r="LUA210"/>
      <c r="LUB210"/>
      <c r="LUC210"/>
      <c r="LUD210"/>
      <c r="LUE210"/>
      <c r="LUF210"/>
      <c r="LUG210"/>
      <c r="LUH210"/>
      <c r="LUI210"/>
      <c r="LUJ210"/>
      <c r="LUK210"/>
      <c r="LUL210"/>
      <c r="LUM210"/>
      <c r="LUN210"/>
      <c r="LUO210"/>
      <c r="LUP210"/>
      <c r="LUQ210"/>
      <c r="LUR210"/>
      <c r="LUS210"/>
      <c r="LUT210"/>
      <c r="LUU210"/>
      <c r="LUV210"/>
      <c r="LUW210"/>
      <c r="LUX210"/>
      <c r="LUY210"/>
      <c r="LUZ210"/>
      <c r="LVA210"/>
      <c r="LVB210"/>
      <c r="LVC210"/>
      <c r="LVD210"/>
      <c r="LVE210"/>
      <c r="LVF210"/>
      <c r="LVG210"/>
      <c r="LVH210"/>
      <c r="LVI210"/>
      <c r="LVJ210"/>
      <c r="LVK210"/>
      <c r="LVL210"/>
      <c r="LVM210"/>
      <c r="LVN210"/>
      <c r="LVO210"/>
      <c r="LVP210"/>
      <c r="LVQ210"/>
      <c r="LVR210"/>
      <c r="LVS210"/>
      <c r="LVT210"/>
      <c r="LVU210"/>
      <c r="LVV210"/>
      <c r="LVW210"/>
      <c r="LVX210"/>
      <c r="LVY210"/>
      <c r="LVZ210"/>
      <c r="LWA210"/>
      <c r="LWB210"/>
      <c r="LWC210"/>
      <c r="LWD210"/>
      <c r="LWE210"/>
      <c r="LWF210"/>
      <c r="LWG210"/>
      <c r="LWH210"/>
      <c r="LWI210"/>
      <c r="LWJ210"/>
      <c r="LWK210"/>
      <c r="LWL210"/>
      <c r="LWM210"/>
      <c r="LWN210"/>
      <c r="LWO210"/>
      <c r="LWP210"/>
      <c r="LWQ210"/>
      <c r="LWR210"/>
      <c r="LWS210"/>
      <c r="LWT210"/>
      <c r="LWU210"/>
      <c r="LWV210"/>
      <c r="LWW210"/>
      <c r="LWX210"/>
      <c r="LWY210"/>
      <c r="LWZ210"/>
      <c r="LXA210"/>
      <c r="LXB210"/>
      <c r="LXC210"/>
      <c r="LXD210"/>
      <c r="LXE210"/>
      <c r="LXF210"/>
      <c r="LXG210"/>
      <c r="LXH210"/>
      <c r="LXI210"/>
      <c r="LXJ210"/>
      <c r="LXK210"/>
      <c r="LXL210"/>
      <c r="LXM210"/>
      <c r="LXN210"/>
      <c r="LXO210"/>
      <c r="LXP210"/>
      <c r="LXQ210"/>
      <c r="LXR210"/>
      <c r="LXS210"/>
      <c r="LXT210"/>
      <c r="LXU210"/>
      <c r="LXV210"/>
      <c r="LXW210"/>
      <c r="LXX210"/>
      <c r="LXY210"/>
      <c r="LXZ210"/>
      <c r="LYA210"/>
      <c r="LYB210"/>
      <c r="LYC210"/>
      <c r="LYD210"/>
      <c r="LYE210"/>
      <c r="LYF210"/>
      <c r="LYG210"/>
      <c r="LYH210"/>
      <c r="LYI210"/>
      <c r="LYJ210"/>
      <c r="LYK210"/>
      <c r="LYL210"/>
      <c r="LYM210"/>
      <c r="LYN210"/>
      <c r="LYO210"/>
      <c r="LYP210"/>
      <c r="LYQ210"/>
      <c r="LYR210"/>
      <c r="LYS210"/>
      <c r="LYT210"/>
      <c r="LYU210"/>
      <c r="LYV210"/>
      <c r="LYW210"/>
      <c r="LYX210"/>
      <c r="LYY210"/>
      <c r="LYZ210"/>
      <c r="LZA210"/>
      <c r="LZB210"/>
      <c r="LZC210"/>
      <c r="LZD210"/>
      <c r="LZE210"/>
      <c r="LZF210"/>
      <c r="LZG210"/>
      <c r="LZH210"/>
      <c r="LZI210"/>
      <c r="LZJ210"/>
      <c r="LZK210"/>
      <c r="LZL210"/>
      <c r="LZM210"/>
      <c r="LZN210"/>
      <c r="LZO210"/>
      <c r="LZP210"/>
      <c r="LZQ210"/>
      <c r="LZR210"/>
      <c r="LZS210"/>
      <c r="LZT210"/>
      <c r="LZU210"/>
      <c r="LZV210"/>
      <c r="LZW210"/>
      <c r="LZX210"/>
      <c r="LZY210"/>
      <c r="LZZ210"/>
      <c r="MAA210"/>
      <c r="MAB210"/>
      <c r="MAC210"/>
      <c r="MAD210"/>
      <c r="MAE210"/>
      <c r="MAF210"/>
      <c r="MAG210"/>
      <c r="MAH210"/>
      <c r="MAI210"/>
      <c r="MAJ210"/>
      <c r="MAK210"/>
      <c r="MAL210"/>
      <c r="MAM210"/>
      <c r="MAN210"/>
      <c r="MAO210"/>
      <c r="MAP210"/>
      <c r="MAQ210"/>
      <c r="MAR210"/>
      <c r="MAS210"/>
      <c r="MAT210"/>
      <c r="MAU210"/>
      <c r="MAV210"/>
      <c r="MAW210"/>
      <c r="MAX210"/>
      <c r="MAY210"/>
      <c r="MAZ210"/>
      <c r="MBA210"/>
      <c r="MBB210"/>
      <c r="MBC210"/>
      <c r="MBD210"/>
      <c r="MBE210"/>
      <c r="MBF210"/>
      <c r="MBG210"/>
      <c r="MBH210"/>
      <c r="MBI210"/>
      <c r="MBJ210"/>
      <c r="MBK210"/>
      <c r="MBL210"/>
      <c r="MBM210"/>
      <c r="MBN210"/>
      <c r="MBO210"/>
      <c r="MBP210"/>
      <c r="MBQ210"/>
      <c r="MBR210"/>
      <c r="MBS210"/>
      <c r="MBT210"/>
      <c r="MBU210"/>
      <c r="MBV210"/>
      <c r="MBW210"/>
      <c r="MBX210"/>
      <c r="MBY210"/>
      <c r="MBZ210"/>
      <c r="MCA210"/>
      <c r="MCB210"/>
      <c r="MCC210"/>
      <c r="MCD210"/>
      <c r="MCE210"/>
      <c r="MCF210"/>
      <c r="MCG210"/>
      <c r="MCH210"/>
      <c r="MCI210"/>
      <c r="MCJ210"/>
      <c r="MCK210"/>
      <c r="MCL210"/>
      <c r="MCM210"/>
      <c r="MCN210"/>
      <c r="MCO210"/>
      <c r="MCP210"/>
      <c r="MCQ210"/>
      <c r="MCR210"/>
      <c r="MCS210"/>
      <c r="MCT210"/>
      <c r="MCU210"/>
      <c r="MCV210"/>
      <c r="MCW210"/>
      <c r="MCX210"/>
      <c r="MCY210"/>
      <c r="MCZ210"/>
      <c r="MDA210"/>
      <c r="MDB210"/>
      <c r="MDC210"/>
      <c r="MDD210"/>
      <c r="MDE210"/>
      <c r="MDF210"/>
      <c r="MDG210"/>
      <c r="MDH210"/>
      <c r="MDI210"/>
      <c r="MDJ210"/>
      <c r="MDK210"/>
      <c r="MDL210"/>
      <c r="MDM210"/>
      <c r="MDN210"/>
      <c r="MDO210"/>
      <c r="MDP210"/>
      <c r="MDQ210"/>
      <c r="MDR210"/>
      <c r="MDS210"/>
      <c r="MDT210"/>
      <c r="MDU210"/>
      <c r="MDV210"/>
      <c r="MDW210"/>
      <c r="MDX210"/>
      <c r="MDY210"/>
      <c r="MDZ210"/>
      <c r="MEA210"/>
      <c r="MEB210"/>
      <c r="MEC210"/>
      <c r="MED210"/>
      <c r="MEE210"/>
      <c r="MEF210"/>
      <c r="MEG210"/>
      <c r="MEH210"/>
      <c r="MEI210"/>
      <c r="MEJ210"/>
      <c r="MEK210"/>
      <c r="MEL210"/>
      <c r="MEM210"/>
      <c r="MEN210"/>
      <c r="MEO210"/>
      <c r="MEP210"/>
      <c r="MEQ210"/>
      <c r="MER210"/>
      <c r="MES210"/>
      <c r="MET210"/>
      <c r="MEU210"/>
      <c r="MEV210"/>
      <c r="MEW210"/>
      <c r="MEX210"/>
      <c r="MEY210"/>
      <c r="MEZ210"/>
      <c r="MFA210"/>
      <c r="MFB210"/>
      <c r="MFC210"/>
      <c r="MFD210"/>
      <c r="MFE210"/>
      <c r="MFF210"/>
      <c r="MFG210"/>
      <c r="MFH210"/>
      <c r="MFI210"/>
      <c r="MFJ210"/>
      <c r="MFK210"/>
      <c r="MFL210"/>
      <c r="MFM210"/>
      <c r="MFN210"/>
      <c r="MFO210"/>
      <c r="MFP210"/>
      <c r="MFQ210"/>
      <c r="MFR210"/>
      <c r="MFS210"/>
      <c r="MFT210"/>
      <c r="MFU210"/>
      <c r="MFV210"/>
      <c r="MFW210"/>
      <c r="MFX210"/>
      <c r="MFY210"/>
      <c r="MFZ210"/>
      <c r="MGA210"/>
      <c r="MGB210"/>
      <c r="MGC210"/>
      <c r="MGD210"/>
      <c r="MGE210"/>
      <c r="MGF210"/>
      <c r="MGG210"/>
      <c r="MGH210"/>
      <c r="MGI210"/>
      <c r="MGJ210"/>
      <c r="MGK210"/>
      <c r="MGL210"/>
      <c r="MGM210"/>
      <c r="MGN210"/>
      <c r="MGO210"/>
      <c r="MGP210"/>
      <c r="MGQ210"/>
      <c r="MGR210"/>
      <c r="MGS210"/>
      <c r="MGT210"/>
      <c r="MGU210"/>
      <c r="MGV210"/>
      <c r="MGW210"/>
      <c r="MGX210"/>
      <c r="MGY210"/>
      <c r="MGZ210"/>
      <c r="MHA210"/>
      <c r="MHB210"/>
      <c r="MHC210"/>
      <c r="MHD210"/>
      <c r="MHE210"/>
      <c r="MHF210"/>
      <c r="MHG210"/>
      <c r="MHH210"/>
      <c r="MHI210"/>
      <c r="MHJ210"/>
      <c r="MHK210"/>
      <c r="MHL210"/>
      <c r="MHM210"/>
      <c r="MHN210"/>
      <c r="MHO210"/>
      <c r="MHP210"/>
      <c r="MHQ210"/>
      <c r="MHR210"/>
      <c r="MHS210"/>
      <c r="MHT210"/>
      <c r="MHU210"/>
      <c r="MHV210"/>
      <c r="MHW210"/>
      <c r="MHX210"/>
      <c r="MHY210"/>
      <c r="MHZ210"/>
      <c r="MIA210"/>
      <c r="MIB210"/>
      <c r="MIC210"/>
      <c r="MID210"/>
      <c r="MIE210"/>
      <c r="MIF210"/>
      <c r="MIG210"/>
      <c r="MIH210"/>
      <c r="MII210"/>
      <c r="MIJ210"/>
      <c r="MIK210"/>
      <c r="MIL210"/>
      <c r="MIM210"/>
      <c r="MIN210"/>
      <c r="MIO210"/>
      <c r="MIP210"/>
      <c r="MIQ210"/>
      <c r="MIR210"/>
      <c r="MIS210"/>
      <c r="MIT210"/>
      <c r="MIU210"/>
      <c r="MIV210"/>
      <c r="MIW210"/>
      <c r="MIX210"/>
      <c r="MIY210"/>
      <c r="MIZ210"/>
      <c r="MJA210"/>
      <c r="MJB210"/>
      <c r="MJC210"/>
      <c r="MJD210"/>
      <c r="MJE210"/>
      <c r="MJF210"/>
      <c r="MJG210"/>
      <c r="MJH210"/>
      <c r="MJI210"/>
      <c r="MJJ210"/>
      <c r="MJK210"/>
      <c r="MJL210"/>
      <c r="MJM210"/>
      <c r="MJN210"/>
      <c r="MJO210"/>
      <c r="MJP210"/>
      <c r="MJQ210"/>
      <c r="MJR210"/>
      <c r="MJS210"/>
      <c r="MJT210"/>
      <c r="MJU210"/>
      <c r="MJV210"/>
      <c r="MJW210"/>
      <c r="MJX210"/>
      <c r="MJY210"/>
      <c r="MJZ210"/>
      <c r="MKA210"/>
      <c r="MKB210"/>
      <c r="MKC210"/>
      <c r="MKD210"/>
      <c r="MKE210"/>
      <c r="MKF210"/>
      <c r="MKG210"/>
      <c r="MKH210"/>
      <c r="MKI210"/>
      <c r="MKJ210"/>
      <c r="MKK210"/>
      <c r="MKL210"/>
      <c r="MKM210"/>
      <c r="MKN210"/>
      <c r="MKO210"/>
      <c r="MKP210"/>
      <c r="MKQ210"/>
      <c r="MKR210"/>
      <c r="MKS210"/>
      <c r="MKT210"/>
      <c r="MKU210"/>
      <c r="MKV210"/>
      <c r="MKW210"/>
      <c r="MKX210"/>
      <c r="MKY210"/>
      <c r="MKZ210"/>
      <c r="MLA210"/>
      <c r="MLB210"/>
      <c r="MLC210"/>
      <c r="MLD210"/>
      <c r="MLE210"/>
      <c r="MLF210"/>
      <c r="MLG210"/>
      <c r="MLH210"/>
      <c r="MLI210"/>
      <c r="MLJ210"/>
      <c r="MLK210"/>
      <c r="MLL210"/>
      <c r="MLM210"/>
      <c r="MLN210"/>
      <c r="MLO210"/>
      <c r="MLP210"/>
      <c r="MLQ210"/>
      <c r="MLR210"/>
      <c r="MLS210"/>
      <c r="MLT210"/>
      <c r="MLU210"/>
      <c r="MLV210"/>
      <c r="MLW210"/>
      <c r="MLX210"/>
      <c r="MLY210"/>
      <c r="MLZ210"/>
      <c r="MMA210"/>
      <c r="MMB210"/>
      <c r="MMC210"/>
      <c r="MMD210"/>
      <c r="MME210"/>
      <c r="MMF210"/>
      <c r="MMG210"/>
      <c r="MMH210"/>
      <c r="MMI210"/>
      <c r="MMJ210"/>
      <c r="MMK210"/>
      <c r="MML210"/>
      <c r="MMM210"/>
      <c r="MMN210"/>
      <c r="MMO210"/>
      <c r="MMP210"/>
      <c r="MMQ210"/>
      <c r="MMR210"/>
      <c r="MMS210"/>
      <c r="MMT210"/>
      <c r="MMU210"/>
      <c r="MMV210"/>
      <c r="MMW210"/>
      <c r="MMX210"/>
      <c r="MMY210"/>
      <c r="MMZ210"/>
      <c r="MNA210"/>
      <c r="MNB210"/>
      <c r="MNC210"/>
      <c r="MND210"/>
      <c r="MNE210"/>
      <c r="MNF210"/>
      <c r="MNG210"/>
      <c r="MNH210"/>
      <c r="MNI210"/>
      <c r="MNJ210"/>
      <c r="MNK210"/>
      <c r="MNL210"/>
      <c r="MNM210"/>
      <c r="MNN210"/>
      <c r="MNO210"/>
      <c r="MNP210"/>
      <c r="MNQ210"/>
      <c r="MNR210"/>
      <c r="MNS210"/>
      <c r="MNT210"/>
      <c r="MNU210"/>
      <c r="MNV210"/>
      <c r="MNW210"/>
      <c r="MNX210"/>
      <c r="MNY210"/>
      <c r="MNZ210"/>
      <c r="MOA210"/>
      <c r="MOB210"/>
      <c r="MOC210"/>
      <c r="MOD210"/>
      <c r="MOE210"/>
      <c r="MOF210"/>
      <c r="MOG210"/>
      <c r="MOH210"/>
      <c r="MOI210"/>
      <c r="MOJ210"/>
      <c r="MOK210"/>
      <c r="MOL210"/>
      <c r="MOM210"/>
      <c r="MON210"/>
      <c r="MOO210"/>
      <c r="MOP210"/>
      <c r="MOQ210"/>
      <c r="MOR210"/>
      <c r="MOS210"/>
      <c r="MOT210"/>
      <c r="MOU210"/>
      <c r="MOV210"/>
      <c r="MOW210"/>
      <c r="MOX210"/>
      <c r="MOY210"/>
      <c r="MOZ210"/>
      <c r="MPA210"/>
      <c r="MPB210"/>
      <c r="MPC210"/>
      <c r="MPD210"/>
      <c r="MPE210"/>
      <c r="MPF210"/>
      <c r="MPG210"/>
      <c r="MPH210"/>
      <c r="MPI210"/>
      <c r="MPJ210"/>
      <c r="MPK210"/>
      <c r="MPL210"/>
      <c r="MPM210"/>
      <c r="MPN210"/>
      <c r="MPO210"/>
      <c r="MPP210"/>
      <c r="MPQ210"/>
      <c r="MPR210"/>
      <c r="MPS210"/>
      <c r="MPT210"/>
      <c r="MPU210"/>
      <c r="MPV210"/>
      <c r="MPW210"/>
      <c r="MPX210"/>
      <c r="MPY210"/>
      <c r="MPZ210"/>
      <c r="MQA210"/>
      <c r="MQB210"/>
      <c r="MQC210"/>
      <c r="MQD210"/>
      <c r="MQE210"/>
      <c r="MQF210"/>
      <c r="MQG210"/>
      <c r="MQH210"/>
      <c r="MQI210"/>
      <c r="MQJ210"/>
      <c r="MQK210"/>
      <c r="MQL210"/>
      <c r="MQM210"/>
      <c r="MQN210"/>
      <c r="MQO210"/>
      <c r="MQP210"/>
      <c r="MQQ210"/>
      <c r="MQR210"/>
      <c r="MQS210"/>
      <c r="MQT210"/>
      <c r="MQU210"/>
      <c r="MQV210"/>
      <c r="MQW210"/>
      <c r="MQX210"/>
      <c r="MQY210"/>
      <c r="MQZ210"/>
      <c r="MRA210"/>
      <c r="MRB210"/>
      <c r="MRC210"/>
      <c r="MRD210"/>
      <c r="MRE210"/>
      <c r="MRF210"/>
      <c r="MRG210"/>
      <c r="MRH210"/>
      <c r="MRI210"/>
      <c r="MRJ210"/>
      <c r="MRK210"/>
      <c r="MRL210"/>
      <c r="MRM210"/>
      <c r="MRN210"/>
      <c r="MRO210"/>
      <c r="MRP210"/>
      <c r="MRQ210"/>
      <c r="MRR210"/>
      <c r="MRS210"/>
      <c r="MRT210"/>
      <c r="MRU210"/>
      <c r="MRV210"/>
      <c r="MRW210"/>
      <c r="MRX210"/>
      <c r="MRY210"/>
      <c r="MRZ210"/>
      <c r="MSA210"/>
      <c r="MSB210"/>
      <c r="MSC210"/>
      <c r="MSD210"/>
      <c r="MSE210"/>
      <c r="MSF210"/>
      <c r="MSG210"/>
      <c r="MSH210"/>
      <c r="MSI210"/>
      <c r="MSJ210"/>
      <c r="MSK210"/>
      <c r="MSL210"/>
      <c r="MSM210"/>
      <c r="MSN210"/>
      <c r="MSO210"/>
      <c r="MSP210"/>
      <c r="MSQ210"/>
      <c r="MSR210"/>
      <c r="MSS210"/>
      <c r="MST210"/>
      <c r="MSU210"/>
      <c r="MSV210"/>
      <c r="MSW210"/>
      <c r="MSX210"/>
      <c r="MSY210"/>
      <c r="MSZ210"/>
      <c r="MTA210"/>
      <c r="MTB210"/>
      <c r="MTC210"/>
      <c r="MTD210"/>
      <c r="MTE210"/>
      <c r="MTF210"/>
      <c r="MTG210"/>
      <c r="MTH210"/>
      <c r="MTI210"/>
      <c r="MTJ210"/>
      <c r="MTK210"/>
      <c r="MTL210"/>
      <c r="MTM210"/>
      <c r="MTN210"/>
      <c r="MTO210"/>
      <c r="MTP210"/>
      <c r="MTQ210"/>
      <c r="MTR210"/>
      <c r="MTS210"/>
      <c r="MTT210"/>
      <c r="MTU210"/>
      <c r="MTV210"/>
      <c r="MTW210"/>
      <c r="MTX210"/>
      <c r="MTY210"/>
      <c r="MTZ210"/>
      <c r="MUA210"/>
      <c r="MUB210"/>
      <c r="MUC210"/>
      <c r="MUD210"/>
      <c r="MUE210"/>
      <c r="MUF210"/>
      <c r="MUG210"/>
      <c r="MUH210"/>
      <c r="MUI210"/>
      <c r="MUJ210"/>
      <c r="MUK210"/>
      <c r="MUL210"/>
      <c r="MUM210"/>
      <c r="MUN210"/>
      <c r="MUO210"/>
      <c r="MUP210"/>
      <c r="MUQ210"/>
      <c r="MUR210"/>
      <c r="MUS210"/>
      <c r="MUT210"/>
      <c r="MUU210"/>
      <c r="MUV210"/>
      <c r="MUW210"/>
      <c r="MUX210"/>
      <c r="MUY210"/>
      <c r="MUZ210"/>
      <c r="MVA210"/>
      <c r="MVB210"/>
      <c r="MVC210"/>
      <c r="MVD210"/>
      <c r="MVE210"/>
      <c r="MVF210"/>
      <c r="MVG210"/>
      <c r="MVH210"/>
      <c r="MVI210"/>
      <c r="MVJ210"/>
      <c r="MVK210"/>
      <c r="MVL210"/>
      <c r="MVM210"/>
      <c r="MVN210"/>
      <c r="MVO210"/>
      <c r="MVP210"/>
      <c r="MVQ210"/>
      <c r="MVR210"/>
      <c r="MVS210"/>
      <c r="MVT210"/>
      <c r="MVU210"/>
      <c r="MVV210"/>
      <c r="MVW210"/>
      <c r="MVX210"/>
      <c r="MVY210"/>
      <c r="MVZ210"/>
      <c r="MWA210"/>
      <c r="MWB210"/>
      <c r="MWC210"/>
      <c r="MWD210"/>
      <c r="MWE210"/>
      <c r="MWF210"/>
      <c r="MWG210"/>
      <c r="MWH210"/>
      <c r="MWI210"/>
      <c r="MWJ210"/>
      <c r="MWK210"/>
      <c r="MWL210"/>
      <c r="MWM210"/>
      <c r="MWN210"/>
      <c r="MWO210"/>
      <c r="MWP210"/>
      <c r="MWQ210"/>
      <c r="MWR210"/>
      <c r="MWS210"/>
      <c r="MWT210"/>
      <c r="MWU210"/>
      <c r="MWV210"/>
      <c r="MWW210"/>
      <c r="MWX210"/>
      <c r="MWY210"/>
      <c r="MWZ210"/>
      <c r="MXA210"/>
      <c r="MXB210"/>
      <c r="MXC210"/>
      <c r="MXD210"/>
      <c r="MXE210"/>
      <c r="MXF210"/>
      <c r="MXG210"/>
      <c r="MXH210"/>
      <c r="MXI210"/>
      <c r="MXJ210"/>
      <c r="MXK210"/>
      <c r="MXL210"/>
      <c r="MXM210"/>
      <c r="MXN210"/>
      <c r="MXO210"/>
      <c r="MXP210"/>
      <c r="MXQ210"/>
      <c r="MXR210"/>
      <c r="MXS210"/>
      <c r="MXT210"/>
      <c r="MXU210"/>
      <c r="MXV210"/>
      <c r="MXW210"/>
      <c r="MXX210"/>
      <c r="MXY210"/>
      <c r="MXZ210"/>
      <c r="MYA210"/>
      <c r="MYB210"/>
      <c r="MYC210"/>
      <c r="MYD210"/>
      <c r="MYE210"/>
      <c r="MYF210"/>
      <c r="MYG210"/>
      <c r="MYH210"/>
      <c r="MYI210"/>
      <c r="MYJ210"/>
      <c r="MYK210"/>
      <c r="MYL210"/>
      <c r="MYM210"/>
      <c r="MYN210"/>
      <c r="MYO210"/>
      <c r="MYP210"/>
      <c r="MYQ210"/>
      <c r="MYR210"/>
      <c r="MYS210"/>
      <c r="MYT210"/>
      <c r="MYU210"/>
      <c r="MYV210"/>
      <c r="MYW210"/>
      <c r="MYX210"/>
      <c r="MYY210"/>
      <c r="MYZ210"/>
      <c r="MZA210"/>
      <c r="MZB210"/>
      <c r="MZC210"/>
      <c r="MZD210"/>
      <c r="MZE210"/>
      <c r="MZF210"/>
      <c r="MZG210"/>
      <c r="MZH210"/>
      <c r="MZI210"/>
      <c r="MZJ210"/>
      <c r="MZK210"/>
      <c r="MZL210"/>
      <c r="MZM210"/>
      <c r="MZN210"/>
      <c r="MZO210"/>
      <c r="MZP210"/>
      <c r="MZQ210"/>
      <c r="MZR210"/>
      <c r="MZS210"/>
      <c r="MZT210"/>
      <c r="MZU210"/>
      <c r="MZV210"/>
      <c r="MZW210"/>
      <c r="MZX210"/>
      <c r="MZY210"/>
      <c r="MZZ210"/>
      <c r="NAA210"/>
      <c r="NAB210"/>
      <c r="NAC210"/>
      <c r="NAD210"/>
      <c r="NAE210"/>
      <c r="NAF210"/>
      <c r="NAG210"/>
      <c r="NAH210"/>
      <c r="NAI210"/>
      <c r="NAJ210"/>
      <c r="NAK210"/>
      <c r="NAL210"/>
      <c r="NAM210"/>
      <c r="NAN210"/>
      <c r="NAO210"/>
      <c r="NAP210"/>
      <c r="NAQ210"/>
      <c r="NAR210"/>
      <c r="NAS210"/>
      <c r="NAT210"/>
      <c r="NAU210"/>
      <c r="NAV210"/>
      <c r="NAW210"/>
      <c r="NAX210"/>
      <c r="NAY210"/>
      <c r="NAZ210"/>
      <c r="NBA210"/>
      <c r="NBB210"/>
      <c r="NBC210"/>
      <c r="NBD210"/>
      <c r="NBE210"/>
      <c r="NBF210"/>
      <c r="NBG210"/>
      <c r="NBH210"/>
      <c r="NBI210"/>
      <c r="NBJ210"/>
      <c r="NBK210"/>
      <c r="NBL210"/>
      <c r="NBM210"/>
      <c r="NBN210"/>
      <c r="NBO210"/>
      <c r="NBP210"/>
      <c r="NBQ210"/>
      <c r="NBR210"/>
      <c r="NBS210"/>
      <c r="NBT210"/>
      <c r="NBU210"/>
      <c r="NBV210"/>
      <c r="NBW210"/>
      <c r="NBX210"/>
      <c r="NBY210"/>
      <c r="NBZ210"/>
      <c r="NCA210"/>
      <c r="NCB210"/>
      <c r="NCC210"/>
      <c r="NCD210"/>
      <c r="NCE210"/>
      <c r="NCF210"/>
      <c r="NCG210"/>
      <c r="NCH210"/>
      <c r="NCI210"/>
      <c r="NCJ210"/>
      <c r="NCK210"/>
      <c r="NCL210"/>
      <c r="NCM210"/>
      <c r="NCN210"/>
      <c r="NCO210"/>
      <c r="NCP210"/>
      <c r="NCQ210"/>
      <c r="NCR210"/>
      <c r="NCS210"/>
      <c r="NCT210"/>
      <c r="NCU210"/>
      <c r="NCV210"/>
      <c r="NCW210"/>
      <c r="NCX210"/>
      <c r="NCY210"/>
      <c r="NCZ210"/>
      <c r="NDA210"/>
      <c r="NDB210"/>
      <c r="NDC210"/>
      <c r="NDD210"/>
      <c r="NDE210"/>
      <c r="NDF210"/>
      <c r="NDG210"/>
      <c r="NDH210"/>
      <c r="NDI210"/>
      <c r="NDJ210"/>
      <c r="NDK210"/>
      <c r="NDL210"/>
      <c r="NDM210"/>
      <c r="NDN210"/>
      <c r="NDO210"/>
      <c r="NDP210"/>
      <c r="NDQ210"/>
      <c r="NDR210"/>
      <c r="NDS210"/>
      <c r="NDT210"/>
      <c r="NDU210"/>
      <c r="NDV210"/>
      <c r="NDW210"/>
      <c r="NDX210"/>
      <c r="NDY210"/>
      <c r="NDZ210"/>
      <c r="NEA210"/>
      <c r="NEB210"/>
      <c r="NEC210"/>
      <c r="NED210"/>
      <c r="NEE210"/>
      <c r="NEF210"/>
      <c r="NEG210"/>
      <c r="NEH210"/>
      <c r="NEI210"/>
      <c r="NEJ210"/>
      <c r="NEK210"/>
      <c r="NEL210"/>
      <c r="NEM210"/>
      <c r="NEN210"/>
      <c r="NEO210"/>
      <c r="NEP210"/>
      <c r="NEQ210"/>
      <c r="NER210"/>
      <c r="NES210"/>
      <c r="NET210"/>
      <c r="NEU210"/>
      <c r="NEV210"/>
      <c r="NEW210"/>
      <c r="NEX210"/>
      <c r="NEY210"/>
      <c r="NEZ210"/>
      <c r="NFA210"/>
      <c r="NFB210"/>
      <c r="NFC210"/>
      <c r="NFD210"/>
      <c r="NFE210"/>
      <c r="NFF210"/>
      <c r="NFG210"/>
      <c r="NFH210"/>
      <c r="NFI210"/>
      <c r="NFJ210"/>
      <c r="NFK210"/>
      <c r="NFL210"/>
      <c r="NFM210"/>
      <c r="NFN210"/>
      <c r="NFO210"/>
      <c r="NFP210"/>
      <c r="NFQ210"/>
      <c r="NFR210"/>
      <c r="NFS210"/>
      <c r="NFT210"/>
      <c r="NFU210"/>
      <c r="NFV210"/>
      <c r="NFW210"/>
      <c r="NFX210"/>
      <c r="NFY210"/>
      <c r="NFZ210"/>
      <c r="NGA210"/>
      <c r="NGB210"/>
      <c r="NGC210"/>
      <c r="NGD210"/>
      <c r="NGE210"/>
      <c r="NGF210"/>
      <c r="NGG210"/>
      <c r="NGH210"/>
      <c r="NGI210"/>
      <c r="NGJ210"/>
      <c r="NGK210"/>
      <c r="NGL210"/>
      <c r="NGM210"/>
      <c r="NGN210"/>
      <c r="NGO210"/>
      <c r="NGP210"/>
      <c r="NGQ210"/>
      <c r="NGR210"/>
      <c r="NGS210"/>
      <c r="NGT210"/>
      <c r="NGU210"/>
      <c r="NGV210"/>
      <c r="NGW210"/>
      <c r="NGX210"/>
      <c r="NGY210"/>
      <c r="NGZ210"/>
      <c r="NHA210"/>
      <c r="NHB210"/>
      <c r="NHC210"/>
      <c r="NHD210"/>
      <c r="NHE210"/>
      <c r="NHF210"/>
      <c r="NHG210"/>
      <c r="NHH210"/>
      <c r="NHI210"/>
      <c r="NHJ210"/>
      <c r="NHK210"/>
      <c r="NHL210"/>
      <c r="NHM210"/>
      <c r="NHN210"/>
      <c r="NHO210"/>
      <c r="NHP210"/>
      <c r="NHQ210"/>
      <c r="NHR210"/>
      <c r="NHS210"/>
      <c r="NHT210"/>
      <c r="NHU210"/>
      <c r="NHV210"/>
      <c r="NHW210"/>
      <c r="NHX210"/>
      <c r="NHY210"/>
      <c r="NHZ210"/>
      <c r="NIA210"/>
      <c r="NIB210"/>
      <c r="NIC210"/>
      <c r="NID210"/>
      <c r="NIE210"/>
      <c r="NIF210"/>
      <c r="NIG210"/>
      <c r="NIH210"/>
      <c r="NII210"/>
      <c r="NIJ210"/>
      <c r="NIK210"/>
      <c r="NIL210"/>
      <c r="NIM210"/>
      <c r="NIN210"/>
      <c r="NIO210"/>
      <c r="NIP210"/>
      <c r="NIQ210"/>
      <c r="NIR210"/>
      <c r="NIS210"/>
      <c r="NIT210"/>
      <c r="NIU210"/>
      <c r="NIV210"/>
      <c r="NIW210"/>
      <c r="NIX210"/>
      <c r="NIY210"/>
      <c r="NIZ210"/>
      <c r="NJA210"/>
      <c r="NJB210"/>
      <c r="NJC210"/>
      <c r="NJD210"/>
      <c r="NJE210"/>
      <c r="NJF210"/>
      <c r="NJG210"/>
      <c r="NJH210"/>
      <c r="NJI210"/>
      <c r="NJJ210"/>
      <c r="NJK210"/>
      <c r="NJL210"/>
      <c r="NJM210"/>
      <c r="NJN210"/>
      <c r="NJO210"/>
      <c r="NJP210"/>
      <c r="NJQ210"/>
      <c r="NJR210"/>
      <c r="NJS210"/>
      <c r="NJT210"/>
      <c r="NJU210"/>
      <c r="NJV210"/>
      <c r="NJW210"/>
      <c r="NJX210"/>
      <c r="NJY210"/>
      <c r="NJZ210"/>
      <c r="NKA210"/>
      <c r="NKB210"/>
      <c r="NKC210"/>
      <c r="NKD210"/>
      <c r="NKE210"/>
      <c r="NKF210"/>
      <c r="NKG210"/>
      <c r="NKH210"/>
      <c r="NKI210"/>
      <c r="NKJ210"/>
      <c r="NKK210"/>
      <c r="NKL210"/>
      <c r="NKM210"/>
      <c r="NKN210"/>
      <c r="NKO210"/>
      <c r="NKP210"/>
      <c r="NKQ210"/>
      <c r="NKR210"/>
      <c r="NKS210"/>
      <c r="NKT210"/>
      <c r="NKU210"/>
      <c r="NKV210"/>
      <c r="NKW210"/>
      <c r="NKX210"/>
      <c r="NKY210"/>
      <c r="NKZ210"/>
      <c r="NLA210"/>
      <c r="NLB210"/>
      <c r="NLC210"/>
      <c r="NLD210"/>
      <c r="NLE210"/>
      <c r="NLF210"/>
      <c r="NLG210"/>
      <c r="NLH210"/>
      <c r="NLI210"/>
      <c r="NLJ210"/>
      <c r="NLK210"/>
      <c r="NLL210"/>
      <c r="NLM210"/>
      <c r="NLN210"/>
      <c r="NLO210"/>
      <c r="NLP210"/>
      <c r="NLQ210"/>
      <c r="NLR210"/>
      <c r="NLS210"/>
      <c r="NLT210"/>
      <c r="NLU210"/>
      <c r="NLV210"/>
      <c r="NLW210"/>
      <c r="NLX210"/>
      <c r="NLY210"/>
      <c r="NLZ210"/>
      <c r="NMA210"/>
      <c r="NMB210"/>
      <c r="NMC210"/>
      <c r="NMD210"/>
      <c r="NME210"/>
      <c r="NMF210"/>
      <c r="NMG210"/>
      <c r="NMH210"/>
      <c r="NMI210"/>
      <c r="NMJ210"/>
      <c r="NMK210"/>
      <c r="NML210"/>
      <c r="NMM210"/>
      <c r="NMN210"/>
      <c r="NMO210"/>
      <c r="NMP210"/>
      <c r="NMQ210"/>
      <c r="NMR210"/>
      <c r="NMS210"/>
      <c r="NMT210"/>
      <c r="NMU210"/>
      <c r="NMV210"/>
      <c r="NMW210"/>
      <c r="NMX210"/>
      <c r="NMY210"/>
      <c r="NMZ210"/>
      <c r="NNA210"/>
      <c r="NNB210"/>
      <c r="NNC210"/>
      <c r="NND210"/>
      <c r="NNE210"/>
      <c r="NNF210"/>
      <c r="NNG210"/>
      <c r="NNH210"/>
      <c r="NNI210"/>
      <c r="NNJ210"/>
      <c r="NNK210"/>
      <c r="NNL210"/>
      <c r="NNM210"/>
      <c r="NNN210"/>
      <c r="NNO210"/>
      <c r="NNP210"/>
      <c r="NNQ210"/>
      <c r="NNR210"/>
      <c r="NNS210"/>
      <c r="NNT210"/>
      <c r="NNU210"/>
      <c r="NNV210"/>
      <c r="NNW210"/>
      <c r="NNX210"/>
      <c r="NNY210"/>
      <c r="NNZ210"/>
      <c r="NOA210"/>
      <c r="NOB210"/>
      <c r="NOC210"/>
      <c r="NOD210"/>
      <c r="NOE210"/>
      <c r="NOF210"/>
      <c r="NOG210"/>
      <c r="NOH210"/>
      <c r="NOI210"/>
      <c r="NOJ210"/>
      <c r="NOK210"/>
      <c r="NOL210"/>
      <c r="NOM210"/>
      <c r="NON210"/>
      <c r="NOO210"/>
      <c r="NOP210"/>
      <c r="NOQ210"/>
      <c r="NOR210"/>
      <c r="NOS210"/>
      <c r="NOT210"/>
      <c r="NOU210"/>
      <c r="NOV210"/>
      <c r="NOW210"/>
      <c r="NOX210"/>
      <c r="NOY210"/>
      <c r="NOZ210"/>
      <c r="NPA210"/>
      <c r="NPB210"/>
      <c r="NPC210"/>
      <c r="NPD210"/>
      <c r="NPE210"/>
      <c r="NPF210"/>
      <c r="NPG210"/>
      <c r="NPH210"/>
      <c r="NPI210"/>
      <c r="NPJ210"/>
      <c r="NPK210"/>
      <c r="NPL210"/>
      <c r="NPM210"/>
      <c r="NPN210"/>
      <c r="NPO210"/>
      <c r="NPP210"/>
      <c r="NPQ210"/>
      <c r="NPR210"/>
      <c r="NPS210"/>
      <c r="NPT210"/>
      <c r="NPU210"/>
      <c r="NPV210"/>
      <c r="NPW210"/>
      <c r="NPX210"/>
      <c r="NPY210"/>
      <c r="NPZ210"/>
      <c r="NQA210"/>
      <c r="NQB210"/>
      <c r="NQC210"/>
      <c r="NQD210"/>
      <c r="NQE210"/>
      <c r="NQF210"/>
      <c r="NQG210"/>
      <c r="NQH210"/>
      <c r="NQI210"/>
      <c r="NQJ210"/>
      <c r="NQK210"/>
      <c r="NQL210"/>
      <c r="NQM210"/>
      <c r="NQN210"/>
      <c r="NQO210"/>
      <c r="NQP210"/>
      <c r="NQQ210"/>
      <c r="NQR210"/>
      <c r="NQS210"/>
      <c r="NQT210"/>
      <c r="NQU210"/>
      <c r="NQV210"/>
      <c r="NQW210"/>
      <c r="NQX210"/>
      <c r="NQY210"/>
      <c r="NQZ210"/>
      <c r="NRA210"/>
      <c r="NRB210"/>
      <c r="NRC210"/>
      <c r="NRD210"/>
      <c r="NRE210"/>
      <c r="NRF210"/>
      <c r="NRG210"/>
      <c r="NRH210"/>
      <c r="NRI210"/>
      <c r="NRJ210"/>
      <c r="NRK210"/>
      <c r="NRL210"/>
      <c r="NRM210"/>
      <c r="NRN210"/>
      <c r="NRO210"/>
      <c r="NRP210"/>
      <c r="NRQ210"/>
      <c r="NRR210"/>
      <c r="NRS210"/>
      <c r="NRT210"/>
      <c r="NRU210"/>
      <c r="NRV210"/>
      <c r="NRW210"/>
      <c r="NRX210"/>
      <c r="NRY210"/>
      <c r="NRZ210"/>
      <c r="NSA210"/>
      <c r="NSB210"/>
      <c r="NSC210"/>
      <c r="NSD210"/>
      <c r="NSE210"/>
      <c r="NSF210"/>
      <c r="NSG210"/>
      <c r="NSH210"/>
      <c r="NSI210"/>
      <c r="NSJ210"/>
      <c r="NSK210"/>
      <c r="NSL210"/>
      <c r="NSM210"/>
      <c r="NSN210"/>
      <c r="NSO210"/>
      <c r="NSP210"/>
      <c r="NSQ210"/>
      <c r="NSR210"/>
      <c r="NSS210"/>
      <c r="NST210"/>
      <c r="NSU210"/>
      <c r="NSV210"/>
      <c r="NSW210"/>
      <c r="NSX210"/>
      <c r="NSY210"/>
      <c r="NSZ210"/>
      <c r="NTA210"/>
      <c r="NTB210"/>
      <c r="NTC210"/>
      <c r="NTD210"/>
      <c r="NTE210"/>
      <c r="NTF210"/>
      <c r="NTG210"/>
      <c r="NTH210"/>
      <c r="NTI210"/>
      <c r="NTJ210"/>
      <c r="NTK210"/>
      <c r="NTL210"/>
      <c r="NTM210"/>
      <c r="NTN210"/>
      <c r="NTO210"/>
      <c r="NTP210"/>
      <c r="NTQ210"/>
      <c r="NTR210"/>
      <c r="NTS210"/>
      <c r="NTT210"/>
      <c r="NTU210"/>
      <c r="NTV210"/>
      <c r="NTW210"/>
      <c r="NTX210"/>
      <c r="NTY210"/>
      <c r="NTZ210"/>
      <c r="NUA210"/>
      <c r="NUB210"/>
      <c r="NUC210"/>
      <c r="NUD210"/>
      <c r="NUE210"/>
      <c r="NUF210"/>
      <c r="NUG210"/>
      <c r="NUH210"/>
      <c r="NUI210"/>
      <c r="NUJ210"/>
      <c r="NUK210"/>
      <c r="NUL210"/>
      <c r="NUM210"/>
      <c r="NUN210"/>
      <c r="NUO210"/>
      <c r="NUP210"/>
      <c r="NUQ210"/>
      <c r="NUR210"/>
      <c r="NUS210"/>
      <c r="NUT210"/>
      <c r="NUU210"/>
      <c r="NUV210"/>
      <c r="NUW210"/>
      <c r="NUX210"/>
      <c r="NUY210"/>
      <c r="NUZ210"/>
      <c r="NVA210"/>
      <c r="NVB210"/>
      <c r="NVC210"/>
      <c r="NVD210"/>
      <c r="NVE210"/>
      <c r="NVF210"/>
      <c r="NVG210"/>
      <c r="NVH210"/>
      <c r="NVI210"/>
      <c r="NVJ210"/>
      <c r="NVK210"/>
      <c r="NVL210"/>
      <c r="NVM210"/>
      <c r="NVN210"/>
      <c r="NVO210"/>
      <c r="NVP210"/>
      <c r="NVQ210"/>
      <c r="NVR210"/>
      <c r="NVS210"/>
      <c r="NVT210"/>
      <c r="NVU210"/>
      <c r="NVV210"/>
      <c r="NVW210"/>
      <c r="NVX210"/>
      <c r="NVY210"/>
      <c r="NVZ210"/>
      <c r="NWA210"/>
      <c r="NWB210"/>
      <c r="NWC210"/>
      <c r="NWD210"/>
      <c r="NWE210"/>
      <c r="NWF210"/>
      <c r="NWG210"/>
      <c r="NWH210"/>
      <c r="NWI210"/>
      <c r="NWJ210"/>
      <c r="NWK210"/>
      <c r="NWL210"/>
      <c r="NWM210"/>
      <c r="NWN210"/>
      <c r="NWO210"/>
      <c r="NWP210"/>
      <c r="NWQ210"/>
      <c r="NWR210"/>
      <c r="NWS210"/>
      <c r="NWT210"/>
      <c r="NWU210"/>
      <c r="NWV210"/>
      <c r="NWW210"/>
      <c r="NWX210"/>
      <c r="NWY210"/>
      <c r="NWZ210"/>
      <c r="NXA210"/>
      <c r="NXB210"/>
      <c r="NXC210"/>
      <c r="NXD210"/>
      <c r="NXE210"/>
      <c r="NXF210"/>
      <c r="NXG210"/>
      <c r="NXH210"/>
      <c r="NXI210"/>
      <c r="NXJ210"/>
      <c r="NXK210"/>
      <c r="NXL210"/>
      <c r="NXM210"/>
      <c r="NXN210"/>
      <c r="NXO210"/>
      <c r="NXP210"/>
      <c r="NXQ210"/>
      <c r="NXR210"/>
      <c r="NXS210"/>
      <c r="NXT210"/>
      <c r="NXU210"/>
      <c r="NXV210"/>
      <c r="NXW210"/>
      <c r="NXX210"/>
      <c r="NXY210"/>
      <c r="NXZ210"/>
      <c r="NYA210"/>
      <c r="NYB210"/>
      <c r="NYC210"/>
      <c r="NYD210"/>
      <c r="NYE210"/>
      <c r="NYF210"/>
      <c r="NYG210"/>
      <c r="NYH210"/>
      <c r="NYI210"/>
      <c r="NYJ210"/>
      <c r="NYK210"/>
      <c r="NYL210"/>
      <c r="NYM210"/>
      <c r="NYN210"/>
      <c r="NYO210"/>
      <c r="NYP210"/>
      <c r="NYQ210"/>
      <c r="NYR210"/>
      <c r="NYS210"/>
      <c r="NYT210"/>
      <c r="NYU210"/>
      <c r="NYV210"/>
      <c r="NYW210"/>
      <c r="NYX210"/>
      <c r="NYY210"/>
      <c r="NYZ210"/>
      <c r="NZA210"/>
      <c r="NZB210"/>
      <c r="NZC210"/>
      <c r="NZD210"/>
      <c r="NZE210"/>
      <c r="NZF210"/>
      <c r="NZG210"/>
      <c r="NZH210"/>
      <c r="NZI210"/>
      <c r="NZJ210"/>
      <c r="NZK210"/>
      <c r="NZL210"/>
      <c r="NZM210"/>
      <c r="NZN210"/>
      <c r="NZO210"/>
      <c r="NZP210"/>
      <c r="NZQ210"/>
      <c r="NZR210"/>
      <c r="NZS210"/>
      <c r="NZT210"/>
      <c r="NZU210"/>
      <c r="NZV210"/>
      <c r="NZW210"/>
      <c r="NZX210"/>
      <c r="NZY210"/>
      <c r="NZZ210"/>
      <c r="OAA210"/>
      <c r="OAB210"/>
      <c r="OAC210"/>
      <c r="OAD210"/>
      <c r="OAE210"/>
      <c r="OAF210"/>
      <c r="OAG210"/>
      <c r="OAH210"/>
      <c r="OAI210"/>
      <c r="OAJ210"/>
      <c r="OAK210"/>
      <c r="OAL210"/>
      <c r="OAM210"/>
      <c r="OAN210"/>
      <c r="OAO210"/>
      <c r="OAP210"/>
      <c r="OAQ210"/>
      <c r="OAR210"/>
      <c r="OAS210"/>
      <c r="OAT210"/>
      <c r="OAU210"/>
      <c r="OAV210"/>
      <c r="OAW210"/>
      <c r="OAX210"/>
      <c r="OAY210"/>
      <c r="OAZ210"/>
      <c r="OBA210"/>
      <c r="OBB210"/>
      <c r="OBC210"/>
      <c r="OBD210"/>
      <c r="OBE210"/>
      <c r="OBF210"/>
      <c r="OBG210"/>
      <c r="OBH210"/>
      <c r="OBI210"/>
      <c r="OBJ210"/>
      <c r="OBK210"/>
      <c r="OBL210"/>
      <c r="OBM210"/>
      <c r="OBN210"/>
      <c r="OBO210"/>
      <c r="OBP210"/>
      <c r="OBQ210"/>
      <c r="OBR210"/>
      <c r="OBS210"/>
      <c r="OBT210"/>
      <c r="OBU210"/>
      <c r="OBV210"/>
      <c r="OBW210"/>
      <c r="OBX210"/>
      <c r="OBY210"/>
      <c r="OBZ210"/>
      <c r="OCA210"/>
      <c r="OCB210"/>
      <c r="OCC210"/>
      <c r="OCD210"/>
      <c r="OCE210"/>
      <c r="OCF210"/>
      <c r="OCG210"/>
      <c r="OCH210"/>
      <c r="OCI210"/>
      <c r="OCJ210"/>
      <c r="OCK210"/>
      <c r="OCL210"/>
      <c r="OCM210"/>
      <c r="OCN210"/>
      <c r="OCO210"/>
      <c r="OCP210"/>
      <c r="OCQ210"/>
      <c r="OCR210"/>
      <c r="OCS210"/>
      <c r="OCT210"/>
      <c r="OCU210"/>
      <c r="OCV210"/>
      <c r="OCW210"/>
      <c r="OCX210"/>
      <c r="OCY210"/>
      <c r="OCZ210"/>
      <c r="ODA210"/>
      <c r="ODB210"/>
      <c r="ODC210"/>
      <c r="ODD210"/>
      <c r="ODE210"/>
      <c r="ODF210"/>
      <c r="ODG210"/>
      <c r="ODH210"/>
      <c r="ODI210"/>
      <c r="ODJ210"/>
      <c r="ODK210"/>
      <c r="ODL210"/>
      <c r="ODM210"/>
      <c r="ODN210"/>
      <c r="ODO210"/>
      <c r="ODP210"/>
      <c r="ODQ210"/>
      <c r="ODR210"/>
      <c r="ODS210"/>
      <c r="ODT210"/>
      <c r="ODU210"/>
      <c r="ODV210"/>
      <c r="ODW210"/>
      <c r="ODX210"/>
      <c r="ODY210"/>
      <c r="ODZ210"/>
      <c r="OEA210"/>
      <c r="OEB210"/>
      <c r="OEC210"/>
      <c r="OED210"/>
      <c r="OEE210"/>
      <c r="OEF210"/>
      <c r="OEG210"/>
      <c r="OEH210"/>
      <c r="OEI210"/>
      <c r="OEJ210"/>
      <c r="OEK210"/>
      <c r="OEL210"/>
      <c r="OEM210"/>
      <c r="OEN210"/>
      <c r="OEO210"/>
      <c r="OEP210"/>
      <c r="OEQ210"/>
      <c r="OER210"/>
      <c r="OES210"/>
      <c r="OET210"/>
      <c r="OEU210"/>
      <c r="OEV210"/>
      <c r="OEW210"/>
      <c r="OEX210"/>
      <c r="OEY210"/>
      <c r="OEZ210"/>
      <c r="OFA210"/>
      <c r="OFB210"/>
      <c r="OFC210"/>
      <c r="OFD210"/>
      <c r="OFE210"/>
      <c r="OFF210"/>
      <c r="OFG210"/>
      <c r="OFH210"/>
      <c r="OFI210"/>
      <c r="OFJ210"/>
      <c r="OFK210"/>
      <c r="OFL210"/>
      <c r="OFM210"/>
      <c r="OFN210"/>
      <c r="OFO210"/>
      <c r="OFP210"/>
      <c r="OFQ210"/>
      <c r="OFR210"/>
      <c r="OFS210"/>
      <c r="OFT210"/>
      <c r="OFU210"/>
      <c r="OFV210"/>
      <c r="OFW210"/>
      <c r="OFX210"/>
      <c r="OFY210"/>
      <c r="OFZ210"/>
      <c r="OGA210"/>
      <c r="OGB210"/>
      <c r="OGC210"/>
      <c r="OGD210"/>
      <c r="OGE210"/>
      <c r="OGF210"/>
      <c r="OGG210"/>
      <c r="OGH210"/>
      <c r="OGI210"/>
      <c r="OGJ210"/>
      <c r="OGK210"/>
      <c r="OGL210"/>
      <c r="OGM210"/>
      <c r="OGN210"/>
      <c r="OGO210"/>
      <c r="OGP210"/>
      <c r="OGQ210"/>
      <c r="OGR210"/>
      <c r="OGS210"/>
      <c r="OGT210"/>
      <c r="OGU210"/>
      <c r="OGV210"/>
      <c r="OGW210"/>
      <c r="OGX210"/>
      <c r="OGY210"/>
      <c r="OGZ210"/>
      <c r="OHA210"/>
      <c r="OHB210"/>
      <c r="OHC210"/>
      <c r="OHD210"/>
      <c r="OHE210"/>
      <c r="OHF210"/>
      <c r="OHG210"/>
      <c r="OHH210"/>
      <c r="OHI210"/>
      <c r="OHJ210"/>
      <c r="OHK210"/>
      <c r="OHL210"/>
      <c r="OHM210"/>
      <c r="OHN210"/>
      <c r="OHO210"/>
      <c r="OHP210"/>
      <c r="OHQ210"/>
      <c r="OHR210"/>
      <c r="OHS210"/>
      <c r="OHT210"/>
      <c r="OHU210"/>
      <c r="OHV210"/>
      <c r="OHW210"/>
      <c r="OHX210"/>
      <c r="OHY210"/>
      <c r="OHZ210"/>
      <c r="OIA210"/>
      <c r="OIB210"/>
      <c r="OIC210"/>
      <c r="OID210"/>
      <c r="OIE210"/>
      <c r="OIF210"/>
      <c r="OIG210"/>
      <c r="OIH210"/>
      <c r="OII210"/>
      <c r="OIJ210"/>
      <c r="OIK210"/>
      <c r="OIL210"/>
      <c r="OIM210"/>
      <c r="OIN210"/>
      <c r="OIO210"/>
      <c r="OIP210"/>
      <c r="OIQ210"/>
      <c r="OIR210"/>
      <c r="OIS210"/>
      <c r="OIT210"/>
      <c r="OIU210"/>
      <c r="OIV210"/>
      <c r="OIW210"/>
      <c r="OIX210"/>
      <c r="OIY210"/>
      <c r="OIZ210"/>
      <c r="OJA210"/>
      <c r="OJB210"/>
      <c r="OJC210"/>
      <c r="OJD210"/>
      <c r="OJE210"/>
      <c r="OJF210"/>
      <c r="OJG210"/>
      <c r="OJH210"/>
      <c r="OJI210"/>
      <c r="OJJ210"/>
      <c r="OJK210"/>
      <c r="OJL210"/>
      <c r="OJM210"/>
      <c r="OJN210"/>
      <c r="OJO210"/>
      <c r="OJP210"/>
      <c r="OJQ210"/>
      <c r="OJR210"/>
      <c r="OJS210"/>
      <c r="OJT210"/>
      <c r="OJU210"/>
      <c r="OJV210"/>
      <c r="OJW210"/>
      <c r="OJX210"/>
      <c r="OJY210"/>
      <c r="OJZ210"/>
      <c r="OKA210"/>
      <c r="OKB210"/>
      <c r="OKC210"/>
      <c r="OKD210"/>
      <c r="OKE210"/>
      <c r="OKF210"/>
      <c r="OKG210"/>
      <c r="OKH210"/>
      <c r="OKI210"/>
      <c r="OKJ210"/>
      <c r="OKK210"/>
      <c r="OKL210"/>
      <c r="OKM210"/>
      <c r="OKN210"/>
      <c r="OKO210"/>
      <c r="OKP210"/>
      <c r="OKQ210"/>
      <c r="OKR210"/>
      <c r="OKS210"/>
      <c r="OKT210"/>
      <c r="OKU210"/>
      <c r="OKV210"/>
      <c r="OKW210"/>
      <c r="OKX210"/>
      <c r="OKY210"/>
      <c r="OKZ210"/>
      <c r="OLA210"/>
      <c r="OLB210"/>
      <c r="OLC210"/>
      <c r="OLD210"/>
      <c r="OLE210"/>
      <c r="OLF210"/>
      <c r="OLG210"/>
      <c r="OLH210"/>
      <c r="OLI210"/>
      <c r="OLJ210"/>
      <c r="OLK210"/>
      <c r="OLL210"/>
      <c r="OLM210"/>
      <c r="OLN210"/>
      <c r="OLO210"/>
      <c r="OLP210"/>
      <c r="OLQ210"/>
      <c r="OLR210"/>
      <c r="OLS210"/>
      <c r="OLT210"/>
      <c r="OLU210"/>
      <c r="OLV210"/>
      <c r="OLW210"/>
      <c r="OLX210"/>
      <c r="OLY210"/>
      <c r="OLZ210"/>
      <c r="OMA210"/>
      <c r="OMB210"/>
      <c r="OMC210"/>
      <c r="OMD210"/>
      <c r="OME210"/>
      <c r="OMF210"/>
      <c r="OMG210"/>
      <c r="OMH210"/>
      <c r="OMI210"/>
      <c r="OMJ210"/>
      <c r="OMK210"/>
      <c r="OML210"/>
      <c r="OMM210"/>
      <c r="OMN210"/>
      <c r="OMO210"/>
      <c r="OMP210"/>
      <c r="OMQ210"/>
      <c r="OMR210"/>
      <c r="OMS210"/>
      <c r="OMT210"/>
      <c r="OMU210"/>
      <c r="OMV210"/>
      <c r="OMW210"/>
      <c r="OMX210"/>
      <c r="OMY210"/>
      <c r="OMZ210"/>
      <c r="ONA210"/>
      <c r="ONB210"/>
      <c r="ONC210"/>
      <c r="OND210"/>
      <c r="ONE210"/>
      <c r="ONF210"/>
      <c r="ONG210"/>
      <c r="ONH210"/>
      <c r="ONI210"/>
      <c r="ONJ210"/>
      <c r="ONK210"/>
      <c r="ONL210"/>
      <c r="ONM210"/>
      <c r="ONN210"/>
      <c r="ONO210"/>
      <c r="ONP210"/>
      <c r="ONQ210"/>
      <c r="ONR210"/>
      <c r="ONS210"/>
      <c r="ONT210"/>
      <c r="ONU210"/>
      <c r="ONV210"/>
      <c r="ONW210"/>
      <c r="ONX210"/>
      <c r="ONY210"/>
      <c r="ONZ210"/>
      <c r="OOA210"/>
      <c r="OOB210"/>
      <c r="OOC210"/>
      <c r="OOD210"/>
      <c r="OOE210"/>
      <c r="OOF210"/>
      <c r="OOG210"/>
      <c r="OOH210"/>
      <c r="OOI210"/>
      <c r="OOJ210"/>
      <c r="OOK210"/>
      <c r="OOL210"/>
      <c r="OOM210"/>
      <c r="OON210"/>
      <c r="OOO210"/>
      <c r="OOP210"/>
      <c r="OOQ210"/>
      <c r="OOR210"/>
      <c r="OOS210"/>
      <c r="OOT210"/>
      <c r="OOU210"/>
      <c r="OOV210"/>
      <c r="OOW210"/>
      <c r="OOX210"/>
      <c r="OOY210"/>
      <c r="OOZ210"/>
      <c r="OPA210"/>
      <c r="OPB210"/>
      <c r="OPC210"/>
      <c r="OPD210"/>
      <c r="OPE210"/>
      <c r="OPF210"/>
      <c r="OPG210"/>
      <c r="OPH210"/>
      <c r="OPI210"/>
      <c r="OPJ210"/>
      <c r="OPK210"/>
      <c r="OPL210"/>
      <c r="OPM210"/>
      <c r="OPN210"/>
      <c r="OPO210"/>
      <c r="OPP210"/>
      <c r="OPQ210"/>
      <c r="OPR210"/>
      <c r="OPS210"/>
      <c r="OPT210"/>
      <c r="OPU210"/>
      <c r="OPV210"/>
      <c r="OPW210"/>
      <c r="OPX210"/>
      <c r="OPY210"/>
      <c r="OPZ210"/>
      <c r="OQA210"/>
      <c r="OQB210"/>
      <c r="OQC210"/>
      <c r="OQD210"/>
      <c r="OQE210"/>
      <c r="OQF210"/>
      <c r="OQG210"/>
      <c r="OQH210"/>
      <c r="OQI210"/>
      <c r="OQJ210"/>
      <c r="OQK210"/>
      <c r="OQL210"/>
      <c r="OQM210"/>
      <c r="OQN210"/>
      <c r="OQO210"/>
      <c r="OQP210"/>
      <c r="OQQ210"/>
      <c r="OQR210"/>
      <c r="OQS210"/>
      <c r="OQT210"/>
      <c r="OQU210"/>
      <c r="OQV210"/>
      <c r="OQW210"/>
      <c r="OQX210"/>
      <c r="OQY210"/>
      <c r="OQZ210"/>
      <c r="ORA210"/>
      <c r="ORB210"/>
      <c r="ORC210"/>
      <c r="ORD210"/>
      <c r="ORE210"/>
      <c r="ORF210"/>
      <c r="ORG210"/>
      <c r="ORH210"/>
      <c r="ORI210"/>
      <c r="ORJ210"/>
      <c r="ORK210"/>
      <c r="ORL210"/>
      <c r="ORM210"/>
      <c r="ORN210"/>
      <c r="ORO210"/>
      <c r="ORP210"/>
      <c r="ORQ210"/>
      <c r="ORR210"/>
      <c r="ORS210"/>
      <c r="ORT210"/>
      <c r="ORU210"/>
      <c r="ORV210"/>
      <c r="ORW210"/>
      <c r="ORX210"/>
      <c r="ORY210"/>
      <c r="ORZ210"/>
      <c r="OSA210"/>
      <c r="OSB210"/>
      <c r="OSC210"/>
      <c r="OSD210"/>
      <c r="OSE210"/>
      <c r="OSF210"/>
      <c r="OSG210"/>
      <c r="OSH210"/>
      <c r="OSI210"/>
      <c r="OSJ210"/>
      <c r="OSK210"/>
      <c r="OSL210"/>
      <c r="OSM210"/>
      <c r="OSN210"/>
      <c r="OSO210"/>
      <c r="OSP210"/>
      <c r="OSQ210"/>
      <c r="OSR210"/>
      <c r="OSS210"/>
      <c r="OST210"/>
      <c r="OSU210"/>
      <c r="OSV210"/>
      <c r="OSW210"/>
      <c r="OSX210"/>
      <c r="OSY210"/>
      <c r="OSZ210"/>
      <c r="OTA210"/>
      <c r="OTB210"/>
      <c r="OTC210"/>
      <c r="OTD210"/>
      <c r="OTE210"/>
      <c r="OTF210"/>
      <c r="OTG210"/>
      <c r="OTH210"/>
      <c r="OTI210"/>
      <c r="OTJ210"/>
      <c r="OTK210"/>
      <c r="OTL210"/>
      <c r="OTM210"/>
      <c r="OTN210"/>
      <c r="OTO210"/>
      <c r="OTP210"/>
      <c r="OTQ210"/>
      <c r="OTR210"/>
      <c r="OTS210"/>
      <c r="OTT210"/>
      <c r="OTU210"/>
      <c r="OTV210"/>
      <c r="OTW210"/>
      <c r="OTX210"/>
      <c r="OTY210"/>
      <c r="OTZ210"/>
      <c r="OUA210"/>
      <c r="OUB210"/>
      <c r="OUC210"/>
      <c r="OUD210"/>
      <c r="OUE210"/>
      <c r="OUF210"/>
      <c r="OUG210"/>
      <c r="OUH210"/>
      <c r="OUI210"/>
      <c r="OUJ210"/>
      <c r="OUK210"/>
      <c r="OUL210"/>
      <c r="OUM210"/>
      <c r="OUN210"/>
      <c r="OUO210"/>
      <c r="OUP210"/>
      <c r="OUQ210"/>
      <c r="OUR210"/>
      <c r="OUS210"/>
      <c r="OUT210"/>
      <c r="OUU210"/>
      <c r="OUV210"/>
      <c r="OUW210"/>
      <c r="OUX210"/>
      <c r="OUY210"/>
      <c r="OUZ210"/>
      <c r="OVA210"/>
      <c r="OVB210"/>
      <c r="OVC210"/>
      <c r="OVD210"/>
      <c r="OVE210"/>
      <c r="OVF210"/>
      <c r="OVG210"/>
      <c r="OVH210"/>
      <c r="OVI210"/>
      <c r="OVJ210"/>
      <c r="OVK210"/>
      <c r="OVL210"/>
      <c r="OVM210"/>
      <c r="OVN210"/>
      <c r="OVO210"/>
      <c r="OVP210"/>
      <c r="OVQ210"/>
      <c r="OVR210"/>
      <c r="OVS210"/>
      <c r="OVT210"/>
      <c r="OVU210"/>
      <c r="OVV210"/>
      <c r="OVW210"/>
      <c r="OVX210"/>
      <c r="OVY210"/>
      <c r="OVZ210"/>
      <c r="OWA210"/>
      <c r="OWB210"/>
      <c r="OWC210"/>
      <c r="OWD210"/>
      <c r="OWE210"/>
      <c r="OWF210"/>
      <c r="OWG210"/>
      <c r="OWH210"/>
      <c r="OWI210"/>
      <c r="OWJ210"/>
      <c r="OWK210"/>
      <c r="OWL210"/>
      <c r="OWM210"/>
      <c r="OWN210"/>
      <c r="OWO210"/>
      <c r="OWP210"/>
      <c r="OWQ210"/>
      <c r="OWR210"/>
      <c r="OWS210"/>
      <c r="OWT210"/>
      <c r="OWU210"/>
      <c r="OWV210"/>
      <c r="OWW210"/>
      <c r="OWX210"/>
      <c r="OWY210"/>
      <c r="OWZ210"/>
      <c r="OXA210"/>
      <c r="OXB210"/>
      <c r="OXC210"/>
      <c r="OXD210"/>
      <c r="OXE210"/>
      <c r="OXF210"/>
      <c r="OXG210"/>
      <c r="OXH210"/>
      <c r="OXI210"/>
      <c r="OXJ210"/>
      <c r="OXK210"/>
      <c r="OXL210"/>
      <c r="OXM210"/>
      <c r="OXN210"/>
      <c r="OXO210"/>
      <c r="OXP210"/>
      <c r="OXQ210"/>
      <c r="OXR210"/>
      <c r="OXS210"/>
      <c r="OXT210"/>
      <c r="OXU210"/>
      <c r="OXV210"/>
      <c r="OXW210"/>
      <c r="OXX210"/>
      <c r="OXY210"/>
      <c r="OXZ210"/>
      <c r="OYA210"/>
      <c r="OYB210"/>
      <c r="OYC210"/>
      <c r="OYD210"/>
      <c r="OYE210"/>
      <c r="OYF210"/>
      <c r="OYG210"/>
      <c r="OYH210"/>
      <c r="OYI210"/>
      <c r="OYJ210"/>
      <c r="OYK210"/>
      <c r="OYL210"/>
      <c r="OYM210"/>
      <c r="OYN210"/>
      <c r="OYO210"/>
      <c r="OYP210"/>
      <c r="OYQ210"/>
      <c r="OYR210"/>
      <c r="OYS210"/>
      <c r="OYT210"/>
      <c r="OYU210"/>
      <c r="OYV210"/>
      <c r="OYW210"/>
      <c r="OYX210"/>
      <c r="OYY210"/>
      <c r="OYZ210"/>
      <c r="OZA210"/>
      <c r="OZB210"/>
      <c r="OZC210"/>
      <c r="OZD210"/>
      <c r="OZE210"/>
      <c r="OZF210"/>
      <c r="OZG210"/>
      <c r="OZH210"/>
      <c r="OZI210"/>
      <c r="OZJ210"/>
      <c r="OZK210"/>
      <c r="OZL210"/>
      <c r="OZM210"/>
      <c r="OZN210"/>
      <c r="OZO210"/>
      <c r="OZP210"/>
      <c r="OZQ210"/>
      <c r="OZR210"/>
      <c r="OZS210"/>
      <c r="OZT210"/>
      <c r="OZU210"/>
      <c r="OZV210"/>
      <c r="OZW210"/>
      <c r="OZX210"/>
      <c r="OZY210"/>
      <c r="OZZ210"/>
      <c r="PAA210"/>
      <c r="PAB210"/>
      <c r="PAC210"/>
      <c r="PAD210"/>
      <c r="PAE210"/>
      <c r="PAF210"/>
      <c r="PAG210"/>
      <c r="PAH210"/>
      <c r="PAI210"/>
      <c r="PAJ210"/>
      <c r="PAK210"/>
      <c r="PAL210"/>
      <c r="PAM210"/>
      <c r="PAN210"/>
      <c r="PAO210"/>
      <c r="PAP210"/>
      <c r="PAQ210"/>
      <c r="PAR210"/>
      <c r="PAS210"/>
      <c r="PAT210"/>
      <c r="PAU210"/>
      <c r="PAV210"/>
      <c r="PAW210"/>
      <c r="PAX210"/>
      <c r="PAY210"/>
      <c r="PAZ210"/>
      <c r="PBA210"/>
      <c r="PBB210"/>
      <c r="PBC210"/>
      <c r="PBD210"/>
      <c r="PBE210"/>
      <c r="PBF210"/>
      <c r="PBG210"/>
      <c r="PBH210"/>
      <c r="PBI210"/>
      <c r="PBJ210"/>
      <c r="PBK210"/>
      <c r="PBL210"/>
      <c r="PBM210"/>
      <c r="PBN210"/>
      <c r="PBO210"/>
      <c r="PBP210"/>
      <c r="PBQ210"/>
      <c r="PBR210"/>
      <c r="PBS210"/>
      <c r="PBT210"/>
      <c r="PBU210"/>
      <c r="PBV210"/>
      <c r="PBW210"/>
      <c r="PBX210"/>
      <c r="PBY210"/>
      <c r="PBZ210"/>
      <c r="PCA210"/>
      <c r="PCB210"/>
      <c r="PCC210"/>
      <c r="PCD210"/>
      <c r="PCE210"/>
      <c r="PCF210"/>
      <c r="PCG210"/>
      <c r="PCH210"/>
      <c r="PCI210"/>
      <c r="PCJ210"/>
      <c r="PCK210"/>
      <c r="PCL210"/>
      <c r="PCM210"/>
      <c r="PCN210"/>
      <c r="PCO210"/>
      <c r="PCP210"/>
      <c r="PCQ210"/>
      <c r="PCR210"/>
      <c r="PCS210"/>
      <c r="PCT210"/>
      <c r="PCU210"/>
      <c r="PCV210"/>
      <c r="PCW210"/>
      <c r="PCX210"/>
      <c r="PCY210"/>
      <c r="PCZ210"/>
      <c r="PDA210"/>
      <c r="PDB210"/>
      <c r="PDC210"/>
      <c r="PDD210"/>
      <c r="PDE210"/>
      <c r="PDF210"/>
      <c r="PDG210"/>
      <c r="PDH210"/>
      <c r="PDI210"/>
      <c r="PDJ210"/>
      <c r="PDK210"/>
      <c r="PDL210"/>
      <c r="PDM210"/>
      <c r="PDN210"/>
      <c r="PDO210"/>
      <c r="PDP210"/>
      <c r="PDQ210"/>
      <c r="PDR210"/>
      <c r="PDS210"/>
      <c r="PDT210"/>
      <c r="PDU210"/>
      <c r="PDV210"/>
      <c r="PDW210"/>
      <c r="PDX210"/>
      <c r="PDY210"/>
      <c r="PDZ210"/>
      <c r="PEA210"/>
      <c r="PEB210"/>
      <c r="PEC210"/>
      <c r="PED210"/>
      <c r="PEE210"/>
      <c r="PEF210"/>
      <c r="PEG210"/>
      <c r="PEH210"/>
      <c r="PEI210"/>
      <c r="PEJ210"/>
      <c r="PEK210"/>
      <c r="PEL210"/>
      <c r="PEM210"/>
      <c r="PEN210"/>
      <c r="PEO210"/>
      <c r="PEP210"/>
      <c r="PEQ210"/>
      <c r="PER210"/>
      <c r="PES210"/>
      <c r="PET210"/>
      <c r="PEU210"/>
      <c r="PEV210"/>
      <c r="PEW210"/>
      <c r="PEX210"/>
      <c r="PEY210"/>
      <c r="PEZ210"/>
      <c r="PFA210"/>
      <c r="PFB210"/>
      <c r="PFC210"/>
      <c r="PFD210"/>
      <c r="PFE210"/>
      <c r="PFF210"/>
      <c r="PFG210"/>
      <c r="PFH210"/>
      <c r="PFI210"/>
      <c r="PFJ210"/>
      <c r="PFK210"/>
      <c r="PFL210"/>
      <c r="PFM210"/>
      <c r="PFN210"/>
      <c r="PFO210"/>
      <c r="PFP210"/>
      <c r="PFQ210"/>
      <c r="PFR210"/>
      <c r="PFS210"/>
      <c r="PFT210"/>
      <c r="PFU210"/>
      <c r="PFV210"/>
      <c r="PFW210"/>
      <c r="PFX210"/>
      <c r="PFY210"/>
      <c r="PFZ210"/>
      <c r="PGA210"/>
      <c r="PGB210"/>
      <c r="PGC210"/>
      <c r="PGD210"/>
      <c r="PGE210"/>
      <c r="PGF210"/>
      <c r="PGG210"/>
      <c r="PGH210"/>
      <c r="PGI210"/>
      <c r="PGJ210"/>
      <c r="PGK210"/>
      <c r="PGL210"/>
      <c r="PGM210"/>
      <c r="PGN210"/>
      <c r="PGO210"/>
      <c r="PGP210"/>
      <c r="PGQ210"/>
      <c r="PGR210"/>
      <c r="PGS210"/>
      <c r="PGT210"/>
      <c r="PGU210"/>
      <c r="PGV210"/>
      <c r="PGW210"/>
      <c r="PGX210"/>
      <c r="PGY210"/>
      <c r="PGZ210"/>
      <c r="PHA210"/>
      <c r="PHB210"/>
      <c r="PHC210"/>
      <c r="PHD210"/>
      <c r="PHE210"/>
      <c r="PHF210"/>
      <c r="PHG210"/>
      <c r="PHH210"/>
      <c r="PHI210"/>
      <c r="PHJ210"/>
      <c r="PHK210"/>
      <c r="PHL210"/>
      <c r="PHM210"/>
      <c r="PHN210"/>
      <c r="PHO210"/>
      <c r="PHP210"/>
      <c r="PHQ210"/>
      <c r="PHR210"/>
      <c r="PHS210"/>
      <c r="PHT210"/>
      <c r="PHU210"/>
      <c r="PHV210"/>
      <c r="PHW210"/>
      <c r="PHX210"/>
      <c r="PHY210"/>
      <c r="PHZ210"/>
      <c r="PIA210"/>
      <c r="PIB210"/>
      <c r="PIC210"/>
      <c r="PID210"/>
      <c r="PIE210"/>
      <c r="PIF210"/>
      <c r="PIG210"/>
      <c r="PIH210"/>
      <c r="PII210"/>
      <c r="PIJ210"/>
      <c r="PIK210"/>
      <c r="PIL210"/>
      <c r="PIM210"/>
      <c r="PIN210"/>
      <c r="PIO210"/>
      <c r="PIP210"/>
      <c r="PIQ210"/>
      <c r="PIR210"/>
      <c r="PIS210"/>
      <c r="PIT210"/>
      <c r="PIU210"/>
      <c r="PIV210"/>
      <c r="PIW210"/>
      <c r="PIX210"/>
      <c r="PIY210"/>
      <c r="PIZ210"/>
      <c r="PJA210"/>
      <c r="PJB210"/>
      <c r="PJC210"/>
      <c r="PJD210"/>
      <c r="PJE210"/>
      <c r="PJF210"/>
      <c r="PJG210"/>
      <c r="PJH210"/>
      <c r="PJI210"/>
      <c r="PJJ210"/>
      <c r="PJK210"/>
      <c r="PJL210"/>
      <c r="PJM210"/>
      <c r="PJN210"/>
      <c r="PJO210"/>
      <c r="PJP210"/>
      <c r="PJQ210"/>
      <c r="PJR210"/>
      <c r="PJS210"/>
      <c r="PJT210"/>
      <c r="PJU210"/>
      <c r="PJV210"/>
      <c r="PJW210"/>
      <c r="PJX210"/>
      <c r="PJY210"/>
      <c r="PJZ210"/>
      <c r="PKA210"/>
      <c r="PKB210"/>
      <c r="PKC210"/>
      <c r="PKD210"/>
      <c r="PKE210"/>
      <c r="PKF210"/>
      <c r="PKG210"/>
      <c r="PKH210"/>
      <c r="PKI210"/>
      <c r="PKJ210"/>
      <c r="PKK210"/>
      <c r="PKL210"/>
      <c r="PKM210"/>
      <c r="PKN210"/>
      <c r="PKO210"/>
      <c r="PKP210"/>
      <c r="PKQ210"/>
      <c r="PKR210"/>
      <c r="PKS210"/>
      <c r="PKT210"/>
      <c r="PKU210"/>
      <c r="PKV210"/>
      <c r="PKW210"/>
      <c r="PKX210"/>
      <c r="PKY210"/>
      <c r="PKZ210"/>
      <c r="PLA210"/>
      <c r="PLB210"/>
      <c r="PLC210"/>
      <c r="PLD210"/>
      <c r="PLE210"/>
      <c r="PLF210"/>
      <c r="PLG210"/>
      <c r="PLH210"/>
      <c r="PLI210"/>
      <c r="PLJ210"/>
      <c r="PLK210"/>
      <c r="PLL210"/>
      <c r="PLM210"/>
      <c r="PLN210"/>
      <c r="PLO210"/>
      <c r="PLP210"/>
      <c r="PLQ210"/>
      <c r="PLR210"/>
      <c r="PLS210"/>
      <c r="PLT210"/>
      <c r="PLU210"/>
      <c r="PLV210"/>
      <c r="PLW210"/>
      <c r="PLX210"/>
      <c r="PLY210"/>
      <c r="PLZ210"/>
      <c r="PMA210"/>
      <c r="PMB210"/>
      <c r="PMC210"/>
      <c r="PMD210"/>
      <c r="PME210"/>
      <c r="PMF210"/>
      <c r="PMG210"/>
      <c r="PMH210"/>
      <c r="PMI210"/>
      <c r="PMJ210"/>
      <c r="PMK210"/>
      <c r="PML210"/>
      <c r="PMM210"/>
      <c r="PMN210"/>
      <c r="PMO210"/>
      <c r="PMP210"/>
      <c r="PMQ210"/>
      <c r="PMR210"/>
      <c r="PMS210"/>
      <c r="PMT210"/>
      <c r="PMU210"/>
      <c r="PMV210"/>
      <c r="PMW210"/>
      <c r="PMX210"/>
      <c r="PMY210"/>
      <c r="PMZ210"/>
      <c r="PNA210"/>
      <c r="PNB210"/>
      <c r="PNC210"/>
      <c r="PND210"/>
      <c r="PNE210"/>
      <c r="PNF210"/>
      <c r="PNG210"/>
      <c r="PNH210"/>
      <c r="PNI210"/>
      <c r="PNJ210"/>
      <c r="PNK210"/>
      <c r="PNL210"/>
      <c r="PNM210"/>
      <c r="PNN210"/>
      <c r="PNO210"/>
      <c r="PNP210"/>
      <c r="PNQ210"/>
      <c r="PNR210"/>
      <c r="PNS210"/>
      <c r="PNT210"/>
      <c r="PNU210"/>
      <c r="PNV210"/>
      <c r="PNW210"/>
      <c r="PNX210"/>
      <c r="PNY210"/>
      <c r="PNZ210"/>
      <c r="POA210"/>
      <c r="POB210"/>
      <c r="POC210"/>
      <c r="POD210"/>
      <c r="POE210"/>
      <c r="POF210"/>
      <c r="POG210"/>
      <c r="POH210"/>
      <c r="POI210"/>
      <c r="POJ210"/>
      <c r="POK210"/>
      <c r="POL210"/>
      <c r="POM210"/>
      <c r="PON210"/>
      <c r="POO210"/>
      <c r="POP210"/>
      <c r="POQ210"/>
      <c r="POR210"/>
      <c r="POS210"/>
      <c r="POT210"/>
      <c r="POU210"/>
      <c r="POV210"/>
      <c r="POW210"/>
      <c r="POX210"/>
      <c r="POY210"/>
      <c r="POZ210"/>
      <c r="PPA210"/>
      <c r="PPB210"/>
      <c r="PPC210"/>
      <c r="PPD210"/>
      <c r="PPE210"/>
      <c r="PPF210"/>
      <c r="PPG210"/>
      <c r="PPH210"/>
      <c r="PPI210"/>
      <c r="PPJ210"/>
      <c r="PPK210"/>
      <c r="PPL210"/>
      <c r="PPM210"/>
      <c r="PPN210"/>
      <c r="PPO210"/>
      <c r="PPP210"/>
      <c r="PPQ210"/>
      <c r="PPR210"/>
      <c r="PPS210"/>
      <c r="PPT210"/>
      <c r="PPU210"/>
      <c r="PPV210"/>
      <c r="PPW210"/>
      <c r="PPX210"/>
      <c r="PPY210"/>
      <c r="PPZ210"/>
      <c r="PQA210"/>
      <c r="PQB210"/>
      <c r="PQC210"/>
      <c r="PQD210"/>
      <c r="PQE210"/>
      <c r="PQF210"/>
      <c r="PQG210"/>
      <c r="PQH210"/>
      <c r="PQI210"/>
      <c r="PQJ210"/>
      <c r="PQK210"/>
      <c r="PQL210"/>
      <c r="PQM210"/>
      <c r="PQN210"/>
      <c r="PQO210"/>
      <c r="PQP210"/>
      <c r="PQQ210"/>
      <c r="PQR210"/>
      <c r="PQS210"/>
      <c r="PQT210"/>
      <c r="PQU210"/>
      <c r="PQV210"/>
      <c r="PQW210"/>
      <c r="PQX210"/>
      <c r="PQY210"/>
      <c r="PQZ210"/>
      <c r="PRA210"/>
      <c r="PRB210"/>
      <c r="PRC210"/>
      <c r="PRD210"/>
      <c r="PRE210"/>
      <c r="PRF210"/>
      <c r="PRG210"/>
      <c r="PRH210"/>
      <c r="PRI210"/>
      <c r="PRJ210"/>
      <c r="PRK210"/>
      <c r="PRL210"/>
      <c r="PRM210"/>
      <c r="PRN210"/>
      <c r="PRO210"/>
      <c r="PRP210"/>
      <c r="PRQ210"/>
      <c r="PRR210"/>
      <c r="PRS210"/>
      <c r="PRT210"/>
      <c r="PRU210"/>
      <c r="PRV210"/>
      <c r="PRW210"/>
      <c r="PRX210"/>
      <c r="PRY210"/>
      <c r="PRZ210"/>
      <c r="PSA210"/>
      <c r="PSB210"/>
      <c r="PSC210"/>
      <c r="PSD210"/>
      <c r="PSE210"/>
      <c r="PSF210"/>
      <c r="PSG210"/>
      <c r="PSH210"/>
      <c r="PSI210"/>
      <c r="PSJ210"/>
      <c r="PSK210"/>
      <c r="PSL210"/>
      <c r="PSM210"/>
      <c r="PSN210"/>
      <c r="PSO210"/>
      <c r="PSP210"/>
      <c r="PSQ210"/>
      <c r="PSR210"/>
      <c r="PSS210"/>
      <c r="PST210"/>
      <c r="PSU210"/>
      <c r="PSV210"/>
      <c r="PSW210"/>
      <c r="PSX210"/>
      <c r="PSY210"/>
      <c r="PSZ210"/>
      <c r="PTA210"/>
      <c r="PTB210"/>
      <c r="PTC210"/>
      <c r="PTD210"/>
      <c r="PTE210"/>
      <c r="PTF210"/>
      <c r="PTG210"/>
      <c r="PTH210"/>
      <c r="PTI210"/>
      <c r="PTJ210"/>
      <c r="PTK210"/>
      <c r="PTL210"/>
      <c r="PTM210"/>
      <c r="PTN210"/>
      <c r="PTO210"/>
      <c r="PTP210"/>
      <c r="PTQ210"/>
      <c r="PTR210"/>
      <c r="PTS210"/>
      <c r="PTT210"/>
      <c r="PTU210"/>
      <c r="PTV210"/>
      <c r="PTW210"/>
      <c r="PTX210"/>
      <c r="PTY210"/>
      <c r="PTZ210"/>
      <c r="PUA210"/>
      <c r="PUB210"/>
      <c r="PUC210"/>
      <c r="PUD210"/>
      <c r="PUE210"/>
      <c r="PUF210"/>
      <c r="PUG210"/>
      <c r="PUH210"/>
      <c r="PUI210"/>
      <c r="PUJ210"/>
      <c r="PUK210"/>
      <c r="PUL210"/>
      <c r="PUM210"/>
      <c r="PUN210"/>
      <c r="PUO210"/>
      <c r="PUP210"/>
      <c r="PUQ210"/>
      <c r="PUR210"/>
      <c r="PUS210"/>
      <c r="PUT210"/>
      <c r="PUU210"/>
      <c r="PUV210"/>
      <c r="PUW210"/>
      <c r="PUX210"/>
      <c r="PUY210"/>
      <c r="PUZ210"/>
      <c r="PVA210"/>
      <c r="PVB210"/>
      <c r="PVC210"/>
      <c r="PVD210"/>
      <c r="PVE210"/>
      <c r="PVF210"/>
      <c r="PVG210"/>
      <c r="PVH210"/>
      <c r="PVI210"/>
      <c r="PVJ210"/>
      <c r="PVK210"/>
      <c r="PVL210"/>
      <c r="PVM210"/>
      <c r="PVN210"/>
      <c r="PVO210"/>
      <c r="PVP210"/>
      <c r="PVQ210"/>
      <c r="PVR210"/>
      <c r="PVS210"/>
      <c r="PVT210"/>
      <c r="PVU210"/>
      <c r="PVV210"/>
      <c r="PVW210"/>
      <c r="PVX210"/>
      <c r="PVY210"/>
      <c r="PVZ210"/>
      <c r="PWA210"/>
      <c r="PWB210"/>
      <c r="PWC210"/>
      <c r="PWD210"/>
      <c r="PWE210"/>
      <c r="PWF210"/>
      <c r="PWG210"/>
      <c r="PWH210"/>
      <c r="PWI210"/>
      <c r="PWJ210"/>
      <c r="PWK210"/>
      <c r="PWL210"/>
      <c r="PWM210"/>
      <c r="PWN210"/>
      <c r="PWO210"/>
      <c r="PWP210"/>
      <c r="PWQ210"/>
      <c r="PWR210"/>
      <c r="PWS210"/>
      <c r="PWT210"/>
      <c r="PWU210"/>
      <c r="PWV210"/>
      <c r="PWW210"/>
      <c r="PWX210"/>
      <c r="PWY210"/>
      <c r="PWZ210"/>
      <c r="PXA210"/>
      <c r="PXB210"/>
      <c r="PXC210"/>
      <c r="PXD210"/>
      <c r="PXE210"/>
      <c r="PXF210"/>
      <c r="PXG210"/>
      <c r="PXH210"/>
      <c r="PXI210"/>
      <c r="PXJ210"/>
      <c r="PXK210"/>
      <c r="PXL210"/>
      <c r="PXM210"/>
      <c r="PXN210"/>
      <c r="PXO210"/>
      <c r="PXP210"/>
      <c r="PXQ210"/>
      <c r="PXR210"/>
      <c r="PXS210"/>
      <c r="PXT210"/>
      <c r="PXU210"/>
      <c r="PXV210"/>
      <c r="PXW210"/>
      <c r="PXX210"/>
      <c r="PXY210"/>
      <c r="PXZ210"/>
      <c r="PYA210"/>
      <c r="PYB210"/>
      <c r="PYC210"/>
      <c r="PYD210"/>
      <c r="PYE210"/>
      <c r="PYF210"/>
      <c r="PYG210"/>
      <c r="PYH210"/>
      <c r="PYI210"/>
      <c r="PYJ210"/>
      <c r="PYK210"/>
      <c r="PYL210"/>
      <c r="PYM210"/>
      <c r="PYN210"/>
      <c r="PYO210"/>
      <c r="PYP210"/>
      <c r="PYQ210"/>
      <c r="PYR210"/>
      <c r="PYS210"/>
      <c r="PYT210"/>
      <c r="PYU210"/>
      <c r="PYV210"/>
      <c r="PYW210"/>
      <c r="PYX210"/>
      <c r="PYY210"/>
      <c r="PYZ210"/>
      <c r="PZA210"/>
      <c r="PZB210"/>
      <c r="PZC210"/>
      <c r="PZD210"/>
      <c r="PZE210"/>
      <c r="PZF210"/>
      <c r="PZG210"/>
      <c r="PZH210"/>
      <c r="PZI210"/>
      <c r="PZJ210"/>
      <c r="PZK210"/>
      <c r="PZL210"/>
      <c r="PZM210"/>
      <c r="PZN210"/>
      <c r="PZO210"/>
      <c r="PZP210"/>
      <c r="PZQ210"/>
      <c r="PZR210"/>
      <c r="PZS210"/>
      <c r="PZT210"/>
      <c r="PZU210"/>
      <c r="PZV210"/>
      <c r="PZW210"/>
      <c r="PZX210"/>
      <c r="PZY210"/>
      <c r="PZZ210"/>
      <c r="QAA210"/>
      <c r="QAB210"/>
      <c r="QAC210"/>
      <c r="QAD210"/>
      <c r="QAE210"/>
      <c r="QAF210"/>
      <c r="QAG210"/>
      <c r="QAH210"/>
      <c r="QAI210"/>
      <c r="QAJ210"/>
      <c r="QAK210"/>
      <c r="QAL210"/>
      <c r="QAM210"/>
      <c r="QAN210"/>
      <c r="QAO210"/>
      <c r="QAP210"/>
      <c r="QAQ210"/>
      <c r="QAR210"/>
      <c r="QAS210"/>
      <c r="QAT210"/>
      <c r="QAU210"/>
      <c r="QAV210"/>
      <c r="QAW210"/>
      <c r="QAX210"/>
      <c r="QAY210"/>
      <c r="QAZ210"/>
      <c r="QBA210"/>
      <c r="QBB210"/>
      <c r="QBC210"/>
      <c r="QBD210"/>
      <c r="QBE210"/>
      <c r="QBF210"/>
      <c r="QBG210"/>
      <c r="QBH210"/>
      <c r="QBI210"/>
      <c r="QBJ210"/>
      <c r="QBK210"/>
      <c r="QBL210"/>
      <c r="QBM210"/>
      <c r="QBN210"/>
      <c r="QBO210"/>
      <c r="QBP210"/>
      <c r="QBQ210"/>
      <c r="QBR210"/>
      <c r="QBS210"/>
      <c r="QBT210"/>
      <c r="QBU210"/>
      <c r="QBV210"/>
      <c r="QBW210"/>
      <c r="QBX210"/>
      <c r="QBY210"/>
      <c r="QBZ210"/>
      <c r="QCA210"/>
      <c r="QCB210"/>
      <c r="QCC210"/>
      <c r="QCD210"/>
      <c r="QCE210"/>
      <c r="QCF210"/>
      <c r="QCG210"/>
      <c r="QCH210"/>
      <c r="QCI210"/>
      <c r="QCJ210"/>
      <c r="QCK210"/>
      <c r="QCL210"/>
      <c r="QCM210"/>
      <c r="QCN210"/>
      <c r="QCO210"/>
      <c r="QCP210"/>
      <c r="QCQ210"/>
      <c r="QCR210"/>
      <c r="QCS210"/>
      <c r="QCT210"/>
      <c r="QCU210"/>
      <c r="QCV210"/>
      <c r="QCW210"/>
      <c r="QCX210"/>
      <c r="QCY210"/>
      <c r="QCZ210"/>
      <c r="QDA210"/>
      <c r="QDB210"/>
      <c r="QDC210"/>
      <c r="QDD210"/>
      <c r="QDE210"/>
      <c r="QDF210"/>
      <c r="QDG210"/>
      <c r="QDH210"/>
      <c r="QDI210"/>
      <c r="QDJ210"/>
      <c r="QDK210"/>
      <c r="QDL210"/>
      <c r="QDM210"/>
      <c r="QDN210"/>
      <c r="QDO210"/>
      <c r="QDP210"/>
      <c r="QDQ210"/>
      <c r="QDR210"/>
      <c r="QDS210"/>
      <c r="QDT210"/>
      <c r="QDU210"/>
      <c r="QDV210"/>
      <c r="QDW210"/>
      <c r="QDX210"/>
      <c r="QDY210"/>
      <c r="QDZ210"/>
      <c r="QEA210"/>
      <c r="QEB210"/>
      <c r="QEC210"/>
      <c r="QED210"/>
      <c r="QEE210"/>
      <c r="QEF210"/>
      <c r="QEG210"/>
      <c r="QEH210"/>
      <c r="QEI210"/>
      <c r="QEJ210"/>
      <c r="QEK210"/>
      <c r="QEL210"/>
      <c r="QEM210"/>
      <c r="QEN210"/>
      <c r="QEO210"/>
      <c r="QEP210"/>
      <c r="QEQ210"/>
      <c r="QER210"/>
      <c r="QES210"/>
      <c r="QET210"/>
      <c r="QEU210"/>
      <c r="QEV210"/>
      <c r="QEW210"/>
      <c r="QEX210"/>
      <c r="QEY210"/>
      <c r="QEZ210"/>
      <c r="QFA210"/>
      <c r="QFB210"/>
      <c r="QFC210"/>
      <c r="QFD210"/>
      <c r="QFE210"/>
      <c r="QFF210"/>
      <c r="QFG210"/>
      <c r="QFH210"/>
      <c r="QFI210"/>
      <c r="QFJ210"/>
      <c r="QFK210"/>
      <c r="QFL210"/>
      <c r="QFM210"/>
      <c r="QFN210"/>
      <c r="QFO210"/>
      <c r="QFP210"/>
      <c r="QFQ210"/>
      <c r="QFR210"/>
      <c r="QFS210"/>
      <c r="QFT210"/>
      <c r="QFU210"/>
      <c r="QFV210"/>
      <c r="QFW210"/>
      <c r="QFX210"/>
      <c r="QFY210"/>
      <c r="QFZ210"/>
      <c r="QGA210"/>
      <c r="QGB210"/>
      <c r="QGC210"/>
      <c r="QGD210"/>
      <c r="QGE210"/>
      <c r="QGF210"/>
      <c r="QGG210"/>
      <c r="QGH210"/>
      <c r="QGI210"/>
      <c r="QGJ210"/>
      <c r="QGK210"/>
      <c r="QGL210"/>
      <c r="QGM210"/>
      <c r="QGN210"/>
      <c r="QGO210"/>
      <c r="QGP210"/>
      <c r="QGQ210"/>
      <c r="QGR210"/>
      <c r="QGS210"/>
      <c r="QGT210"/>
      <c r="QGU210"/>
      <c r="QGV210"/>
      <c r="QGW210"/>
      <c r="QGX210"/>
      <c r="QGY210"/>
      <c r="QGZ210"/>
      <c r="QHA210"/>
      <c r="QHB210"/>
      <c r="QHC210"/>
      <c r="QHD210"/>
      <c r="QHE210"/>
      <c r="QHF210"/>
      <c r="QHG210"/>
      <c r="QHH210"/>
      <c r="QHI210"/>
      <c r="QHJ210"/>
      <c r="QHK210"/>
      <c r="QHL210"/>
      <c r="QHM210"/>
      <c r="QHN210"/>
      <c r="QHO210"/>
      <c r="QHP210"/>
      <c r="QHQ210"/>
      <c r="QHR210"/>
      <c r="QHS210"/>
      <c r="QHT210"/>
      <c r="QHU210"/>
      <c r="QHV210"/>
      <c r="QHW210"/>
      <c r="QHX210"/>
      <c r="QHY210"/>
      <c r="QHZ210"/>
      <c r="QIA210"/>
      <c r="QIB210"/>
      <c r="QIC210"/>
      <c r="QID210"/>
      <c r="QIE210"/>
      <c r="QIF210"/>
      <c r="QIG210"/>
      <c r="QIH210"/>
      <c r="QII210"/>
      <c r="QIJ210"/>
      <c r="QIK210"/>
      <c r="QIL210"/>
      <c r="QIM210"/>
      <c r="QIN210"/>
      <c r="QIO210"/>
      <c r="QIP210"/>
      <c r="QIQ210"/>
      <c r="QIR210"/>
      <c r="QIS210"/>
      <c r="QIT210"/>
      <c r="QIU210"/>
      <c r="QIV210"/>
      <c r="QIW210"/>
      <c r="QIX210"/>
      <c r="QIY210"/>
      <c r="QIZ210"/>
      <c r="QJA210"/>
      <c r="QJB210"/>
      <c r="QJC210"/>
      <c r="QJD210"/>
      <c r="QJE210"/>
      <c r="QJF210"/>
      <c r="QJG210"/>
      <c r="QJH210"/>
      <c r="QJI210"/>
      <c r="QJJ210"/>
      <c r="QJK210"/>
      <c r="QJL210"/>
      <c r="QJM210"/>
      <c r="QJN210"/>
      <c r="QJO210"/>
      <c r="QJP210"/>
      <c r="QJQ210"/>
      <c r="QJR210"/>
      <c r="QJS210"/>
      <c r="QJT210"/>
      <c r="QJU210"/>
      <c r="QJV210"/>
      <c r="QJW210"/>
      <c r="QJX210"/>
      <c r="QJY210"/>
      <c r="QJZ210"/>
      <c r="QKA210"/>
      <c r="QKB210"/>
      <c r="QKC210"/>
      <c r="QKD210"/>
      <c r="QKE210"/>
      <c r="QKF210"/>
      <c r="QKG210"/>
      <c r="QKH210"/>
      <c r="QKI210"/>
      <c r="QKJ210"/>
      <c r="QKK210"/>
      <c r="QKL210"/>
      <c r="QKM210"/>
      <c r="QKN210"/>
      <c r="QKO210"/>
      <c r="QKP210"/>
      <c r="QKQ210"/>
      <c r="QKR210"/>
      <c r="QKS210"/>
      <c r="QKT210"/>
      <c r="QKU210"/>
      <c r="QKV210"/>
      <c r="QKW210"/>
      <c r="QKX210"/>
      <c r="QKY210"/>
      <c r="QKZ210"/>
      <c r="QLA210"/>
      <c r="QLB210"/>
      <c r="QLC210"/>
      <c r="QLD210"/>
      <c r="QLE210"/>
      <c r="QLF210"/>
      <c r="QLG210"/>
      <c r="QLH210"/>
      <c r="QLI210"/>
      <c r="QLJ210"/>
      <c r="QLK210"/>
      <c r="QLL210"/>
      <c r="QLM210"/>
      <c r="QLN210"/>
      <c r="QLO210"/>
      <c r="QLP210"/>
      <c r="QLQ210"/>
      <c r="QLR210"/>
      <c r="QLS210"/>
      <c r="QLT210"/>
      <c r="QLU210"/>
      <c r="QLV210"/>
      <c r="QLW210"/>
      <c r="QLX210"/>
      <c r="QLY210"/>
      <c r="QLZ210"/>
      <c r="QMA210"/>
      <c r="QMB210"/>
      <c r="QMC210"/>
      <c r="QMD210"/>
      <c r="QME210"/>
      <c r="QMF210"/>
      <c r="QMG210"/>
      <c r="QMH210"/>
      <c r="QMI210"/>
      <c r="QMJ210"/>
      <c r="QMK210"/>
      <c r="QML210"/>
      <c r="QMM210"/>
      <c r="QMN210"/>
      <c r="QMO210"/>
      <c r="QMP210"/>
      <c r="QMQ210"/>
      <c r="QMR210"/>
      <c r="QMS210"/>
      <c r="QMT210"/>
      <c r="QMU210"/>
      <c r="QMV210"/>
      <c r="QMW210"/>
      <c r="QMX210"/>
      <c r="QMY210"/>
      <c r="QMZ210"/>
      <c r="QNA210"/>
      <c r="QNB210"/>
      <c r="QNC210"/>
      <c r="QND210"/>
      <c r="QNE210"/>
      <c r="QNF210"/>
      <c r="QNG210"/>
      <c r="QNH210"/>
      <c r="QNI210"/>
      <c r="QNJ210"/>
      <c r="QNK210"/>
      <c r="QNL210"/>
      <c r="QNM210"/>
      <c r="QNN210"/>
      <c r="QNO210"/>
      <c r="QNP210"/>
      <c r="QNQ210"/>
      <c r="QNR210"/>
      <c r="QNS210"/>
      <c r="QNT210"/>
      <c r="QNU210"/>
      <c r="QNV210"/>
      <c r="QNW210"/>
      <c r="QNX210"/>
      <c r="QNY210"/>
      <c r="QNZ210"/>
      <c r="QOA210"/>
      <c r="QOB210"/>
      <c r="QOC210"/>
      <c r="QOD210"/>
      <c r="QOE210"/>
      <c r="QOF210"/>
      <c r="QOG210"/>
      <c r="QOH210"/>
      <c r="QOI210"/>
      <c r="QOJ210"/>
      <c r="QOK210"/>
      <c r="QOL210"/>
      <c r="QOM210"/>
      <c r="QON210"/>
      <c r="QOO210"/>
      <c r="QOP210"/>
      <c r="QOQ210"/>
      <c r="QOR210"/>
      <c r="QOS210"/>
      <c r="QOT210"/>
      <c r="QOU210"/>
      <c r="QOV210"/>
      <c r="QOW210"/>
      <c r="QOX210"/>
      <c r="QOY210"/>
      <c r="QOZ210"/>
      <c r="QPA210"/>
      <c r="QPB210"/>
      <c r="QPC210"/>
      <c r="QPD210"/>
      <c r="QPE210"/>
      <c r="QPF210"/>
      <c r="QPG210"/>
      <c r="QPH210"/>
      <c r="QPI210"/>
      <c r="QPJ210"/>
      <c r="QPK210"/>
      <c r="QPL210"/>
      <c r="QPM210"/>
      <c r="QPN210"/>
      <c r="QPO210"/>
      <c r="QPP210"/>
      <c r="QPQ210"/>
      <c r="QPR210"/>
      <c r="QPS210"/>
      <c r="QPT210"/>
      <c r="QPU210"/>
      <c r="QPV210"/>
      <c r="QPW210"/>
      <c r="QPX210"/>
      <c r="QPY210"/>
      <c r="QPZ210"/>
      <c r="QQA210"/>
      <c r="QQB210"/>
      <c r="QQC210"/>
      <c r="QQD210"/>
      <c r="QQE210"/>
      <c r="QQF210"/>
      <c r="QQG210"/>
      <c r="QQH210"/>
      <c r="QQI210"/>
      <c r="QQJ210"/>
      <c r="QQK210"/>
      <c r="QQL210"/>
      <c r="QQM210"/>
      <c r="QQN210"/>
      <c r="QQO210"/>
      <c r="QQP210"/>
      <c r="QQQ210"/>
      <c r="QQR210"/>
      <c r="QQS210"/>
      <c r="QQT210"/>
      <c r="QQU210"/>
      <c r="QQV210"/>
      <c r="QQW210"/>
      <c r="QQX210"/>
      <c r="QQY210"/>
      <c r="QQZ210"/>
      <c r="QRA210"/>
      <c r="QRB210"/>
      <c r="QRC210"/>
      <c r="QRD210"/>
      <c r="QRE210"/>
      <c r="QRF210"/>
      <c r="QRG210"/>
      <c r="QRH210"/>
      <c r="QRI210"/>
      <c r="QRJ210"/>
      <c r="QRK210"/>
      <c r="QRL210"/>
      <c r="QRM210"/>
      <c r="QRN210"/>
      <c r="QRO210"/>
      <c r="QRP210"/>
      <c r="QRQ210"/>
      <c r="QRR210"/>
      <c r="QRS210"/>
      <c r="QRT210"/>
      <c r="QRU210"/>
      <c r="QRV210"/>
      <c r="QRW210"/>
      <c r="QRX210"/>
      <c r="QRY210"/>
      <c r="QRZ210"/>
      <c r="QSA210"/>
      <c r="QSB210"/>
      <c r="QSC210"/>
      <c r="QSD210"/>
      <c r="QSE210"/>
      <c r="QSF210"/>
      <c r="QSG210"/>
      <c r="QSH210"/>
      <c r="QSI210"/>
      <c r="QSJ210"/>
      <c r="QSK210"/>
      <c r="QSL210"/>
      <c r="QSM210"/>
      <c r="QSN210"/>
      <c r="QSO210"/>
      <c r="QSP210"/>
      <c r="QSQ210"/>
      <c r="QSR210"/>
      <c r="QSS210"/>
      <c r="QST210"/>
      <c r="QSU210"/>
      <c r="QSV210"/>
      <c r="QSW210"/>
      <c r="QSX210"/>
      <c r="QSY210"/>
      <c r="QSZ210"/>
      <c r="QTA210"/>
      <c r="QTB210"/>
      <c r="QTC210"/>
      <c r="QTD210"/>
      <c r="QTE210"/>
      <c r="QTF210"/>
      <c r="QTG210"/>
      <c r="QTH210"/>
      <c r="QTI210"/>
      <c r="QTJ210"/>
      <c r="QTK210"/>
      <c r="QTL210"/>
      <c r="QTM210"/>
      <c r="QTN210"/>
      <c r="QTO210"/>
      <c r="QTP210"/>
      <c r="QTQ210"/>
      <c r="QTR210"/>
      <c r="QTS210"/>
      <c r="QTT210"/>
      <c r="QTU210"/>
      <c r="QTV210"/>
      <c r="QTW210"/>
      <c r="QTX210"/>
      <c r="QTY210"/>
      <c r="QTZ210"/>
      <c r="QUA210"/>
      <c r="QUB210"/>
      <c r="QUC210"/>
      <c r="QUD210"/>
      <c r="QUE210"/>
      <c r="QUF210"/>
      <c r="QUG210"/>
      <c r="QUH210"/>
      <c r="QUI210"/>
      <c r="QUJ210"/>
      <c r="QUK210"/>
      <c r="QUL210"/>
      <c r="QUM210"/>
      <c r="QUN210"/>
      <c r="QUO210"/>
      <c r="QUP210"/>
      <c r="QUQ210"/>
      <c r="QUR210"/>
      <c r="QUS210"/>
      <c r="QUT210"/>
      <c r="QUU210"/>
      <c r="QUV210"/>
      <c r="QUW210"/>
      <c r="QUX210"/>
      <c r="QUY210"/>
      <c r="QUZ210"/>
      <c r="QVA210"/>
      <c r="QVB210"/>
      <c r="QVC210"/>
      <c r="QVD210"/>
      <c r="QVE210"/>
      <c r="QVF210"/>
      <c r="QVG210"/>
      <c r="QVH210"/>
      <c r="QVI210"/>
      <c r="QVJ210"/>
      <c r="QVK210"/>
      <c r="QVL210"/>
      <c r="QVM210"/>
      <c r="QVN210"/>
      <c r="QVO210"/>
      <c r="QVP210"/>
      <c r="QVQ210"/>
      <c r="QVR210"/>
      <c r="QVS210"/>
      <c r="QVT210"/>
      <c r="QVU210"/>
      <c r="QVV210"/>
      <c r="QVW210"/>
      <c r="QVX210"/>
      <c r="QVY210"/>
      <c r="QVZ210"/>
      <c r="QWA210"/>
      <c r="QWB210"/>
      <c r="QWC210"/>
      <c r="QWD210"/>
      <c r="QWE210"/>
      <c r="QWF210"/>
      <c r="QWG210"/>
      <c r="QWH210"/>
      <c r="QWI210"/>
      <c r="QWJ210"/>
      <c r="QWK210"/>
      <c r="QWL210"/>
      <c r="QWM210"/>
      <c r="QWN210"/>
      <c r="QWO210"/>
      <c r="QWP210"/>
      <c r="QWQ210"/>
      <c r="QWR210"/>
      <c r="QWS210"/>
      <c r="QWT210"/>
      <c r="QWU210"/>
      <c r="QWV210"/>
      <c r="QWW210"/>
      <c r="QWX210"/>
      <c r="QWY210"/>
      <c r="QWZ210"/>
      <c r="QXA210"/>
      <c r="QXB210"/>
      <c r="QXC210"/>
      <c r="QXD210"/>
      <c r="QXE210"/>
      <c r="QXF210"/>
      <c r="QXG210"/>
      <c r="QXH210"/>
      <c r="QXI210"/>
      <c r="QXJ210"/>
      <c r="QXK210"/>
      <c r="QXL210"/>
      <c r="QXM210"/>
      <c r="QXN210"/>
      <c r="QXO210"/>
      <c r="QXP210"/>
      <c r="QXQ210"/>
      <c r="QXR210"/>
      <c r="QXS210"/>
      <c r="QXT210"/>
      <c r="QXU210"/>
      <c r="QXV210"/>
      <c r="QXW210"/>
      <c r="QXX210"/>
      <c r="QXY210"/>
      <c r="QXZ210"/>
      <c r="QYA210"/>
      <c r="QYB210"/>
      <c r="QYC210"/>
      <c r="QYD210"/>
      <c r="QYE210"/>
      <c r="QYF210"/>
      <c r="QYG210"/>
      <c r="QYH210"/>
      <c r="QYI210"/>
      <c r="QYJ210"/>
      <c r="QYK210"/>
      <c r="QYL210"/>
      <c r="QYM210"/>
      <c r="QYN210"/>
      <c r="QYO210"/>
      <c r="QYP210"/>
      <c r="QYQ210"/>
      <c r="QYR210"/>
      <c r="QYS210"/>
      <c r="QYT210"/>
      <c r="QYU210"/>
      <c r="QYV210"/>
      <c r="QYW210"/>
      <c r="QYX210"/>
      <c r="QYY210"/>
      <c r="QYZ210"/>
      <c r="QZA210"/>
      <c r="QZB210"/>
      <c r="QZC210"/>
      <c r="QZD210"/>
      <c r="QZE210"/>
      <c r="QZF210"/>
      <c r="QZG210"/>
      <c r="QZH210"/>
      <c r="QZI210"/>
      <c r="QZJ210"/>
      <c r="QZK210"/>
      <c r="QZL210"/>
      <c r="QZM210"/>
      <c r="QZN210"/>
      <c r="QZO210"/>
      <c r="QZP210"/>
      <c r="QZQ210"/>
      <c r="QZR210"/>
      <c r="QZS210"/>
      <c r="QZT210"/>
      <c r="QZU210"/>
      <c r="QZV210"/>
      <c r="QZW210"/>
      <c r="QZX210"/>
      <c r="QZY210"/>
      <c r="QZZ210"/>
      <c r="RAA210"/>
      <c r="RAB210"/>
      <c r="RAC210"/>
      <c r="RAD210"/>
      <c r="RAE210"/>
      <c r="RAF210"/>
      <c r="RAG210"/>
      <c r="RAH210"/>
      <c r="RAI210"/>
      <c r="RAJ210"/>
      <c r="RAK210"/>
      <c r="RAL210"/>
      <c r="RAM210"/>
      <c r="RAN210"/>
      <c r="RAO210"/>
      <c r="RAP210"/>
      <c r="RAQ210"/>
      <c r="RAR210"/>
      <c r="RAS210"/>
      <c r="RAT210"/>
      <c r="RAU210"/>
      <c r="RAV210"/>
      <c r="RAW210"/>
      <c r="RAX210"/>
      <c r="RAY210"/>
      <c r="RAZ210"/>
      <c r="RBA210"/>
      <c r="RBB210"/>
      <c r="RBC210"/>
      <c r="RBD210"/>
      <c r="RBE210"/>
      <c r="RBF210"/>
      <c r="RBG210"/>
      <c r="RBH210"/>
      <c r="RBI210"/>
      <c r="RBJ210"/>
      <c r="RBK210"/>
      <c r="RBL210"/>
      <c r="RBM210"/>
      <c r="RBN210"/>
      <c r="RBO210"/>
      <c r="RBP210"/>
      <c r="RBQ210"/>
      <c r="RBR210"/>
      <c r="RBS210"/>
      <c r="RBT210"/>
      <c r="RBU210"/>
      <c r="RBV210"/>
      <c r="RBW210"/>
      <c r="RBX210"/>
      <c r="RBY210"/>
      <c r="RBZ210"/>
      <c r="RCA210"/>
      <c r="RCB210"/>
      <c r="RCC210"/>
      <c r="RCD210"/>
      <c r="RCE210"/>
      <c r="RCF210"/>
      <c r="RCG210"/>
      <c r="RCH210"/>
      <c r="RCI210"/>
      <c r="RCJ210"/>
      <c r="RCK210"/>
      <c r="RCL210"/>
      <c r="RCM210"/>
      <c r="RCN210"/>
      <c r="RCO210"/>
      <c r="RCP210"/>
      <c r="RCQ210"/>
      <c r="RCR210"/>
      <c r="RCS210"/>
      <c r="RCT210"/>
      <c r="RCU210"/>
      <c r="RCV210"/>
      <c r="RCW210"/>
      <c r="RCX210"/>
      <c r="RCY210"/>
      <c r="RCZ210"/>
      <c r="RDA210"/>
      <c r="RDB210"/>
      <c r="RDC210"/>
      <c r="RDD210"/>
      <c r="RDE210"/>
      <c r="RDF210"/>
      <c r="RDG210"/>
      <c r="RDH210"/>
      <c r="RDI210"/>
      <c r="RDJ210"/>
      <c r="RDK210"/>
      <c r="RDL210"/>
      <c r="RDM210"/>
      <c r="RDN210"/>
      <c r="RDO210"/>
      <c r="RDP210"/>
      <c r="RDQ210"/>
      <c r="RDR210"/>
      <c r="RDS210"/>
      <c r="RDT210"/>
      <c r="RDU210"/>
      <c r="RDV210"/>
      <c r="RDW210"/>
      <c r="RDX210"/>
      <c r="RDY210"/>
      <c r="RDZ210"/>
      <c r="REA210"/>
      <c r="REB210"/>
      <c r="REC210"/>
      <c r="RED210"/>
      <c r="REE210"/>
      <c r="REF210"/>
      <c r="REG210"/>
      <c r="REH210"/>
      <c r="REI210"/>
      <c r="REJ210"/>
      <c r="REK210"/>
      <c r="REL210"/>
      <c r="REM210"/>
      <c r="REN210"/>
      <c r="REO210"/>
      <c r="REP210"/>
      <c r="REQ210"/>
      <c r="RER210"/>
      <c r="RES210"/>
      <c r="RET210"/>
      <c r="REU210"/>
      <c r="REV210"/>
      <c r="REW210"/>
      <c r="REX210"/>
      <c r="REY210"/>
      <c r="REZ210"/>
      <c r="RFA210"/>
      <c r="RFB210"/>
      <c r="RFC210"/>
      <c r="RFD210"/>
      <c r="RFE210"/>
      <c r="RFF210"/>
      <c r="RFG210"/>
      <c r="RFH210"/>
      <c r="RFI210"/>
      <c r="RFJ210"/>
      <c r="RFK210"/>
      <c r="RFL210"/>
      <c r="RFM210"/>
      <c r="RFN210"/>
      <c r="RFO210"/>
      <c r="RFP210"/>
      <c r="RFQ210"/>
      <c r="RFR210"/>
      <c r="RFS210"/>
      <c r="RFT210"/>
      <c r="RFU210"/>
      <c r="RFV210"/>
      <c r="RFW210"/>
      <c r="RFX210"/>
      <c r="RFY210"/>
      <c r="RFZ210"/>
      <c r="RGA210"/>
      <c r="RGB210"/>
      <c r="RGC210"/>
      <c r="RGD210"/>
      <c r="RGE210"/>
      <c r="RGF210"/>
      <c r="RGG210"/>
      <c r="RGH210"/>
      <c r="RGI210"/>
      <c r="RGJ210"/>
      <c r="RGK210"/>
      <c r="RGL210"/>
      <c r="RGM210"/>
      <c r="RGN210"/>
      <c r="RGO210"/>
      <c r="RGP210"/>
      <c r="RGQ210"/>
      <c r="RGR210"/>
      <c r="RGS210"/>
      <c r="RGT210"/>
      <c r="RGU210"/>
      <c r="RGV210"/>
      <c r="RGW210"/>
      <c r="RGX210"/>
      <c r="RGY210"/>
      <c r="RGZ210"/>
      <c r="RHA210"/>
      <c r="RHB210"/>
      <c r="RHC210"/>
      <c r="RHD210"/>
      <c r="RHE210"/>
      <c r="RHF210"/>
      <c r="RHG210"/>
      <c r="RHH210"/>
      <c r="RHI210"/>
      <c r="RHJ210"/>
      <c r="RHK210"/>
      <c r="RHL210"/>
      <c r="RHM210"/>
      <c r="RHN210"/>
      <c r="RHO210"/>
      <c r="RHP210"/>
      <c r="RHQ210"/>
      <c r="RHR210"/>
      <c r="RHS210"/>
      <c r="RHT210"/>
      <c r="RHU210"/>
      <c r="RHV210"/>
      <c r="RHW210"/>
      <c r="RHX210"/>
      <c r="RHY210"/>
      <c r="RHZ210"/>
      <c r="RIA210"/>
      <c r="RIB210"/>
      <c r="RIC210"/>
      <c r="RID210"/>
      <c r="RIE210"/>
      <c r="RIF210"/>
      <c r="RIG210"/>
      <c r="RIH210"/>
      <c r="RII210"/>
      <c r="RIJ210"/>
      <c r="RIK210"/>
      <c r="RIL210"/>
      <c r="RIM210"/>
      <c r="RIN210"/>
      <c r="RIO210"/>
      <c r="RIP210"/>
      <c r="RIQ210"/>
      <c r="RIR210"/>
      <c r="RIS210"/>
      <c r="RIT210"/>
      <c r="RIU210"/>
      <c r="RIV210"/>
      <c r="RIW210"/>
      <c r="RIX210"/>
      <c r="RIY210"/>
      <c r="RIZ210"/>
      <c r="RJA210"/>
      <c r="RJB210"/>
      <c r="RJC210"/>
      <c r="RJD210"/>
      <c r="RJE210"/>
      <c r="RJF210"/>
      <c r="RJG210"/>
      <c r="RJH210"/>
      <c r="RJI210"/>
      <c r="RJJ210"/>
      <c r="RJK210"/>
      <c r="RJL210"/>
      <c r="RJM210"/>
      <c r="RJN210"/>
      <c r="RJO210"/>
      <c r="RJP210"/>
      <c r="RJQ210"/>
      <c r="RJR210"/>
      <c r="RJS210"/>
      <c r="RJT210"/>
      <c r="RJU210"/>
      <c r="RJV210"/>
      <c r="RJW210"/>
      <c r="RJX210"/>
      <c r="RJY210"/>
      <c r="RJZ210"/>
      <c r="RKA210"/>
      <c r="RKB210"/>
      <c r="RKC210"/>
      <c r="RKD210"/>
      <c r="RKE210"/>
      <c r="RKF210"/>
      <c r="RKG210"/>
      <c r="RKH210"/>
      <c r="RKI210"/>
      <c r="RKJ210"/>
      <c r="RKK210"/>
      <c r="RKL210"/>
      <c r="RKM210"/>
      <c r="RKN210"/>
      <c r="RKO210"/>
      <c r="RKP210"/>
      <c r="RKQ210"/>
      <c r="RKR210"/>
      <c r="RKS210"/>
      <c r="RKT210"/>
      <c r="RKU210"/>
      <c r="RKV210"/>
      <c r="RKW210"/>
      <c r="RKX210"/>
      <c r="RKY210"/>
      <c r="RKZ210"/>
      <c r="RLA210"/>
      <c r="RLB210"/>
      <c r="RLC210"/>
      <c r="RLD210"/>
      <c r="RLE210"/>
      <c r="RLF210"/>
      <c r="RLG210"/>
      <c r="RLH210"/>
      <c r="RLI210"/>
      <c r="RLJ210"/>
      <c r="RLK210"/>
      <c r="RLL210"/>
      <c r="RLM210"/>
      <c r="RLN210"/>
      <c r="RLO210"/>
      <c r="RLP210"/>
      <c r="RLQ210"/>
      <c r="RLR210"/>
      <c r="RLS210"/>
      <c r="RLT210"/>
      <c r="RLU210"/>
      <c r="RLV210"/>
      <c r="RLW210"/>
      <c r="RLX210"/>
      <c r="RLY210"/>
      <c r="RLZ210"/>
      <c r="RMA210"/>
      <c r="RMB210"/>
      <c r="RMC210"/>
      <c r="RMD210"/>
      <c r="RME210"/>
      <c r="RMF210"/>
      <c r="RMG210"/>
      <c r="RMH210"/>
      <c r="RMI210"/>
      <c r="RMJ210"/>
      <c r="RMK210"/>
      <c r="RML210"/>
      <c r="RMM210"/>
      <c r="RMN210"/>
      <c r="RMO210"/>
      <c r="RMP210"/>
      <c r="RMQ210"/>
      <c r="RMR210"/>
      <c r="RMS210"/>
      <c r="RMT210"/>
      <c r="RMU210"/>
      <c r="RMV210"/>
      <c r="RMW210"/>
      <c r="RMX210"/>
      <c r="RMY210"/>
      <c r="RMZ210"/>
      <c r="RNA210"/>
      <c r="RNB210"/>
      <c r="RNC210"/>
      <c r="RND210"/>
      <c r="RNE210"/>
      <c r="RNF210"/>
      <c r="RNG210"/>
      <c r="RNH210"/>
      <c r="RNI210"/>
      <c r="RNJ210"/>
      <c r="RNK210"/>
      <c r="RNL210"/>
      <c r="RNM210"/>
      <c r="RNN210"/>
      <c r="RNO210"/>
      <c r="RNP210"/>
      <c r="RNQ210"/>
      <c r="RNR210"/>
      <c r="RNS210"/>
      <c r="RNT210"/>
      <c r="RNU210"/>
      <c r="RNV210"/>
      <c r="RNW210"/>
      <c r="RNX210"/>
      <c r="RNY210"/>
      <c r="RNZ210"/>
      <c r="ROA210"/>
      <c r="ROB210"/>
      <c r="ROC210"/>
      <c r="ROD210"/>
      <c r="ROE210"/>
      <c r="ROF210"/>
      <c r="ROG210"/>
      <c r="ROH210"/>
      <c r="ROI210"/>
      <c r="ROJ210"/>
      <c r="ROK210"/>
      <c r="ROL210"/>
      <c r="ROM210"/>
      <c r="RON210"/>
      <c r="ROO210"/>
      <c r="ROP210"/>
      <c r="ROQ210"/>
      <c r="ROR210"/>
      <c r="ROS210"/>
      <c r="ROT210"/>
      <c r="ROU210"/>
      <c r="ROV210"/>
      <c r="ROW210"/>
      <c r="ROX210"/>
      <c r="ROY210"/>
      <c r="ROZ210"/>
      <c r="RPA210"/>
      <c r="RPB210"/>
      <c r="RPC210"/>
      <c r="RPD210"/>
      <c r="RPE210"/>
      <c r="RPF210"/>
      <c r="RPG210"/>
      <c r="RPH210"/>
      <c r="RPI210"/>
      <c r="RPJ210"/>
      <c r="RPK210"/>
      <c r="RPL210"/>
      <c r="RPM210"/>
      <c r="RPN210"/>
      <c r="RPO210"/>
      <c r="RPP210"/>
      <c r="RPQ210"/>
      <c r="RPR210"/>
      <c r="RPS210"/>
      <c r="RPT210"/>
      <c r="RPU210"/>
      <c r="RPV210"/>
      <c r="RPW210"/>
      <c r="RPX210"/>
      <c r="RPY210"/>
      <c r="RPZ210"/>
      <c r="RQA210"/>
      <c r="RQB210"/>
      <c r="RQC210"/>
      <c r="RQD210"/>
      <c r="RQE210"/>
      <c r="RQF210"/>
      <c r="RQG210"/>
      <c r="RQH210"/>
      <c r="RQI210"/>
      <c r="RQJ210"/>
      <c r="RQK210"/>
      <c r="RQL210"/>
      <c r="RQM210"/>
      <c r="RQN210"/>
      <c r="RQO210"/>
      <c r="RQP210"/>
      <c r="RQQ210"/>
      <c r="RQR210"/>
      <c r="RQS210"/>
      <c r="RQT210"/>
      <c r="RQU210"/>
      <c r="RQV210"/>
      <c r="RQW210"/>
      <c r="RQX210"/>
      <c r="RQY210"/>
      <c r="RQZ210"/>
      <c r="RRA210"/>
      <c r="RRB210"/>
      <c r="RRC210"/>
      <c r="RRD210"/>
      <c r="RRE210"/>
      <c r="RRF210"/>
      <c r="RRG210"/>
      <c r="RRH210"/>
      <c r="RRI210"/>
      <c r="RRJ210"/>
      <c r="RRK210"/>
      <c r="RRL210"/>
      <c r="RRM210"/>
      <c r="RRN210"/>
      <c r="RRO210"/>
      <c r="RRP210"/>
      <c r="RRQ210"/>
      <c r="RRR210"/>
      <c r="RRS210"/>
      <c r="RRT210"/>
      <c r="RRU210"/>
      <c r="RRV210"/>
      <c r="RRW210"/>
      <c r="RRX210"/>
      <c r="RRY210"/>
      <c r="RRZ210"/>
      <c r="RSA210"/>
      <c r="RSB210"/>
      <c r="RSC210"/>
      <c r="RSD210"/>
      <c r="RSE210"/>
      <c r="RSF210"/>
      <c r="RSG210"/>
      <c r="RSH210"/>
      <c r="RSI210"/>
      <c r="RSJ210"/>
      <c r="RSK210"/>
      <c r="RSL210"/>
      <c r="RSM210"/>
      <c r="RSN210"/>
      <c r="RSO210"/>
      <c r="RSP210"/>
      <c r="RSQ210"/>
      <c r="RSR210"/>
      <c r="RSS210"/>
      <c r="RST210"/>
      <c r="RSU210"/>
      <c r="RSV210"/>
      <c r="RSW210"/>
      <c r="RSX210"/>
      <c r="RSY210"/>
      <c r="RSZ210"/>
      <c r="RTA210"/>
      <c r="RTB210"/>
      <c r="RTC210"/>
      <c r="RTD210"/>
      <c r="RTE210"/>
      <c r="RTF210"/>
      <c r="RTG210"/>
      <c r="RTH210"/>
      <c r="RTI210"/>
      <c r="RTJ210"/>
      <c r="RTK210"/>
      <c r="RTL210"/>
      <c r="RTM210"/>
      <c r="RTN210"/>
      <c r="RTO210"/>
      <c r="RTP210"/>
      <c r="RTQ210"/>
      <c r="RTR210"/>
      <c r="RTS210"/>
      <c r="RTT210"/>
      <c r="RTU210"/>
      <c r="RTV210"/>
      <c r="RTW210"/>
      <c r="RTX210"/>
      <c r="RTY210"/>
      <c r="RTZ210"/>
      <c r="RUA210"/>
      <c r="RUB210"/>
      <c r="RUC210"/>
      <c r="RUD210"/>
      <c r="RUE210"/>
      <c r="RUF210"/>
      <c r="RUG210"/>
      <c r="RUH210"/>
      <c r="RUI210"/>
      <c r="RUJ210"/>
      <c r="RUK210"/>
      <c r="RUL210"/>
      <c r="RUM210"/>
      <c r="RUN210"/>
      <c r="RUO210"/>
      <c r="RUP210"/>
      <c r="RUQ210"/>
      <c r="RUR210"/>
      <c r="RUS210"/>
      <c r="RUT210"/>
      <c r="RUU210"/>
      <c r="RUV210"/>
      <c r="RUW210"/>
      <c r="RUX210"/>
      <c r="RUY210"/>
      <c r="RUZ210"/>
      <c r="RVA210"/>
      <c r="RVB210"/>
      <c r="RVC210"/>
      <c r="RVD210"/>
      <c r="RVE210"/>
      <c r="RVF210"/>
      <c r="RVG210"/>
      <c r="RVH210"/>
      <c r="RVI210"/>
      <c r="RVJ210"/>
      <c r="RVK210"/>
      <c r="RVL210"/>
      <c r="RVM210"/>
      <c r="RVN210"/>
      <c r="RVO210"/>
      <c r="RVP210"/>
      <c r="RVQ210"/>
      <c r="RVR210"/>
      <c r="RVS210"/>
      <c r="RVT210"/>
      <c r="RVU210"/>
      <c r="RVV210"/>
      <c r="RVW210"/>
      <c r="RVX210"/>
      <c r="RVY210"/>
      <c r="RVZ210"/>
      <c r="RWA210"/>
      <c r="RWB210"/>
      <c r="RWC210"/>
      <c r="RWD210"/>
      <c r="RWE210"/>
      <c r="RWF210"/>
      <c r="RWG210"/>
      <c r="RWH210"/>
      <c r="RWI210"/>
      <c r="RWJ210"/>
      <c r="RWK210"/>
      <c r="RWL210"/>
      <c r="RWM210"/>
      <c r="RWN210"/>
      <c r="RWO210"/>
      <c r="RWP210"/>
      <c r="RWQ210"/>
      <c r="RWR210"/>
      <c r="RWS210"/>
      <c r="RWT210"/>
      <c r="RWU210"/>
      <c r="RWV210"/>
      <c r="RWW210"/>
      <c r="RWX210"/>
      <c r="RWY210"/>
      <c r="RWZ210"/>
      <c r="RXA210"/>
      <c r="RXB210"/>
      <c r="RXC210"/>
      <c r="RXD210"/>
      <c r="RXE210"/>
      <c r="RXF210"/>
      <c r="RXG210"/>
      <c r="RXH210"/>
      <c r="RXI210"/>
      <c r="RXJ210"/>
      <c r="RXK210"/>
      <c r="RXL210"/>
      <c r="RXM210"/>
      <c r="RXN210"/>
      <c r="RXO210"/>
      <c r="RXP210"/>
      <c r="RXQ210"/>
      <c r="RXR210"/>
      <c r="RXS210"/>
      <c r="RXT210"/>
      <c r="RXU210"/>
      <c r="RXV210"/>
      <c r="RXW210"/>
      <c r="RXX210"/>
      <c r="RXY210"/>
      <c r="RXZ210"/>
      <c r="RYA210"/>
      <c r="RYB210"/>
      <c r="RYC210"/>
      <c r="RYD210"/>
      <c r="RYE210"/>
      <c r="RYF210"/>
      <c r="RYG210"/>
      <c r="RYH210"/>
      <c r="RYI210"/>
      <c r="RYJ210"/>
      <c r="RYK210"/>
      <c r="RYL210"/>
      <c r="RYM210"/>
      <c r="RYN210"/>
      <c r="RYO210"/>
      <c r="RYP210"/>
      <c r="RYQ210"/>
      <c r="RYR210"/>
      <c r="RYS210"/>
      <c r="RYT210"/>
      <c r="RYU210"/>
      <c r="RYV210"/>
      <c r="RYW210"/>
      <c r="RYX210"/>
      <c r="RYY210"/>
      <c r="RYZ210"/>
      <c r="RZA210"/>
      <c r="RZB210"/>
      <c r="RZC210"/>
      <c r="RZD210"/>
      <c r="RZE210"/>
      <c r="RZF210"/>
      <c r="RZG210"/>
      <c r="RZH210"/>
      <c r="RZI210"/>
      <c r="RZJ210"/>
      <c r="RZK210"/>
      <c r="RZL210"/>
      <c r="RZM210"/>
      <c r="RZN210"/>
      <c r="RZO210"/>
      <c r="RZP210"/>
      <c r="RZQ210"/>
      <c r="RZR210"/>
      <c r="RZS210"/>
      <c r="RZT210"/>
      <c r="RZU210"/>
      <c r="RZV210"/>
      <c r="RZW210"/>
      <c r="RZX210"/>
      <c r="RZY210"/>
      <c r="RZZ210"/>
      <c r="SAA210"/>
      <c r="SAB210"/>
      <c r="SAC210"/>
      <c r="SAD210"/>
      <c r="SAE210"/>
      <c r="SAF210"/>
      <c r="SAG210"/>
      <c r="SAH210"/>
      <c r="SAI210"/>
      <c r="SAJ210"/>
      <c r="SAK210"/>
      <c r="SAL210"/>
      <c r="SAM210"/>
      <c r="SAN210"/>
      <c r="SAO210"/>
      <c r="SAP210"/>
      <c r="SAQ210"/>
      <c r="SAR210"/>
      <c r="SAS210"/>
      <c r="SAT210"/>
      <c r="SAU210"/>
      <c r="SAV210"/>
      <c r="SAW210"/>
      <c r="SAX210"/>
      <c r="SAY210"/>
      <c r="SAZ210"/>
      <c r="SBA210"/>
      <c r="SBB210"/>
      <c r="SBC210"/>
      <c r="SBD210"/>
      <c r="SBE210"/>
      <c r="SBF210"/>
      <c r="SBG210"/>
      <c r="SBH210"/>
      <c r="SBI210"/>
      <c r="SBJ210"/>
      <c r="SBK210"/>
      <c r="SBL210"/>
      <c r="SBM210"/>
      <c r="SBN210"/>
      <c r="SBO210"/>
      <c r="SBP210"/>
      <c r="SBQ210"/>
      <c r="SBR210"/>
      <c r="SBS210"/>
      <c r="SBT210"/>
      <c r="SBU210"/>
      <c r="SBV210"/>
      <c r="SBW210"/>
      <c r="SBX210"/>
      <c r="SBY210"/>
      <c r="SBZ210"/>
      <c r="SCA210"/>
      <c r="SCB210"/>
      <c r="SCC210"/>
      <c r="SCD210"/>
      <c r="SCE210"/>
      <c r="SCF210"/>
      <c r="SCG210"/>
      <c r="SCH210"/>
      <c r="SCI210"/>
      <c r="SCJ210"/>
      <c r="SCK210"/>
      <c r="SCL210"/>
      <c r="SCM210"/>
      <c r="SCN210"/>
      <c r="SCO210"/>
      <c r="SCP210"/>
      <c r="SCQ210"/>
      <c r="SCR210"/>
      <c r="SCS210"/>
      <c r="SCT210"/>
      <c r="SCU210"/>
      <c r="SCV210"/>
      <c r="SCW210"/>
      <c r="SCX210"/>
      <c r="SCY210"/>
      <c r="SCZ210"/>
      <c r="SDA210"/>
      <c r="SDB210"/>
      <c r="SDC210"/>
      <c r="SDD210"/>
      <c r="SDE210"/>
      <c r="SDF210"/>
      <c r="SDG210"/>
      <c r="SDH210"/>
      <c r="SDI210"/>
      <c r="SDJ210"/>
      <c r="SDK210"/>
      <c r="SDL210"/>
      <c r="SDM210"/>
      <c r="SDN210"/>
      <c r="SDO210"/>
      <c r="SDP210"/>
      <c r="SDQ210"/>
      <c r="SDR210"/>
      <c r="SDS210"/>
      <c r="SDT210"/>
      <c r="SDU210"/>
      <c r="SDV210"/>
      <c r="SDW210"/>
      <c r="SDX210"/>
      <c r="SDY210"/>
      <c r="SDZ210"/>
      <c r="SEA210"/>
      <c r="SEB210"/>
      <c r="SEC210"/>
      <c r="SED210"/>
      <c r="SEE210"/>
      <c r="SEF210"/>
      <c r="SEG210"/>
      <c r="SEH210"/>
      <c r="SEI210"/>
      <c r="SEJ210"/>
      <c r="SEK210"/>
      <c r="SEL210"/>
      <c r="SEM210"/>
      <c r="SEN210"/>
      <c r="SEO210"/>
      <c r="SEP210"/>
      <c r="SEQ210"/>
      <c r="SER210"/>
      <c r="SES210"/>
      <c r="SET210"/>
      <c r="SEU210"/>
      <c r="SEV210"/>
      <c r="SEW210"/>
      <c r="SEX210"/>
      <c r="SEY210"/>
      <c r="SEZ210"/>
      <c r="SFA210"/>
      <c r="SFB210"/>
      <c r="SFC210"/>
      <c r="SFD210"/>
      <c r="SFE210"/>
      <c r="SFF210"/>
      <c r="SFG210"/>
      <c r="SFH210"/>
      <c r="SFI210"/>
      <c r="SFJ210"/>
      <c r="SFK210"/>
      <c r="SFL210"/>
      <c r="SFM210"/>
      <c r="SFN210"/>
      <c r="SFO210"/>
      <c r="SFP210"/>
      <c r="SFQ210"/>
      <c r="SFR210"/>
      <c r="SFS210"/>
      <c r="SFT210"/>
      <c r="SFU210"/>
      <c r="SFV210"/>
      <c r="SFW210"/>
      <c r="SFX210"/>
      <c r="SFY210"/>
      <c r="SFZ210"/>
      <c r="SGA210"/>
      <c r="SGB210"/>
      <c r="SGC210"/>
      <c r="SGD210"/>
      <c r="SGE210"/>
      <c r="SGF210"/>
      <c r="SGG210"/>
      <c r="SGH210"/>
      <c r="SGI210"/>
      <c r="SGJ210"/>
      <c r="SGK210"/>
      <c r="SGL210"/>
      <c r="SGM210"/>
      <c r="SGN210"/>
      <c r="SGO210"/>
      <c r="SGP210"/>
      <c r="SGQ210"/>
      <c r="SGR210"/>
      <c r="SGS210"/>
      <c r="SGT210"/>
      <c r="SGU210"/>
      <c r="SGV210"/>
      <c r="SGW210"/>
      <c r="SGX210"/>
      <c r="SGY210"/>
      <c r="SGZ210"/>
      <c r="SHA210"/>
      <c r="SHB210"/>
      <c r="SHC210"/>
      <c r="SHD210"/>
      <c r="SHE210"/>
      <c r="SHF210"/>
      <c r="SHG210"/>
      <c r="SHH210"/>
      <c r="SHI210"/>
      <c r="SHJ210"/>
      <c r="SHK210"/>
      <c r="SHL210"/>
      <c r="SHM210"/>
      <c r="SHN210"/>
      <c r="SHO210"/>
      <c r="SHP210"/>
      <c r="SHQ210"/>
      <c r="SHR210"/>
      <c r="SHS210"/>
      <c r="SHT210"/>
      <c r="SHU210"/>
      <c r="SHV210"/>
      <c r="SHW210"/>
      <c r="SHX210"/>
      <c r="SHY210"/>
      <c r="SHZ210"/>
      <c r="SIA210"/>
      <c r="SIB210"/>
      <c r="SIC210"/>
      <c r="SID210"/>
      <c r="SIE210"/>
      <c r="SIF210"/>
      <c r="SIG210"/>
      <c r="SIH210"/>
      <c r="SII210"/>
      <c r="SIJ210"/>
      <c r="SIK210"/>
      <c r="SIL210"/>
      <c r="SIM210"/>
      <c r="SIN210"/>
      <c r="SIO210"/>
      <c r="SIP210"/>
      <c r="SIQ210"/>
      <c r="SIR210"/>
      <c r="SIS210"/>
      <c r="SIT210"/>
      <c r="SIU210"/>
      <c r="SIV210"/>
      <c r="SIW210"/>
      <c r="SIX210"/>
      <c r="SIY210"/>
      <c r="SIZ210"/>
      <c r="SJA210"/>
      <c r="SJB210"/>
      <c r="SJC210"/>
      <c r="SJD210"/>
      <c r="SJE210"/>
      <c r="SJF210"/>
      <c r="SJG210"/>
      <c r="SJH210"/>
      <c r="SJI210"/>
      <c r="SJJ210"/>
      <c r="SJK210"/>
      <c r="SJL210"/>
      <c r="SJM210"/>
      <c r="SJN210"/>
      <c r="SJO210"/>
      <c r="SJP210"/>
      <c r="SJQ210"/>
      <c r="SJR210"/>
      <c r="SJS210"/>
      <c r="SJT210"/>
      <c r="SJU210"/>
      <c r="SJV210"/>
      <c r="SJW210"/>
      <c r="SJX210"/>
      <c r="SJY210"/>
      <c r="SJZ210"/>
      <c r="SKA210"/>
      <c r="SKB210"/>
      <c r="SKC210"/>
      <c r="SKD210"/>
      <c r="SKE210"/>
      <c r="SKF210"/>
      <c r="SKG210"/>
      <c r="SKH210"/>
      <c r="SKI210"/>
      <c r="SKJ210"/>
      <c r="SKK210"/>
      <c r="SKL210"/>
      <c r="SKM210"/>
      <c r="SKN210"/>
      <c r="SKO210"/>
      <c r="SKP210"/>
      <c r="SKQ210"/>
      <c r="SKR210"/>
      <c r="SKS210"/>
      <c r="SKT210"/>
      <c r="SKU210"/>
      <c r="SKV210"/>
      <c r="SKW210"/>
      <c r="SKX210"/>
      <c r="SKY210"/>
      <c r="SKZ210"/>
      <c r="SLA210"/>
      <c r="SLB210"/>
      <c r="SLC210"/>
      <c r="SLD210"/>
      <c r="SLE210"/>
      <c r="SLF210"/>
      <c r="SLG210"/>
      <c r="SLH210"/>
      <c r="SLI210"/>
      <c r="SLJ210"/>
      <c r="SLK210"/>
      <c r="SLL210"/>
      <c r="SLM210"/>
      <c r="SLN210"/>
      <c r="SLO210"/>
      <c r="SLP210"/>
      <c r="SLQ210"/>
      <c r="SLR210"/>
      <c r="SLS210"/>
      <c r="SLT210"/>
      <c r="SLU210"/>
      <c r="SLV210"/>
      <c r="SLW210"/>
      <c r="SLX210"/>
      <c r="SLY210"/>
      <c r="SLZ210"/>
      <c r="SMA210"/>
      <c r="SMB210"/>
      <c r="SMC210"/>
      <c r="SMD210"/>
      <c r="SME210"/>
      <c r="SMF210"/>
      <c r="SMG210"/>
      <c r="SMH210"/>
      <c r="SMI210"/>
      <c r="SMJ210"/>
      <c r="SMK210"/>
      <c r="SML210"/>
      <c r="SMM210"/>
      <c r="SMN210"/>
      <c r="SMO210"/>
      <c r="SMP210"/>
      <c r="SMQ210"/>
      <c r="SMR210"/>
      <c r="SMS210"/>
      <c r="SMT210"/>
      <c r="SMU210"/>
      <c r="SMV210"/>
      <c r="SMW210"/>
      <c r="SMX210"/>
      <c r="SMY210"/>
      <c r="SMZ210"/>
      <c r="SNA210"/>
      <c r="SNB210"/>
      <c r="SNC210"/>
      <c r="SND210"/>
      <c r="SNE210"/>
      <c r="SNF210"/>
      <c r="SNG210"/>
      <c r="SNH210"/>
      <c r="SNI210"/>
      <c r="SNJ210"/>
      <c r="SNK210"/>
      <c r="SNL210"/>
      <c r="SNM210"/>
      <c r="SNN210"/>
      <c r="SNO210"/>
      <c r="SNP210"/>
      <c r="SNQ210"/>
      <c r="SNR210"/>
      <c r="SNS210"/>
      <c r="SNT210"/>
      <c r="SNU210"/>
      <c r="SNV210"/>
      <c r="SNW210"/>
      <c r="SNX210"/>
      <c r="SNY210"/>
      <c r="SNZ210"/>
      <c r="SOA210"/>
      <c r="SOB210"/>
      <c r="SOC210"/>
      <c r="SOD210"/>
      <c r="SOE210"/>
      <c r="SOF210"/>
      <c r="SOG210"/>
      <c r="SOH210"/>
      <c r="SOI210"/>
      <c r="SOJ210"/>
      <c r="SOK210"/>
      <c r="SOL210"/>
      <c r="SOM210"/>
      <c r="SON210"/>
      <c r="SOO210"/>
      <c r="SOP210"/>
      <c r="SOQ210"/>
      <c r="SOR210"/>
      <c r="SOS210"/>
      <c r="SOT210"/>
      <c r="SOU210"/>
      <c r="SOV210"/>
      <c r="SOW210"/>
      <c r="SOX210"/>
      <c r="SOY210"/>
      <c r="SOZ210"/>
      <c r="SPA210"/>
      <c r="SPB210"/>
      <c r="SPC210"/>
      <c r="SPD210"/>
      <c r="SPE210"/>
      <c r="SPF210"/>
      <c r="SPG210"/>
      <c r="SPH210"/>
      <c r="SPI210"/>
      <c r="SPJ210"/>
      <c r="SPK210"/>
      <c r="SPL210"/>
      <c r="SPM210"/>
      <c r="SPN210"/>
      <c r="SPO210"/>
      <c r="SPP210"/>
      <c r="SPQ210"/>
      <c r="SPR210"/>
      <c r="SPS210"/>
      <c r="SPT210"/>
      <c r="SPU210"/>
      <c r="SPV210"/>
      <c r="SPW210"/>
      <c r="SPX210"/>
      <c r="SPY210"/>
      <c r="SPZ210"/>
      <c r="SQA210"/>
      <c r="SQB210"/>
      <c r="SQC210"/>
      <c r="SQD210"/>
      <c r="SQE210"/>
      <c r="SQF210"/>
      <c r="SQG210"/>
      <c r="SQH210"/>
      <c r="SQI210"/>
      <c r="SQJ210"/>
      <c r="SQK210"/>
      <c r="SQL210"/>
      <c r="SQM210"/>
      <c r="SQN210"/>
      <c r="SQO210"/>
      <c r="SQP210"/>
      <c r="SQQ210"/>
      <c r="SQR210"/>
      <c r="SQS210"/>
      <c r="SQT210"/>
      <c r="SQU210"/>
      <c r="SQV210"/>
      <c r="SQW210"/>
      <c r="SQX210"/>
      <c r="SQY210"/>
      <c r="SQZ210"/>
      <c r="SRA210"/>
      <c r="SRB210"/>
      <c r="SRC210"/>
      <c r="SRD210"/>
      <c r="SRE210"/>
      <c r="SRF210"/>
      <c r="SRG210"/>
      <c r="SRH210"/>
      <c r="SRI210"/>
      <c r="SRJ210"/>
      <c r="SRK210"/>
      <c r="SRL210"/>
      <c r="SRM210"/>
      <c r="SRN210"/>
      <c r="SRO210"/>
      <c r="SRP210"/>
      <c r="SRQ210"/>
      <c r="SRR210"/>
      <c r="SRS210"/>
      <c r="SRT210"/>
      <c r="SRU210"/>
      <c r="SRV210"/>
      <c r="SRW210"/>
      <c r="SRX210"/>
      <c r="SRY210"/>
      <c r="SRZ210"/>
      <c r="SSA210"/>
      <c r="SSB210"/>
      <c r="SSC210"/>
      <c r="SSD210"/>
      <c r="SSE210"/>
      <c r="SSF210"/>
      <c r="SSG210"/>
      <c r="SSH210"/>
      <c r="SSI210"/>
      <c r="SSJ210"/>
      <c r="SSK210"/>
      <c r="SSL210"/>
      <c r="SSM210"/>
      <c r="SSN210"/>
      <c r="SSO210"/>
      <c r="SSP210"/>
      <c r="SSQ210"/>
      <c r="SSR210"/>
      <c r="SSS210"/>
      <c r="SST210"/>
      <c r="SSU210"/>
      <c r="SSV210"/>
      <c r="SSW210"/>
      <c r="SSX210"/>
      <c r="SSY210"/>
      <c r="SSZ210"/>
      <c r="STA210"/>
      <c r="STB210"/>
      <c r="STC210"/>
      <c r="STD210"/>
      <c r="STE210"/>
      <c r="STF210"/>
      <c r="STG210"/>
      <c r="STH210"/>
      <c r="STI210"/>
      <c r="STJ210"/>
      <c r="STK210"/>
      <c r="STL210"/>
      <c r="STM210"/>
      <c r="STN210"/>
      <c r="STO210"/>
      <c r="STP210"/>
      <c r="STQ210"/>
      <c r="STR210"/>
      <c r="STS210"/>
      <c r="STT210"/>
      <c r="STU210"/>
      <c r="STV210"/>
      <c r="STW210"/>
      <c r="STX210"/>
      <c r="STY210"/>
      <c r="STZ210"/>
      <c r="SUA210"/>
      <c r="SUB210"/>
      <c r="SUC210"/>
      <c r="SUD210"/>
      <c r="SUE210"/>
      <c r="SUF210"/>
      <c r="SUG210"/>
      <c r="SUH210"/>
      <c r="SUI210"/>
      <c r="SUJ210"/>
      <c r="SUK210"/>
      <c r="SUL210"/>
      <c r="SUM210"/>
      <c r="SUN210"/>
      <c r="SUO210"/>
      <c r="SUP210"/>
      <c r="SUQ210"/>
      <c r="SUR210"/>
      <c r="SUS210"/>
      <c r="SUT210"/>
      <c r="SUU210"/>
      <c r="SUV210"/>
      <c r="SUW210"/>
      <c r="SUX210"/>
      <c r="SUY210"/>
      <c r="SUZ210"/>
      <c r="SVA210"/>
      <c r="SVB210"/>
      <c r="SVC210"/>
      <c r="SVD210"/>
      <c r="SVE210"/>
      <c r="SVF210"/>
      <c r="SVG210"/>
      <c r="SVH210"/>
      <c r="SVI210"/>
      <c r="SVJ210"/>
      <c r="SVK210"/>
      <c r="SVL210"/>
      <c r="SVM210"/>
      <c r="SVN210"/>
      <c r="SVO210"/>
      <c r="SVP210"/>
      <c r="SVQ210"/>
      <c r="SVR210"/>
      <c r="SVS210"/>
      <c r="SVT210"/>
      <c r="SVU210"/>
      <c r="SVV210"/>
      <c r="SVW210"/>
      <c r="SVX210"/>
      <c r="SVY210"/>
      <c r="SVZ210"/>
      <c r="SWA210"/>
      <c r="SWB210"/>
      <c r="SWC210"/>
      <c r="SWD210"/>
      <c r="SWE210"/>
      <c r="SWF210"/>
      <c r="SWG210"/>
      <c r="SWH210"/>
      <c r="SWI210"/>
      <c r="SWJ210"/>
      <c r="SWK210"/>
      <c r="SWL210"/>
      <c r="SWM210"/>
      <c r="SWN210"/>
      <c r="SWO210"/>
      <c r="SWP210"/>
      <c r="SWQ210"/>
      <c r="SWR210"/>
      <c r="SWS210"/>
      <c r="SWT210"/>
      <c r="SWU210"/>
      <c r="SWV210"/>
      <c r="SWW210"/>
      <c r="SWX210"/>
      <c r="SWY210"/>
      <c r="SWZ210"/>
      <c r="SXA210"/>
      <c r="SXB210"/>
      <c r="SXC210"/>
      <c r="SXD210"/>
      <c r="SXE210"/>
      <c r="SXF210"/>
      <c r="SXG210"/>
      <c r="SXH210"/>
      <c r="SXI210"/>
      <c r="SXJ210"/>
      <c r="SXK210"/>
      <c r="SXL210"/>
      <c r="SXM210"/>
      <c r="SXN210"/>
      <c r="SXO210"/>
      <c r="SXP210"/>
      <c r="SXQ210"/>
      <c r="SXR210"/>
      <c r="SXS210"/>
      <c r="SXT210"/>
      <c r="SXU210"/>
      <c r="SXV210"/>
      <c r="SXW210"/>
      <c r="SXX210"/>
      <c r="SXY210"/>
      <c r="SXZ210"/>
      <c r="SYA210"/>
      <c r="SYB210"/>
      <c r="SYC210"/>
      <c r="SYD210"/>
      <c r="SYE210"/>
      <c r="SYF210"/>
      <c r="SYG210"/>
      <c r="SYH210"/>
      <c r="SYI210"/>
      <c r="SYJ210"/>
      <c r="SYK210"/>
      <c r="SYL210"/>
      <c r="SYM210"/>
      <c r="SYN210"/>
      <c r="SYO210"/>
      <c r="SYP210"/>
      <c r="SYQ210"/>
      <c r="SYR210"/>
      <c r="SYS210"/>
      <c r="SYT210"/>
      <c r="SYU210"/>
      <c r="SYV210"/>
      <c r="SYW210"/>
      <c r="SYX210"/>
      <c r="SYY210"/>
      <c r="SYZ210"/>
      <c r="SZA210"/>
      <c r="SZB210"/>
      <c r="SZC210"/>
      <c r="SZD210"/>
      <c r="SZE210"/>
      <c r="SZF210"/>
      <c r="SZG210"/>
      <c r="SZH210"/>
      <c r="SZI210"/>
      <c r="SZJ210"/>
      <c r="SZK210"/>
      <c r="SZL210"/>
      <c r="SZM210"/>
      <c r="SZN210"/>
      <c r="SZO210"/>
      <c r="SZP210"/>
      <c r="SZQ210"/>
      <c r="SZR210"/>
      <c r="SZS210"/>
      <c r="SZT210"/>
      <c r="SZU210"/>
      <c r="SZV210"/>
      <c r="SZW210"/>
      <c r="SZX210"/>
      <c r="SZY210"/>
      <c r="SZZ210"/>
      <c r="TAA210"/>
      <c r="TAB210"/>
      <c r="TAC210"/>
      <c r="TAD210"/>
      <c r="TAE210"/>
      <c r="TAF210"/>
      <c r="TAG210"/>
      <c r="TAH210"/>
      <c r="TAI210"/>
      <c r="TAJ210"/>
      <c r="TAK210"/>
      <c r="TAL210"/>
      <c r="TAM210"/>
      <c r="TAN210"/>
      <c r="TAO210"/>
      <c r="TAP210"/>
      <c r="TAQ210"/>
      <c r="TAR210"/>
      <c r="TAS210"/>
      <c r="TAT210"/>
      <c r="TAU210"/>
      <c r="TAV210"/>
      <c r="TAW210"/>
      <c r="TAX210"/>
      <c r="TAY210"/>
      <c r="TAZ210"/>
      <c r="TBA210"/>
      <c r="TBB210"/>
      <c r="TBC210"/>
      <c r="TBD210"/>
      <c r="TBE210"/>
      <c r="TBF210"/>
      <c r="TBG210"/>
      <c r="TBH210"/>
      <c r="TBI210"/>
      <c r="TBJ210"/>
      <c r="TBK210"/>
      <c r="TBL210"/>
      <c r="TBM210"/>
      <c r="TBN210"/>
      <c r="TBO210"/>
      <c r="TBP210"/>
      <c r="TBQ210"/>
      <c r="TBR210"/>
      <c r="TBS210"/>
      <c r="TBT210"/>
      <c r="TBU210"/>
      <c r="TBV210"/>
      <c r="TBW210"/>
      <c r="TBX210"/>
      <c r="TBY210"/>
      <c r="TBZ210"/>
      <c r="TCA210"/>
      <c r="TCB210"/>
      <c r="TCC210"/>
      <c r="TCD210"/>
      <c r="TCE210"/>
      <c r="TCF210"/>
      <c r="TCG210"/>
      <c r="TCH210"/>
      <c r="TCI210"/>
      <c r="TCJ210"/>
      <c r="TCK210"/>
      <c r="TCL210"/>
      <c r="TCM210"/>
      <c r="TCN210"/>
      <c r="TCO210"/>
      <c r="TCP210"/>
      <c r="TCQ210"/>
      <c r="TCR210"/>
      <c r="TCS210"/>
      <c r="TCT210"/>
      <c r="TCU210"/>
      <c r="TCV210"/>
      <c r="TCW210"/>
      <c r="TCX210"/>
      <c r="TCY210"/>
      <c r="TCZ210"/>
      <c r="TDA210"/>
      <c r="TDB210"/>
      <c r="TDC210"/>
      <c r="TDD210"/>
      <c r="TDE210"/>
      <c r="TDF210"/>
      <c r="TDG210"/>
      <c r="TDH210"/>
      <c r="TDI210"/>
      <c r="TDJ210"/>
      <c r="TDK210"/>
      <c r="TDL210"/>
      <c r="TDM210"/>
      <c r="TDN210"/>
      <c r="TDO210"/>
      <c r="TDP210"/>
      <c r="TDQ210"/>
      <c r="TDR210"/>
      <c r="TDS210"/>
      <c r="TDT210"/>
      <c r="TDU210"/>
      <c r="TDV210"/>
      <c r="TDW210"/>
      <c r="TDX210"/>
      <c r="TDY210"/>
      <c r="TDZ210"/>
      <c r="TEA210"/>
      <c r="TEB210"/>
      <c r="TEC210"/>
      <c r="TED210"/>
      <c r="TEE210"/>
      <c r="TEF210"/>
      <c r="TEG210"/>
      <c r="TEH210"/>
      <c r="TEI210"/>
      <c r="TEJ210"/>
      <c r="TEK210"/>
      <c r="TEL210"/>
      <c r="TEM210"/>
      <c r="TEN210"/>
      <c r="TEO210"/>
      <c r="TEP210"/>
      <c r="TEQ210"/>
      <c r="TER210"/>
      <c r="TES210"/>
      <c r="TET210"/>
      <c r="TEU210"/>
      <c r="TEV210"/>
      <c r="TEW210"/>
      <c r="TEX210"/>
      <c r="TEY210"/>
      <c r="TEZ210"/>
      <c r="TFA210"/>
      <c r="TFB210"/>
      <c r="TFC210"/>
      <c r="TFD210"/>
      <c r="TFE210"/>
      <c r="TFF210"/>
      <c r="TFG210"/>
      <c r="TFH210"/>
      <c r="TFI210"/>
      <c r="TFJ210"/>
      <c r="TFK210"/>
      <c r="TFL210"/>
      <c r="TFM210"/>
      <c r="TFN210"/>
      <c r="TFO210"/>
      <c r="TFP210"/>
      <c r="TFQ210"/>
      <c r="TFR210"/>
      <c r="TFS210"/>
      <c r="TFT210"/>
      <c r="TFU210"/>
      <c r="TFV210"/>
      <c r="TFW210"/>
      <c r="TFX210"/>
      <c r="TFY210"/>
      <c r="TFZ210"/>
      <c r="TGA210"/>
      <c r="TGB210"/>
      <c r="TGC210"/>
      <c r="TGD210"/>
      <c r="TGE210"/>
      <c r="TGF210"/>
      <c r="TGG210"/>
      <c r="TGH210"/>
      <c r="TGI210"/>
      <c r="TGJ210"/>
      <c r="TGK210"/>
      <c r="TGL210"/>
      <c r="TGM210"/>
      <c r="TGN210"/>
      <c r="TGO210"/>
      <c r="TGP210"/>
      <c r="TGQ210"/>
      <c r="TGR210"/>
      <c r="TGS210"/>
      <c r="TGT210"/>
      <c r="TGU210"/>
      <c r="TGV210"/>
      <c r="TGW210"/>
      <c r="TGX210"/>
      <c r="TGY210"/>
      <c r="TGZ210"/>
      <c r="THA210"/>
      <c r="THB210"/>
      <c r="THC210"/>
      <c r="THD210"/>
      <c r="THE210"/>
      <c r="THF210"/>
      <c r="THG210"/>
      <c r="THH210"/>
      <c r="THI210"/>
      <c r="THJ210"/>
      <c r="THK210"/>
      <c r="THL210"/>
      <c r="THM210"/>
      <c r="THN210"/>
      <c r="THO210"/>
      <c r="THP210"/>
      <c r="THQ210"/>
      <c r="THR210"/>
      <c r="THS210"/>
      <c r="THT210"/>
      <c r="THU210"/>
      <c r="THV210"/>
      <c r="THW210"/>
      <c r="THX210"/>
      <c r="THY210"/>
      <c r="THZ210"/>
      <c r="TIA210"/>
      <c r="TIB210"/>
      <c r="TIC210"/>
      <c r="TID210"/>
      <c r="TIE210"/>
      <c r="TIF210"/>
      <c r="TIG210"/>
      <c r="TIH210"/>
      <c r="TII210"/>
      <c r="TIJ210"/>
      <c r="TIK210"/>
      <c r="TIL210"/>
      <c r="TIM210"/>
      <c r="TIN210"/>
      <c r="TIO210"/>
      <c r="TIP210"/>
      <c r="TIQ210"/>
      <c r="TIR210"/>
      <c r="TIS210"/>
      <c r="TIT210"/>
      <c r="TIU210"/>
      <c r="TIV210"/>
      <c r="TIW210"/>
      <c r="TIX210"/>
      <c r="TIY210"/>
      <c r="TIZ210"/>
      <c r="TJA210"/>
      <c r="TJB210"/>
      <c r="TJC210"/>
      <c r="TJD210"/>
      <c r="TJE210"/>
      <c r="TJF210"/>
      <c r="TJG210"/>
      <c r="TJH210"/>
      <c r="TJI210"/>
      <c r="TJJ210"/>
      <c r="TJK210"/>
      <c r="TJL210"/>
      <c r="TJM210"/>
      <c r="TJN210"/>
      <c r="TJO210"/>
      <c r="TJP210"/>
      <c r="TJQ210"/>
      <c r="TJR210"/>
      <c r="TJS210"/>
      <c r="TJT210"/>
      <c r="TJU210"/>
      <c r="TJV210"/>
      <c r="TJW210"/>
      <c r="TJX210"/>
      <c r="TJY210"/>
      <c r="TJZ210"/>
      <c r="TKA210"/>
      <c r="TKB210"/>
      <c r="TKC210"/>
      <c r="TKD210"/>
      <c r="TKE210"/>
      <c r="TKF210"/>
      <c r="TKG210"/>
      <c r="TKH210"/>
      <c r="TKI210"/>
      <c r="TKJ210"/>
      <c r="TKK210"/>
      <c r="TKL210"/>
      <c r="TKM210"/>
      <c r="TKN210"/>
      <c r="TKO210"/>
      <c r="TKP210"/>
      <c r="TKQ210"/>
      <c r="TKR210"/>
      <c r="TKS210"/>
      <c r="TKT210"/>
      <c r="TKU210"/>
      <c r="TKV210"/>
      <c r="TKW210"/>
      <c r="TKX210"/>
      <c r="TKY210"/>
      <c r="TKZ210"/>
      <c r="TLA210"/>
      <c r="TLB210"/>
      <c r="TLC210"/>
      <c r="TLD210"/>
      <c r="TLE210"/>
      <c r="TLF210"/>
      <c r="TLG210"/>
      <c r="TLH210"/>
      <c r="TLI210"/>
      <c r="TLJ210"/>
      <c r="TLK210"/>
      <c r="TLL210"/>
      <c r="TLM210"/>
      <c r="TLN210"/>
      <c r="TLO210"/>
      <c r="TLP210"/>
      <c r="TLQ210"/>
      <c r="TLR210"/>
      <c r="TLS210"/>
      <c r="TLT210"/>
      <c r="TLU210"/>
      <c r="TLV210"/>
      <c r="TLW210"/>
      <c r="TLX210"/>
      <c r="TLY210"/>
      <c r="TLZ210"/>
      <c r="TMA210"/>
      <c r="TMB210"/>
      <c r="TMC210"/>
      <c r="TMD210"/>
      <c r="TME210"/>
      <c r="TMF210"/>
      <c r="TMG210"/>
      <c r="TMH210"/>
      <c r="TMI210"/>
      <c r="TMJ210"/>
      <c r="TMK210"/>
      <c r="TML210"/>
      <c r="TMM210"/>
      <c r="TMN210"/>
      <c r="TMO210"/>
      <c r="TMP210"/>
      <c r="TMQ210"/>
      <c r="TMR210"/>
      <c r="TMS210"/>
      <c r="TMT210"/>
      <c r="TMU210"/>
      <c r="TMV210"/>
      <c r="TMW210"/>
      <c r="TMX210"/>
      <c r="TMY210"/>
      <c r="TMZ210"/>
      <c r="TNA210"/>
      <c r="TNB210"/>
      <c r="TNC210"/>
      <c r="TND210"/>
      <c r="TNE210"/>
      <c r="TNF210"/>
      <c r="TNG210"/>
      <c r="TNH210"/>
      <c r="TNI210"/>
      <c r="TNJ210"/>
      <c r="TNK210"/>
      <c r="TNL210"/>
      <c r="TNM210"/>
      <c r="TNN210"/>
      <c r="TNO210"/>
      <c r="TNP210"/>
      <c r="TNQ210"/>
      <c r="TNR210"/>
      <c r="TNS210"/>
      <c r="TNT210"/>
      <c r="TNU210"/>
      <c r="TNV210"/>
      <c r="TNW210"/>
      <c r="TNX210"/>
      <c r="TNY210"/>
      <c r="TNZ210"/>
      <c r="TOA210"/>
      <c r="TOB210"/>
      <c r="TOC210"/>
      <c r="TOD210"/>
      <c r="TOE210"/>
      <c r="TOF210"/>
      <c r="TOG210"/>
      <c r="TOH210"/>
      <c r="TOI210"/>
      <c r="TOJ210"/>
      <c r="TOK210"/>
      <c r="TOL210"/>
      <c r="TOM210"/>
      <c r="TON210"/>
      <c r="TOO210"/>
      <c r="TOP210"/>
      <c r="TOQ210"/>
      <c r="TOR210"/>
      <c r="TOS210"/>
      <c r="TOT210"/>
      <c r="TOU210"/>
      <c r="TOV210"/>
      <c r="TOW210"/>
      <c r="TOX210"/>
      <c r="TOY210"/>
      <c r="TOZ210"/>
      <c r="TPA210"/>
      <c r="TPB210"/>
      <c r="TPC210"/>
      <c r="TPD210"/>
      <c r="TPE210"/>
      <c r="TPF210"/>
      <c r="TPG210"/>
      <c r="TPH210"/>
      <c r="TPI210"/>
      <c r="TPJ210"/>
      <c r="TPK210"/>
      <c r="TPL210"/>
      <c r="TPM210"/>
      <c r="TPN210"/>
      <c r="TPO210"/>
      <c r="TPP210"/>
      <c r="TPQ210"/>
      <c r="TPR210"/>
      <c r="TPS210"/>
      <c r="TPT210"/>
      <c r="TPU210"/>
      <c r="TPV210"/>
      <c r="TPW210"/>
      <c r="TPX210"/>
      <c r="TPY210"/>
      <c r="TPZ210"/>
      <c r="TQA210"/>
      <c r="TQB210"/>
      <c r="TQC210"/>
      <c r="TQD210"/>
      <c r="TQE210"/>
      <c r="TQF210"/>
      <c r="TQG210"/>
      <c r="TQH210"/>
      <c r="TQI210"/>
      <c r="TQJ210"/>
      <c r="TQK210"/>
      <c r="TQL210"/>
      <c r="TQM210"/>
      <c r="TQN210"/>
      <c r="TQO210"/>
      <c r="TQP210"/>
      <c r="TQQ210"/>
      <c r="TQR210"/>
      <c r="TQS210"/>
      <c r="TQT210"/>
      <c r="TQU210"/>
      <c r="TQV210"/>
      <c r="TQW210"/>
      <c r="TQX210"/>
      <c r="TQY210"/>
      <c r="TQZ210"/>
      <c r="TRA210"/>
      <c r="TRB210"/>
      <c r="TRC210"/>
      <c r="TRD210"/>
      <c r="TRE210"/>
      <c r="TRF210"/>
      <c r="TRG210"/>
      <c r="TRH210"/>
      <c r="TRI210"/>
      <c r="TRJ210"/>
      <c r="TRK210"/>
      <c r="TRL210"/>
      <c r="TRM210"/>
      <c r="TRN210"/>
      <c r="TRO210"/>
      <c r="TRP210"/>
      <c r="TRQ210"/>
      <c r="TRR210"/>
      <c r="TRS210"/>
      <c r="TRT210"/>
      <c r="TRU210"/>
      <c r="TRV210"/>
      <c r="TRW210"/>
      <c r="TRX210"/>
      <c r="TRY210"/>
      <c r="TRZ210"/>
      <c r="TSA210"/>
      <c r="TSB210"/>
      <c r="TSC210"/>
      <c r="TSD210"/>
      <c r="TSE210"/>
      <c r="TSF210"/>
      <c r="TSG210"/>
      <c r="TSH210"/>
      <c r="TSI210"/>
      <c r="TSJ210"/>
      <c r="TSK210"/>
      <c r="TSL210"/>
      <c r="TSM210"/>
      <c r="TSN210"/>
      <c r="TSO210"/>
      <c r="TSP210"/>
      <c r="TSQ210"/>
      <c r="TSR210"/>
      <c r="TSS210"/>
      <c r="TST210"/>
      <c r="TSU210"/>
      <c r="TSV210"/>
      <c r="TSW210"/>
      <c r="TSX210"/>
      <c r="TSY210"/>
      <c r="TSZ210"/>
      <c r="TTA210"/>
      <c r="TTB210"/>
      <c r="TTC210"/>
      <c r="TTD210"/>
      <c r="TTE210"/>
      <c r="TTF210"/>
      <c r="TTG210"/>
      <c r="TTH210"/>
      <c r="TTI210"/>
      <c r="TTJ210"/>
      <c r="TTK210"/>
      <c r="TTL210"/>
      <c r="TTM210"/>
      <c r="TTN210"/>
      <c r="TTO210"/>
      <c r="TTP210"/>
      <c r="TTQ210"/>
      <c r="TTR210"/>
      <c r="TTS210"/>
      <c r="TTT210"/>
      <c r="TTU210"/>
      <c r="TTV210"/>
      <c r="TTW210"/>
      <c r="TTX210"/>
      <c r="TTY210"/>
      <c r="TTZ210"/>
      <c r="TUA210"/>
      <c r="TUB210"/>
      <c r="TUC210"/>
      <c r="TUD210"/>
      <c r="TUE210"/>
      <c r="TUF210"/>
      <c r="TUG210"/>
      <c r="TUH210"/>
      <c r="TUI210"/>
      <c r="TUJ210"/>
      <c r="TUK210"/>
      <c r="TUL210"/>
      <c r="TUM210"/>
      <c r="TUN210"/>
      <c r="TUO210"/>
      <c r="TUP210"/>
      <c r="TUQ210"/>
      <c r="TUR210"/>
      <c r="TUS210"/>
      <c r="TUT210"/>
      <c r="TUU210"/>
      <c r="TUV210"/>
      <c r="TUW210"/>
      <c r="TUX210"/>
      <c r="TUY210"/>
      <c r="TUZ210"/>
      <c r="TVA210"/>
      <c r="TVB210"/>
      <c r="TVC210"/>
      <c r="TVD210"/>
      <c r="TVE210"/>
      <c r="TVF210"/>
      <c r="TVG210"/>
      <c r="TVH210"/>
      <c r="TVI210"/>
      <c r="TVJ210"/>
      <c r="TVK210"/>
      <c r="TVL210"/>
      <c r="TVM210"/>
      <c r="TVN210"/>
      <c r="TVO210"/>
      <c r="TVP210"/>
      <c r="TVQ210"/>
      <c r="TVR210"/>
      <c r="TVS210"/>
      <c r="TVT210"/>
      <c r="TVU210"/>
      <c r="TVV210"/>
      <c r="TVW210"/>
      <c r="TVX210"/>
      <c r="TVY210"/>
      <c r="TVZ210"/>
      <c r="TWA210"/>
      <c r="TWB210"/>
      <c r="TWC210"/>
      <c r="TWD210"/>
      <c r="TWE210"/>
      <c r="TWF210"/>
      <c r="TWG210"/>
      <c r="TWH210"/>
      <c r="TWI210"/>
      <c r="TWJ210"/>
      <c r="TWK210"/>
      <c r="TWL210"/>
      <c r="TWM210"/>
      <c r="TWN210"/>
      <c r="TWO210"/>
      <c r="TWP210"/>
      <c r="TWQ210"/>
      <c r="TWR210"/>
      <c r="TWS210"/>
      <c r="TWT210"/>
      <c r="TWU210"/>
      <c r="TWV210"/>
      <c r="TWW210"/>
      <c r="TWX210"/>
      <c r="TWY210"/>
      <c r="TWZ210"/>
      <c r="TXA210"/>
      <c r="TXB210"/>
      <c r="TXC210"/>
      <c r="TXD210"/>
      <c r="TXE210"/>
      <c r="TXF210"/>
      <c r="TXG210"/>
      <c r="TXH210"/>
      <c r="TXI210"/>
      <c r="TXJ210"/>
      <c r="TXK210"/>
      <c r="TXL210"/>
      <c r="TXM210"/>
      <c r="TXN210"/>
      <c r="TXO210"/>
      <c r="TXP210"/>
      <c r="TXQ210"/>
      <c r="TXR210"/>
      <c r="TXS210"/>
      <c r="TXT210"/>
      <c r="TXU210"/>
      <c r="TXV210"/>
      <c r="TXW210"/>
      <c r="TXX210"/>
      <c r="TXY210"/>
      <c r="TXZ210"/>
      <c r="TYA210"/>
      <c r="TYB210"/>
      <c r="TYC210"/>
      <c r="TYD210"/>
      <c r="TYE210"/>
      <c r="TYF210"/>
      <c r="TYG210"/>
      <c r="TYH210"/>
      <c r="TYI210"/>
      <c r="TYJ210"/>
      <c r="TYK210"/>
      <c r="TYL210"/>
      <c r="TYM210"/>
      <c r="TYN210"/>
      <c r="TYO210"/>
      <c r="TYP210"/>
      <c r="TYQ210"/>
      <c r="TYR210"/>
      <c r="TYS210"/>
      <c r="TYT210"/>
      <c r="TYU210"/>
      <c r="TYV210"/>
      <c r="TYW210"/>
      <c r="TYX210"/>
      <c r="TYY210"/>
      <c r="TYZ210"/>
      <c r="TZA210"/>
      <c r="TZB210"/>
      <c r="TZC210"/>
      <c r="TZD210"/>
      <c r="TZE210"/>
      <c r="TZF210"/>
      <c r="TZG210"/>
      <c r="TZH210"/>
      <c r="TZI210"/>
      <c r="TZJ210"/>
      <c r="TZK210"/>
      <c r="TZL210"/>
      <c r="TZM210"/>
      <c r="TZN210"/>
      <c r="TZO210"/>
      <c r="TZP210"/>
      <c r="TZQ210"/>
      <c r="TZR210"/>
      <c r="TZS210"/>
      <c r="TZT210"/>
      <c r="TZU210"/>
      <c r="TZV210"/>
      <c r="TZW210"/>
      <c r="TZX210"/>
      <c r="TZY210"/>
      <c r="TZZ210"/>
      <c r="UAA210"/>
      <c r="UAB210"/>
      <c r="UAC210"/>
      <c r="UAD210"/>
      <c r="UAE210"/>
      <c r="UAF210"/>
      <c r="UAG210"/>
      <c r="UAH210"/>
      <c r="UAI210"/>
      <c r="UAJ210"/>
      <c r="UAK210"/>
      <c r="UAL210"/>
      <c r="UAM210"/>
      <c r="UAN210"/>
      <c r="UAO210"/>
      <c r="UAP210"/>
      <c r="UAQ210"/>
      <c r="UAR210"/>
      <c r="UAS210"/>
      <c r="UAT210"/>
      <c r="UAU210"/>
      <c r="UAV210"/>
      <c r="UAW210"/>
      <c r="UAX210"/>
      <c r="UAY210"/>
      <c r="UAZ210"/>
      <c r="UBA210"/>
      <c r="UBB210"/>
      <c r="UBC210"/>
      <c r="UBD210"/>
      <c r="UBE210"/>
      <c r="UBF210"/>
      <c r="UBG210"/>
      <c r="UBH210"/>
      <c r="UBI210"/>
      <c r="UBJ210"/>
      <c r="UBK210"/>
      <c r="UBL210"/>
      <c r="UBM210"/>
      <c r="UBN210"/>
      <c r="UBO210"/>
      <c r="UBP210"/>
      <c r="UBQ210"/>
      <c r="UBR210"/>
      <c r="UBS210"/>
      <c r="UBT210"/>
      <c r="UBU210"/>
      <c r="UBV210"/>
      <c r="UBW210"/>
      <c r="UBX210"/>
      <c r="UBY210"/>
      <c r="UBZ210"/>
      <c r="UCA210"/>
      <c r="UCB210"/>
      <c r="UCC210"/>
      <c r="UCD210"/>
      <c r="UCE210"/>
      <c r="UCF210"/>
      <c r="UCG210"/>
      <c r="UCH210"/>
      <c r="UCI210"/>
      <c r="UCJ210"/>
      <c r="UCK210"/>
      <c r="UCL210"/>
      <c r="UCM210"/>
      <c r="UCN210"/>
      <c r="UCO210"/>
      <c r="UCP210"/>
      <c r="UCQ210"/>
      <c r="UCR210"/>
      <c r="UCS210"/>
      <c r="UCT210"/>
      <c r="UCU210"/>
      <c r="UCV210"/>
      <c r="UCW210"/>
      <c r="UCX210"/>
      <c r="UCY210"/>
      <c r="UCZ210"/>
      <c r="UDA210"/>
      <c r="UDB210"/>
      <c r="UDC210"/>
      <c r="UDD210"/>
      <c r="UDE210"/>
      <c r="UDF210"/>
      <c r="UDG210"/>
      <c r="UDH210"/>
      <c r="UDI210"/>
      <c r="UDJ210"/>
      <c r="UDK210"/>
      <c r="UDL210"/>
      <c r="UDM210"/>
      <c r="UDN210"/>
      <c r="UDO210"/>
      <c r="UDP210"/>
      <c r="UDQ210"/>
      <c r="UDR210"/>
      <c r="UDS210"/>
      <c r="UDT210"/>
      <c r="UDU210"/>
      <c r="UDV210"/>
      <c r="UDW210"/>
      <c r="UDX210"/>
      <c r="UDY210"/>
      <c r="UDZ210"/>
      <c r="UEA210"/>
      <c r="UEB210"/>
      <c r="UEC210"/>
      <c r="UED210"/>
      <c r="UEE210"/>
      <c r="UEF210"/>
      <c r="UEG210"/>
      <c r="UEH210"/>
      <c r="UEI210"/>
      <c r="UEJ210"/>
      <c r="UEK210"/>
      <c r="UEL210"/>
      <c r="UEM210"/>
      <c r="UEN210"/>
      <c r="UEO210"/>
      <c r="UEP210"/>
      <c r="UEQ210"/>
      <c r="UER210"/>
      <c r="UES210"/>
      <c r="UET210"/>
      <c r="UEU210"/>
      <c r="UEV210"/>
      <c r="UEW210"/>
      <c r="UEX210"/>
      <c r="UEY210"/>
      <c r="UEZ210"/>
      <c r="UFA210"/>
      <c r="UFB210"/>
      <c r="UFC210"/>
      <c r="UFD210"/>
      <c r="UFE210"/>
      <c r="UFF210"/>
      <c r="UFG210"/>
      <c r="UFH210"/>
      <c r="UFI210"/>
      <c r="UFJ210"/>
      <c r="UFK210"/>
      <c r="UFL210"/>
      <c r="UFM210"/>
      <c r="UFN210"/>
      <c r="UFO210"/>
      <c r="UFP210"/>
      <c r="UFQ210"/>
      <c r="UFR210"/>
      <c r="UFS210"/>
      <c r="UFT210"/>
      <c r="UFU210"/>
      <c r="UFV210"/>
      <c r="UFW210"/>
      <c r="UFX210"/>
      <c r="UFY210"/>
      <c r="UFZ210"/>
      <c r="UGA210"/>
      <c r="UGB210"/>
      <c r="UGC210"/>
      <c r="UGD210"/>
      <c r="UGE210"/>
      <c r="UGF210"/>
      <c r="UGG210"/>
      <c r="UGH210"/>
      <c r="UGI210"/>
      <c r="UGJ210"/>
      <c r="UGK210"/>
      <c r="UGL210"/>
      <c r="UGM210"/>
      <c r="UGN210"/>
      <c r="UGO210"/>
      <c r="UGP210"/>
      <c r="UGQ210"/>
      <c r="UGR210"/>
      <c r="UGS210"/>
      <c r="UGT210"/>
      <c r="UGU210"/>
      <c r="UGV210"/>
      <c r="UGW210"/>
      <c r="UGX210"/>
      <c r="UGY210"/>
      <c r="UGZ210"/>
      <c r="UHA210"/>
      <c r="UHB210"/>
      <c r="UHC210"/>
      <c r="UHD210"/>
      <c r="UHE210"/>
      <c r="UHF210"/>
      <c r="UHG210"/>
      <c r="UHH210"/>
      <c r="UHI210"/>
      <c r="UHJ210"/>
      <c r="UHK210"/>
      <c r="UHL210"/>
      <c r="UHM210"/>
      <c r="UHN210"/>
      <c r="UHO210"/>
      <c r="UHP210"/>
      <c r="UHQ210"/>
      <c r="UHR210"/>
      <c r="UHS210"/>
      <c r="UHT210"/>
      <c r="UHU210"/>
      <c r="UHV210"/>
      <c r="UHW210"/>
      <c r="UHX210"/>
      <c r="UHY210"/>
      <c r="UHZ210"/>
      <c r="UIA210"/>
      <c r="UIB210"/>
      <c r="UIC210"/>
      <c r="UID210"/>
      <c r="UIE210"/>
      <c r="UIF210"/>
      <c r="UIG210"/>
      <c r="UIH210"/>
      <c r="UII210"/>
      <c r="UIJ210"/>
      <c r="UIK210"/>
      <c r="UIL210"/>
      <c r="UIM210"/>
      <c r="UIN210"/>
      <c r="UIO210"/>
      <c r="UIP210"/>
      <c r="UIQ210"/>
      <c r="UIR210"/>
      <c r="UIS210"/>
      <c r="UIT210"/>
      <c r="UIU210"/>
      <c r="UIV210"/>
      <c r="UIW210"/>
      <c r="UIX210"/>
      <c r="UIY210"/>
      <c r="UIZ210"/>
      <c r="UJA210"/>
      <c r="UJB210"/>
      <c r="UJC210"/>
      <c r="UJD210"/>
      <c r="UJE210"/>
      <c r="UJF210"/>
      <c r="UJG210"/>
      <c r="UJH210"/>
      <c r="UJI210"/>
      <c r="UJJ210"/>
      <c r="UJK210"/>
      <c r="UJL210"/>
      <c r="UJM210"/>
      <c r="UJN210"/>
      <c r="UJO210"/>
      <c r="UJP210"/>
      <c r="UJQ210"/>
      <c r="UJR210"/>
      <c r="UJS210"/>
      <c r="UJT210"/>
      <c r="UJU210"/>
      <c r="UJV210"/>
      <c r="UJW210"/>
      <c r="UJX210"/>
      <c r="UJY210"/>
      <c r="UJZ210"/>
      <c r="UKA210"/>
      <c r="UKB210"/>
      <c r="UKC210"/>
      <c r="UKD210"/>
      <c r="UKE210"/>
      <c r="UKF210"/>
      <c r="UKG210"/>
      <c r="UKH210"/>
      <c r="UKI210"/>
      <c r="UKJ210"/>
      <c r="UKK210"/>
      <c r="UKL210"/>
      <c r="UKM210"/>
      <c r="UKN210"/>
      <c r="UKO210"/>
      <c r="UKP210"/>
      <c r="UKQ210"/>
      <c r="UKR210"/>
      <c r="UKS210"/>
      <c r="UKT210"/>
      <c r="UKU210"/>
      <c r="UKV210"/>
      <c r="UKW210"/>
      <c r="UKX210"/>
      <c r="UKY210"/>
      <c r="UKZ210"/>
      <c r="ULA210"/>
      <c r="ULB210"/>
      <c r="ULC210"/>
      <c r="ULD210"/>
      <c r="ULE210"/>
      <c r="ULF210"/>
      <c r="ULG210"/>
      <c r="ULH210"/>
      <c r="ULI210"/>
      <c r="ULJ210"/>
      <c r="ULK210"/>
      <c r="ULL210"/>
      <c r="ULM210"/>
      <c r="ULN210"/>
      <c r="ULO210"/>
      <c r="ULP210"/>
      <c r="ULQ210"/>
      <c r="ULR210"/>
      <c r="ULS210"/>
      <c r="ULT210"/>
      <c r="ULU210"/>
      <c r="ULV210"/>
      <c r="ULW210"/>
      <c r="ULX210"/>
      <c r="ULY210"/>
      <c r="ULZ210"/>
      <c r="UMA210"/>
      <c r="UMB210"/>
      <c r="UMC210"/>
      <c r="UMD210"/>
      <c r="UME210"/>
      <c r="UMF210"/>
      <c r="UMG210"/>
      <c r="UMH210"/>
      <c r="UMI210"/>
      <c r="UMJ210"/>
      <c r="UMK210"/>
      <c r="UML210"/>
      <c r="UMM210"/>
      <c r="UMN210"/>
      <c r="UMO210"/>
      <c r="UMP210"/>
      <c r="UMQ210"/>
      <c r="UMR210"/>
      <c r="UMS210"/>
      <c r="UMT210"/>
      <c r="UMU210"/>
      <c r="UMV210"/>
      <c r="UMW210"/>
      <c r="UMX210"/>
      <c r="UMY210"/>
      <c r="UMZ210"/>
      <c r="UNA210"/>
      <c r="UNB210"/>
      <c r="UNC210"/>
      <c r="UND210"/>
      <c r="UNE210"/>
      <c r="UNF210"/>
      <c r="UNG210"/>
      <c r="UNH210"/>
      <c r="UNI210"/>
      <c r="UNJ210"/>
      <c r="UNK210"/>
      <c r="UNL210"/>
      <c r="UNM210"/>
      <c r="UNN210"/>
      <c r="UNO210"/>
      <c r="UNP210"/>
      <c r="UNQ210"/>
      <c r="UNR210"/>
      <c r="UNS210"/>
      <c r="UNT210"/>
      <c r="UNU210"/>
      <c r="UNV210"/>
      <c r="UNW210"/>
      <c r="UNX210"/>
      <c r="UNY210"/>
      <c r="UNZ210"/>
      <c r="UOA210"/>
      <c r="UOB210"/>
      <c r="UOC210"/>
      <c r="UOD210"/>
      <c r="UOE210"/>
      <c r="UOF210"/>
      <c r="UOG210"/>
      <c r="UOH210"/>
      <c r="UOI210"/>
      <c r="UOJ210"/>
      <c r="UOK210"/>
      <c r="UOL210"/>
      <c r="UOM210"/>
      <c r="UON210"/>
      <c r="UOO210"/>
      <c r="UOP210"/>
      <c r="UOQ210"/>
      <c r="UOR210"/>
      <c r="UOS210"/>
      <c r="UOT210"/>
      <c r="UOU210"/>
      <c r="UOV210"/>
      <c r="UOW210"/>
      <c r="UOX210"/>
      <c r="UOY210"/>
      <c r="UOZ210"/>
      <c r="UPA210"/>
      <c r="UPB210"/>
      <c r="UPC210"/>
      <c r="UPD210"/>
      <c r="UPE210"/>
      <c r="UPF210"/>
      <c r="UPG210"/>
      <c r="UPH210"/>
      <c r="UPI210"/>
      <c r="UPJ210"/>
      <c r="UPK210"/>
      <c r="UPL210"/>
      <c r="UPM210"/>
      <c r="UPN210"/>
      <c r="UPO210"/>
      <c r="UPP210"/>
      <c r="UPQ210"/>
      <c r="UPR210"/>
      <c r="UPS210"/>
      <c r="UPT210"/>
      <c r="UPU210"/>
      <c r="UPV210"/>
      <c r="UPW210"/>
      <c r="UPX210"/>
      <c r="UPY210"/>
      <c r="UPZ210"/>
      <c r="UQA210"/>
      <c r="UQB210"/>
      <c r="UQC210"/>
      <c r="UQD210"/>
      <c r="UQE210"/>
      <c r="UQF210"/>
      <c r="UQG210"/>
      <c r="UQH210"/>
      <c r="UQI210"/>
      <c r="UQJ210"/>
      <c r="UQK210"/>
      <c r="UQL210"/>
      <c r="UQM210"/>
      <c r="UQN210"/>
      <c r="UQO210"/>
      <c r="UQP210"/>
      <c r="UQQ210"/>
      <c r="UQR210"/>
      <c r="UQS210"/>
      <c r="UQT210"/>
      <c r="UQU210"/>
      <c r="UQV210"/>
      <c r="UQW210"/>
      <c r="UQX210"/>
      <c r="UQY210"/>
      <c r="UQZ210"/>
      <c r="URA210"/>
      <c r="URB210"/>
      <c r="URC210"/>
      <c r="URD210"/>
      <c r="URE210"/>
      <c r="URF210"/>
      <c r="URG210"/>
      <c r="URH210"/>
      <c r="URI210"/>
      <c r="URJ210"/>
      <c r="URK210"/>
      <c r="URL210"/>
      <c r="URM210"/>
      <c r="URN210"/>
      <c r="URO210"/>
      <c r="URP210"/>
      <c r="URQ210"/>
      <c r="URR210"/>
      <c r="URS210"/>
      <c r="URT210"/>
      <c r="URU210"/>
      <c r="URV210"/>
      <c r="URW210"/>
      <c r="URX210"/>
      <c r="URY210"/>
      <c r="URZ210"/>
      <c r="USA210"/>
      <c r="USB210"/>
      <c r="USC210"/>
      <c r="USD210"/>
      <c r="USE210"/>
      <c r="USF210"/>
      <c r="USG210"/>
      <c r="USH210"/>
      <c r="USI210"/>
      <c r="USJ210"/>
      <c r="USK210"/>
      <c r="USL210"/>
      <c r="USM210"/>
      <c r="USN210"/>
      <c r="USO210"/>
      <c r="USP210"/>
      <c r="USQ210"/>
      <c r="USR210"/>
      <c r="USS210"/>
      <c r="UST210"/>
      <c r="USU210"/>
      <c r="USV210"/>
      <c r="USW210"/>
      <c r="USX210"/>
      <c r="USY210"/>
      <c r="USZ210"/>
      <c r="UTA210"/>
      <c r="UTB210"/>
      <c r="UTC210"/>
      <c r="UTD210"/>
      <c r="UTE210"/>
      <c r="UTF210"/>
      <c r="UTG210"/>
      <c r="UTH210"/>
      <c r="UTI210"/>
      <c r="UTJ210"/>
      <c r="UTK210"/>
      <c r="UTL210"/>
      <c r="UTM210"/>
      <c r="UTN210"/>
      <c r="UTO210"/>
      <c r="UTP210"/>
      <c r="UTQ210"/>
      <c r="UTR210"/>
      <c r="UTS210"/>
      <c r="UTT210"/>
      <c r="UTU210"/>
      <c r="UTV210"/>
      <c r="UTW210"/>
      <c r="UTX210"/>
      <c r="UTY210"/>
      <c r="UTZ210"/>
      <c r="UUA210"/>
      <c r="UUB210"/>
      <c r="UUC210"/>
      <c r="UUD210"/>
      <c r="UUE210"/>
      <c r="UUF210"/>
      <c r="UUG210"/>
      <c r="UUH210"/>
      <c r="UUI210"/>
      <c r="UUJ210"/>
      <c r="UUK210"/>
      <c r="UUL210"/>
      <c r="UUM210"/>
      <c r="UUN210"/>
      <c r="UUO210"/>
      <c r="UUP210"/>
      <c r="UUQ210"/>
      <c r="UUR210"/>
      <c r="UUS210"/>
      <c r="UUT210"/>
      <c r="UUU210"/>
      <c r="UUV210"/>
      <c r="UUW210"/>
      <c r="UUX210"/>
      <c r="UUY210"/>
      <c r="UUZ210"/>
      <c r="UVA210"/>
      <c r="UVB210"/>
      <c r="UVC210"/>
      <c r="UVD210"/>
      <c r="UVE210"/>
      <c r="UVF210"/>
      <c r="UVG210"/>
      <c r="UVH210"/>
      <c r="UVI210"/>
      <c r="UVJ210"/>
      <c r="UVK210"/>
      <c r="UVL210"/>
      <c r="UVM210"/>
      <c r="UVN210"/>
      <c r="UVO210"/>
      <c r="UVP210"/>
      <c r="UVQ210"/>
      <c r="UVR210"/>
      <c r="UVS210"/>
      <c r="UVT210"/>
      <c r="UVU210"/>
      <c r="UVV210"/>
      <c r="UVW210"/>
      <c r="UVX210"/>
      <c r="UVY210"/>
      <c r="UVZ210"/>
      <c r="UWA210"/>
      <c r="UWB210"/>
      <c r="UWC210"/>
      <c r="UWD210"/>
      <c r="UWE210"/>
      <c r="UWF210"/>
      <c r="UWG210"/>
      <c r="UWH210"/>
      <c r="UWI210"/>
      <c r="UWJ210"/>
      <c r="UWK210"/>
      <c r="UWL210"/>
      <c r="UWM210"/>
      <c r="UWN210"/>
      <c r="UWO210"/>
      <c r="UWP210"/>
      <c r="UWQ210"/>
      <c r="UWR210"/>
      <c r="UWS210"/>
      <c r="UWT210"/>
      <c r="UWU210"/>
      <c r="UWV210"/>
      <c r="UWW210"/>
      <c r="UWX210"/>
      <c r="UWY210"/>
      <c r="UWZ210"/>
      <c r="UXA210"/>
      <c r="UXB210"/>
      <c r="UXC210"/>
      <c r="UXD210"/>
      <c r="UXE210"/>
      <c r="UXF210"/>
      <c r="UXG210"/>
      <c r="UXH210"/>
      <c r="UXI210"/>
      <c r="UXJ210"/>
      <c r="UXK210"/>
      <c r="UXL210"/>
      <c r="UXM210"/>
      <c r="UXN210"/>
      <c r="UXO210"/>
      <c r="UXP210"/>
      <c r="UXQ210"/>
      <c r="UXR210"/>
      <c r="UXS210"/>
      <c r="UXT210"/>
      <c r="UXU210"/>
      <c r="UXV210"/>
      <c r="UXW210"/>
      <c r="UXX210"/>
      <c r="UXY210"/>
      <c r="UXZ210"/>
      <c r="UYA210"/>
      <c r="UYB210"/>
      <c r="UYC210"/>
      <c r="UYD210"/>
      <c r="UYE210"/>
      <c r="UYF210"/>
      <c r="UYG210"/>
      <c r="UYH210"/>
      <c r="UYI210"/>
      <c r="UYJ210"/>
      <c r="UYK210"/>
      <c r="UYL210"/>
      <c r="UYM210"/>
      <c r="UYN210"/>
      <c r="UYO210"/>
      <c r="UYP210"/>
      <c r="UYQ210"/>
      <c r="UYR210"/>
      <c r="UYS210"/>
      <c r="UYT210"/>
      <c r="UYU210"/>
      <c r="UYV210"/>
      <c r="UYW210"/>
      <c r="UYX210"/>
      <c r="UYY210"/>
      <c r="UYZ210"/>
      <c r="UZA210"/>
      <c r="UZB210"/>
      <c r="UZC210"/>
      <c r="UZD210"/>
      <c r="UZE210"/>
      <c r="UZF210"/>
      <c r="UZG210"/>
      <c r="UZH210"/>
      <c r="UZI210"/>
      <c r="UZJ210"/>
      <c r="UZK210"/>
      <c r="UZL210"/>
      <c r="UZM210"/>
      <c r="UZN210"/>
      <c r="UZO210"/>
      <c r="UZP210"/>
      <c r="UZQ210"/>
      <c r="UZR210"/>
      <c r="UZS210"/>
      <c r="UZT210"/>
      <c r="UZU210"/>
      <c r="UZV210"/>
      <c r="UZW210"/>
      <c r="UZX210"/>
      <c r="UZY210"/>
      <c r="UZZ210"/>
      <c r="VAA210"/>
      <c r="VAB210"/>
      <c r="VAC210"/>
      <c r="VAD210"/>
      <c r="VAE210"/>
      <c r="VAF210"/>
      <c r="VAG210"/>
      <c r="VAH210"/>
      <c r="VAI210"/>
      <c r="VAJ210"/>
      <c r="VAK210"/>
      <c r="VAL210"/>
      <c r="VAM210"/>
      <c r="VAN210"/>
      <c r="VAO210"/>
      <c r="VAP210"/>
      <c r="VAQ210"/>
      <c r="VAR210"/>
      <c r="VAS210"/>
      <c r="VAT210"/>
      <c r="VAU210"/>
      <c r="VAV210"/>
      <c r="VAW210"/>
      <c r="VAX210"/>
      <c r="VAY210"/>
      <c r="VAZ210"/>
      <c r="VBA210"/>
      <c r="VBB210"/>
      <c r="VBC210"/>
      <c r="VBD210"/>
      <c r="VBE210"/>
      <c r="VBF210"/>
      <c r="VBG210"/>
      <c r="VBH210"/>
      <c r="VBI210"/>
      <c r="VBJ210"/>
      <c r="VBK210"/>
      <c r="VBL210"/>
      <c r="VBM210"/>
      <c r="VBN210"/>
      <c r="VBO210"/>
      <c r="VBP210"/>
      <c r="VBQ210"/>
      <c r="VBR210"/>
      <c r="VBS210"/>
      <c r="VBT210"/>
      <c r="VBU210"/>
      <c r="VBV210"/>
      <c r="VBW210"/>
      <c r="VBX210"/>
      <c r="VBY210"/>
      <c r="VBZ210"/>
      <c r="VCA210"/>
      <c r="VCB210"/>
      <c r="VCC210"/>
      <c r="VCD210"/>
      <c r="VCE210"/>
      <c r="VCF210"/>
      <c r="VCG210"/>
      <c r="VCH210"/>
      <c r="VCI210"/>
      <c r="VCJ210"/>
      <c r="VCK210"/>
      <c r="VCL210"/>
      <c r="VCM210"/>
      <c r="VCN210"/>
      <c r="VCO210"/>
      <c r="VCP210"/>
      <c r="VCQ210"/>
      <c r="VCR210"/>
      <c r="VCS210"/>
      <c r="VCT210"/>
      <c r="VCU210"/>
      <c r="VCV210"/>
      <c r="VCW210"/>
      <c r="VCX210"/>
      <c r="VCY210"/>
      <c r="VCZ210"/>
      <c r="VDA210"/>
      <c r="VDB210"/>
      <c r="VDC210"/>
      <c r="VDD210"/>
      <c r="VDE210"/>
      <c r="VDF210"/>
      <c r="VDG210"/>
      <c r="VDH210"/>
      <c r="VDI210"/>
      <c r="VDJ210"/>
      <c r="VDK210"/>
      <c r="VDL210"/>
      <c r="VDM210"/>
      <c r="VDN210"/>
      <c r="VDO210"/>
      <c r="VDP210"/>
      <c r="VDQ210"/>
      <c r="VDR210"/>
      <c r="VDS210"/>
      <c r="VDT210"/>
      <c r="VDU210"/>
      <c r="VDV210"/>
      <c r="VDW210"/>
      <c r="VDX210"/>
      <c r="VDY210"/>
      <c r="VDZ210"/>
      <c r="VEA210"/>
      <c r="VEB210"/>
      <c r="VEC210"/>
      <c r="VED210"/>
      <c r="VEE210"/>
      <c r="VEF210"/>
      <c r="VEG210"/>
      <c r="VEH210"/>
      <c r="VEI210"/>
      <c r="VEJ210"/>
      <c r="VEK210"/>
      <c r="VEL210"/>
      <c r="VEM210"/>
      <c r="VEN210"/>
      <c r="VEO210"/>
      <c r="VEP210"/>
      <c r="VEQ210"/>
      <c r="VER210"/>
      <c r="VES210"/>
      <c r="VET210"/>
      <c r="VEU210"/>
      <c r="VEV210"/>
      <c r="VEW210"/>
      <c r="VEX210"/>
      <c r="VEY210"/>
      <c r="VEZ210"/>
      <c r="VFA210"/>
      <c r="VFB210"/>
      <c r="VFC210"/>
      <c r="VFD210"/>
      <c r="VFE210"/>
      <c r="VFF210"/>
      <c r="VFG210"/>
      <c r="VFH210"/>
      <c r="VFI210"/>
      <c r="VFJ210"/>
      <c r="VFK210"/>
      <c r="VFL210"/>
      <c r="VFM210"/>
      <c r="VFN210"/>
      <c r="VFO210"/>
      <c r="VFP210"/>
      <c r="VFQ210"/>
      <c r="VFR210"/>
      <c r="VFS210"/>
      <c r="VFT210"/>
      <c r="VFU210"/>
      <c r="VFV210"/>
      <c r="VFW210"/>
      <c r="VFX210"/>
      <c r="VFY210"/>
      <c r="VFZ210"/>
      <c r="VGA210"/>
      <c r="VGB210"/>
      <c r="VGC210"/>
      <c r="VGD210"/>
      <c r="VGE210"/>
      <c r="VGF210"/>
      <c r="VGG210"/>
      <c r="VGH210"/>
      <c r="VGI210"/>
      <c r="VGJ210"/>
      <c r="VGK210"/>
      <c r="VGL210"/>
      <c r="VGM210"/>
      <c r="VGN210"/>
      <c r="VGO210"/>
      <c r="VGP210"/>
      <c r="VGQ210"/>
      <c r="VGR210"/>
      <c r="VGS210"/>
      <c r="VGT210"/>
      <c r="VGU210"/>
      <c r="VGV210"/>
      <c r="VGW210"/>
      <c r="VGX210"/>
      <c r="VGY210"/>
      <c r="VGZ210"/>
      <c r="VHA210"/>
      <c r="VHB210"/>
      <c r="VHC210"/>
      <c r="VHD210"/>
      <c r="VHE210"/>
      <c r="VHF210"/>
      <c r="VHG210"/>
      <c r="VHH210"/>
      <c r="VHI210"/>
      <c r="VHJ210"/>
      <c r="VHK210"/>
      <c r="VHL210"/>
      <c r="VHM210"/>
      <c r="VHN210"/>
      <c r="VHO210"/>
      <c r="VHP210"/>
      <c r="VHQ210"/>
      <c r="VHR210"/>
      <c r="VHS210"/>
      <c r="VHT210"/>
      <c r="VHU210"/>
      <c r="VHV210"/>
      <c r="VHW210"/>
      <c r="VHX210"/>
      <c r="VHY210"/>
      <c r="VHZ210"/>
      <c r="VIA210"/>
      <c r="VIB210"/>
      <c r="VIC210"/>
      <c r="VID210"/>
      <c r="VIE210"/>
      <c r="VIF210"/>
      <c r="VIG210"/>
      <c r="VIH210"/>
      <c r="VII210"/>
      <c r="VIJ210"/>
      <c r="VIK210"/>
      <c r="VIL210"/>
      <c r="VIM210"/>
      <c r="VIN210"/>
      <c r="VIO210"/>
      <c r="VIP210"/>
      <c r="VIQ210"/>
      <c r="VIR210"/>
      <c r="VIS210"/>
      <c r="VIT210"/>
      <c r="VIU210"/>
      <c r="VIV210"/>
      <c r="VIW210"/>
      <c r="VIX210"/>
      <c r="VIY210"/>
      <c r="VIZ210"/>
      <c r="VJA210"/>
      <c r="VJB210"/>
      <c r="VJC210"/>
      <c r="VJD210"/>
      <c r="VJE210"/>
      <c r="VJF210"/>
      <c r="VJG210"/>
      <c r="VJH210"/>
      <c r="VJI210"/>
      <c r="VJJ210"/>
      <c r="VJK210"/>
      <c r="VJL210"/>
      <c r="VJM210"/>
      <c r="VJN210"/>
      <c r="VJO210"/>
      <c r="VJP210"/>
      <c r="VJQ210"/>
      <c r="VJR210"/>
      <c r="VJS210"/>
      <c r="VJT210"/>
      <c r="VJU210"/>
      <c r="VJV210"/>
      <c r="VJW210"/>
      <c r="VJX210"/>
      <c r="VJY210"/>
      <c r="VJZ210"/>
      <c r="VKA210"/>
      <c r="VKB210"/>
      <c r="VKC210"/>
      <c r="VKD210"/>
      <c r="VKE210"/>
      <c r="VKF210"/>
      <c r="VKG210"/>
      <c r="VKH210"/>
      <c r="VKI210"/>
      <c r="VKJ210"/>
      <c r="VKK210"/>
      <c r="VKL210"/>
      <c r="VKM210"/>
      <c r="VKN210"/>
      <c r="VKO210"/>
      <c r="VKP210"/>
      <c r="VKQ210"/>
      <c r="VKR210"/>
      <c r="VKS210"/>
      <c r="VKT210"/>
      <c r="VKU210"/>
      <c r="VKV210"/>
      <c r="VKW210"/>
      <c r="VKX210"/>
      <c r="VKY210"/>
      <c r="VKZ210"/>
      <c r="VLA210"/>
      <c r="VLB210"/>
      <c r="VLC210"/>
      <c r="VLD210"/>
      <c r="VLE210"/>
      <c r="VLF210"/>
      <c r="VLG210"/>
      <c r="VLH210"/>
      <c r="VLI210"/>
      <c r="VLJ210"/>
      <c r="VLK210"/>
      <c r="VLL210"/>
      <c r="VLM210"/>
      <c r="VLN210"/>
      <c r="VLO210"/>
      <c r="VLP210"/>
      <c r="VLQ210"/>
      <c r="VLR210"/>
      <c r="VLS210"/>
      <c r="VLT210"/>
      <c r="VLU210"/>
      <c r="VLV210"/>
      <c r="VLW210"/>
      <c r="VLX210"/>
      <c r="VLY210"/>
      <c r="VLZ210"/>
      <c r="VMA210"/>
      <c r="VMB210"/>
      <c r="VMC210"/>
      <c r="VMD210"/>
      <c r="VME210"/>
      <c r="VMF210"/>
      <c r="VMG210"/>
      <c r="VMH210"/>
      <c r="VMI210"/>
      <c r="VMJ210"/>
      <c r="VMK210"/>
      <c r="VML210"/>
      <c r="VMM210"/>
      <c r="VMN210"/>
      <c r="VMO210"/>
      <c r="VMP210"/>
      <c r="VMQ210"/>
      <c r="VMR210"/>
      <c r="VMS210"/>
      <c r="VMT210"/>
      <c r="VMU210"/>
      <c r="VMV210"/>
      <c r="VMW210"/>
      <c r="VMX210"/>
      <c r="VMY210"/>
      <c r="VMZ210"/>
      <c r="VNA210"/>
      <c r="VNB210"/>
      <c r="VNC210"/>
      <c r="VND210"/>
      <c r="VNE210"/>
      <c r="VNF210"/>
      <c r="VNG210"/>
      <c r="VNH210"/>
      <c r="VNI210"/>
      <c r="VNJ210"/>
      <c r="VNK210"/>
      <c r="VNL210"/>
      <c r="VNM210"/>
      <c r="VNN210"/>
      <c r="VNO210"/>
      <c r="VNP210"/>
      <c r="VNQ210"/>
      <c r="VNR210"/>
      <c r="VNS210"/>
      <c r="VNT210"/>
      <c r="VNU210"/>
      <c r="VNV210"/>
      <c r="VNW210"/>
      <c r="VNX210"/>
      <c r="VNY210"/>
      <c r="VNZ210"/>
      <c r="VOA210"/>
      <c r="VOB210"/>
      <c r="VOC210"/>
      <c r="VOD210"/>
      <c r="VOE210"/>
      <c r="VOF210"/>
      <c r="VOG210"/>
      <c r="VOH210"/>
      <c r="VOI210"/>
      <c r="VOJ210"/>
      <c r="VOK210"/>
      <c r="VOL210"/>
      <c r="VOM210"/>
      <c r="VON210"/>
      <c r="VOO210"/>
      <c r="VOP210"/>
      <c r="VOQ210"/>
      <c r="VOR210"/>
      <c r="VOS210"/>
      <c r="VOT210"/>
      <c r="VOU210"/>
      <c r="VOV210"/>
      <c r="VOW210"/>
      <c r="VOX210"/>
      <c r="VOY210"/>
      <c r="VOZ210"/>
      <c r="VPA210"/>
      <c r="VPB210"/>
      <c r="VPC210"/>
      <c r="VPD210"/>
      <c r="VPE210"/>
      <c r="VPF210"/>
      <c r="VPG210"/>
      <c r="VPH210"/>
      <c r="VPI210"/>
      <c r="VPJ210"/>
      <c r="VPK210"/>
      <c r="VPL210"/>
      <c r="VPM210"/>
      <c r="VPN210"/>
      <c r="VPO210"/>
      <c r="VPP210"/>
      <c r="VPQ210"/>
      <c r="VPR210"/>
      <c r="VPS210"/>
      <c r="VPT210"/>
      <c r="VPU210"/>
      <c r="VPV210"/>
      <c r="VPW210"/>
      <c r="VPX210"/>
      <c r="VPY210"/>
      <c r="VPZ210"/>
      <c r="VQA210"/>
      <c r="VQB210"/>
      <c r="VQC210"/>
      <c r="VQD210"/>
      <c r="VQE210"/>
      <c r="VQF210"/>
      <c r="VQG210"/>
      <c r="VQH210"/>
      <c r="VQI210"/>
      <c r="VQJ210"/>
      <c r="VQK210"/>
      <c r="VQL210"/>
      <c r="VQM210"/>
      <c r="VQN210"/>
      <c r="VQO210"/>
      <c r="VQP210"/>
      <c r="VQQ210"/>
      <c r="VQR210"/>
      <c r="VQS210"/>
      <c r="VQT210"/>
      <c r="VQU210"/>
      <c r="VQV210"/>
      <c r="VQW210"/>
      <c r="VQX210"/>
      <c r="VQY210"/>
      <c r="VQZ210"/>
      <c r="VRA210"/>
      <c r="VRB210"/>
      <c r="VRC210"/>
      <c r="VRD210"/>
      <c r="VRE210"/>
      <c r="VRF210"/>
      <c r="VRG210"/>
      <c r="VRH210"/>
      <c r="VRI210"/>
      <c r="VRJ210"/>
      <c r="VRK210"/>
      <c r="VRL210"/>
      <c r="VRM210"/>
      <c r="VRN210"/>
      <c r="VRO210"/>
      <c r="VRP210"/>
      <c r="VRQ210"/>
      <c r="VRR210"/>
      <c r="VRS210"/>
      <c r="VRT210"/>
      <c r="VRU210"/>
      <c r="VRV210"/>
      <c r="VRW210"/>
      <c r="VRX210"/>
      <c r="VRY210"/>
      <c r="VRZ210"/>
      <c r="VSA210"/>
      <c r="VSB210"/>
      <c r="VSC210"/>
      <c r="VSD210"/>
      <c r="VSE210"/>
      <c r="VSF210"/>
      <c r="VSG210"/>
      <c r="VSH210"/>
      <c r="VSI210"/>
      <c r="VSJ210"/>
      <c r="VSK210"/>
      <c r="VSL210"/>
      <c r="VSM210"/>
      <c r="VSN210"/>
      <c r="VSO210"/>
      <c r="VSP210"/>
      <c r="VSQ210"/>
      <c r="VSR210"/>
      <c r="VSS210"/>
      <c r="VST210"/>
      <c r="VSU210"/>
      <c r="VSV210"/>
      <c r="VSW210"/>
      <c r="VSX210"/>
      <c r="VSY210"/>
      <c r="VSZ210"/>
      <c r="VTA210"/>
      <c r="VTB210"/>
      <c r="VTC210"/>
      <c r="VTD210"/>
      <c r="VTE210"/>
      <c r="VTF210"/>
      <c r="VTG210"/>
      <c r="VTH210"/>
      <c r="VTI210"/>
      <c r="VTJ210"/>
      <c r="VTK210"/>
      <c r="VTL210"/>
      <c r="VTM210"/>
      <c r="VTN210"/>
      <c r="VTO210"/>
      <c r="VTP210"/>
      <c r="VTQ210"/>
      <c r="VTR210"/>
      <c r="VTS210"/>
      <c r="VTT210"/>
      <c r="VTU210"/>
      <c r="VTV210"/>
      <c r="VTW210"/>
      <c r="VTX210"/>
      <c r="VTY210"/>
      <c r="VTZ210"/>
      <c r="VUA210"/>
      <c r="VUB210"/>
      <c r="VUC210"/>
      <c r="VUD210"/>
      <c r="VUE210"/>
      <c r="VUF210"/>
      <c r="VUG210"/>
      <c r="VUH210"/>
      <c r="VUI210"/>
      <c r="VUJ210"/>
      <c r="VUK210"/>
      <c r="VUL210"/>
      <c r="VUM210"/>
      <c r="VUN210"/>
      <c r="VUO210"/>
      <c r="VUP210"/>
      <c r="VUQ210"/>
      <c r="VUR210"/>
      <c r="VUS210"/>
      <c r="VUT210"/>
      <c r="VUU210"/>
      <c r="VUV210"/>
      <c r="VUW210"/>
      <c r="VUX210"/>
      <c r="VUY210"/>
      <c r="VUZ210"/>
      <c r="VVA210"/>
      <c r="VVB210"/>
      <c r="VVC210"/>
      <c r="VVD210"/>
      <c r="VVE210"/>
      <c r="VVF210"/>
      <c r="VVG210"/>
      <c r="VVH210"/>
      <c r="VVI210"/>
      <c r="VVJ210"/>
      <c r="VVK210"/>
      <c r="VVL210"/>
      <c r="VVM210"/>
      <c r="VVN210"/>
      <c r="VVO210"/>
      <c r="VVP210"/>
      <c r="VVQ210"/>
      <c r="VVR210"/>
      <c r="VVS210"/>
      <c r="VVT210"/>
      <c r="VVU210"/>
      <c r="VVV210"/>
      <c r="VVW210"/>
      <c r="VVX210"/>
      <c r="VVY210"/>
      <c r="VVZ210"/>
      <c r="VWA210"/>
      <c r="VWB210"/>
      <c r="VWC210"/>
      <c r="VWD210"/>
      <c r="VWE210"/>
      <c r="VWF210"/>
      <c r="VWG210"/>
      <c r="VWH210"/>
      <c r="VWI210"/>
      <c r="VWJ210"/>
      <c r="VWK210"/>
      <c r="VWL210"/>
      <c r="VWM210"/>
      <c r="VWN210"/>
      <c r="VWO210"/>
      <c r="VWP210"/>
      <c r="VWQ210"/>
      <c r="VWR210"/>
      <c r="VWS210"/>
      <c r="VWT210"/>
      <c r="VWU210"/>
      <c r="VWV210"/>
      <c r="VWW210"/>
      <c r="VWX210"/>
      <c r="VWY210"/>
      <c r="VWZ210"/>
      <c r="VXA210"/>
      <c r="VXB210"/>
      <c r="VXC210"/>
      <c r="VXD210"/>
      <c r="VXE210"/>
      <c r="VXF210"/>
      <c r="VXG210"/>
      <c r="VXH210"/>
      <c r="VXI210"/>
      <c r="VXJ210"/>
      <c r="VXK210"/>
      <c r="VXL210"/>
      <c r="VXM210"/>
      <c r="VXN210"/>
      <c r="VXO210"/>
      <c r="VXP210"/>
      <c r="VXQ210"/>
      <c r="VXR210"/>
      <c r="VXS210"/>
      <c r="VXT210"/>
      <c r="VXU210"/>
      <c r="VXV210"/>
      <c r="VXW210"/>
      <c r="VXX210"/>
      <c r="VXY210"/>
      <c r="VXZ210"/>
      <c r="VYA210"/>
      <c r="VYB210"/>
      <c r="VYC210"/>
      <c r="VYD210"/>
      <c r="VYE210"/>
      <c r="VYF210"/>
      <c r="VYG210"/>
      <c r="VYH210"/>
      <c r="VYI210"/>
      <c r="VYJ210"/>
      <c r="VYK210"/>
      <c r="VYL210"/>
      <c r="VYM210"/>
      <c r="VYN210"/>
      <c r="VYO210"/>
      <c r="VYP210"/>
      <c r="VYQ210"/>
      <c r="VYR210"/>
      <c r="VYS210"/>
      <c r="VYT210"/>
      <c r="VYU210"/>
      <c r="VYV210"/>
      <c r="VYW210"/>
      <c r="VYX210"/>
      <c r="VYY210"/>
      <c r="VYZ210"/>
      <c r="VZA210"/>
      <c r="VZB210"/>
      <c r="VZC210"/>
      <c r="VZD210"/>
      <c r="VZE210"/>
      <c r="VZF210"/>
      <c r="VZG210"/>
      <c r="VZH210"/>
      <c r="VZI210"/>
      <c r="VZJ210"/>
      <c r="VZK210"/>
      <c r="VZL210"/>
      <c r="VZM210"/>
      <c r="VZN210"/>
      <c r="VZO210"/>
      <c r="VZP210"/>
      <c r="VZQ210"/>
      <c r="VZR210"/>
      <c r="VZS210"/>
      <c r="VZT210"/>
      <c r="VZU210"/>
      <c r="VZV210"/>
      <c r="VZW210"/>
      <c r="VZX210"/>
      <c r="VZY210"/>
      <c r="VZZ210"/>
      <c r="WAA210"/>
      <c r="WAB210"/>
      <c r="WAC210"/>
      <c r="WAD210"/>
      <c r="WAE210"/>
      <c r="WAF210"/>
      <c r="WAG210"/>
      <c r="WAH210"/>
      <c r="WAI210"/>
      <c r="WAJ210"/>
      <c r="WAK210"/>
      <c r="WAL210"/>
      <c r="WAM210"/>
      <c r="WAN210"/>
      <c r="WAO210"/>
      <c r="WAP210"/>
      <c r="WAQ210"/>
      <c r="WAR210"/>
      <c r="WAS210"/>
      <c r="WAT210"/>
      <c r="WAU210"/>
      <c r="WAV210"/>
      <c r="WAW210"/>
      <c r="WAX210"/>
      <c r="WAY210"/>
      <c r="WAZ210"/>
      <c r="WBA210"/>
      <c r="WBB210"/>
      <c r="WBC210"/>
      <c r="WBD210"/>
      <c r="WBE210"/>
      <c r="WBF210"/>
      <c r="WBG210"/>
      <c r="WBH210"/>
      <c r="WBI210"/>
      <c r="WBJ210"/>
      <c r="WBK210"/>
      <c r="WBL210"/>
      <c r="WBM210"/>
      <c r="WBN210"/>
      <c r="WBO210"/>
      <c r="WBP210"/>
      <c r="WBQ210"/>
      <c r="WBR210"/>
      <c r="WBS210"/>
      <c r="WBT210"/>
      <c r="WBU210"/>
      <c r="WBV210"/>
      <c r="WBW210"/>
      <c r="WBX210"/>
      <c r="WBY210"/>
      <c r="WBZ210"/>
      <c r="WCA210"/>
      <c r="WCB210"/>
      <c r="WCC210"/>
      <c r="WCD210"/>
      <c r="WCE210"/>
      <c r="WCF210"/>
      <c r="WCG210"/>
      <c r="WCH210"/>
      <c r="WCI210"/>
      <c r="WCJ210"/>
      <c r="WCK210"/>
      <c r="WCL210"/>
      <c r="WCM210"/>
      <c r="WCN210"/>
      <c r="WCO210"/>
      <c r="WCP210"/>
      <c r="WCQ210"/>
      <c r="WCR210"/>
      <c r="WCS210"/>
      <c r="WCT210"/>
      <c r="WCU210"/>
      <c r="WCV210"/>
      <c r="WCW210"/>
      <c r="WCX210"/>
      <c r="WCY210"/>
      <c r="WCZ210"/>
      <c r="WDA210"/>
      <c r="WDB210"/>
      <c r="WDC210"/>
      <c r="WDD210"/>
      <c r="WDE210"/>
      <c r="WDF210"/>
      <c r="WDG210"/>
      <c r="WDH210"/>
      <c r="WDI210"/>
      <c r="WDJ210"/>
      <c r="WDK210"/>
      <c r="WDL210"/>
      <c r="WDM210"/>
      <c r="WDN210"/>
      <c r="WDO210"/>
      <c r="WDP210"/>
      <c r="WDQ210"/>
      <c r="WDR210"/>
      <c r="WDS210"/>
      <c r="WDT210"/>
      <c r="WDU210"/>
      <c r="WDV210"/>
      <c r="WDW210"/>
      <c r="WDX210"/>
      <c r="WDY210"/>
      <c r="WDZ210"/>
      <c r="WEA210"/>
      <c r="WEB210"/>
      <c r="WEC210"/>
      <c r="WED210"/>
      <c r="WEE210"/>
      <c r="WEF210"/>
      <c r="WEG210"/>
      <c r="WEH210"/>
      <c r="WEI210"/>
      <c r="WEJ210"/>
      <c r="WEK210"/>
      <c r="WEL210"/>
      <c r="WEM210"/>
      <c r="WEN210"/>
      <c r="WEO210"/>
      <c r="WEP210"/>
      <c r="WEQ210"/>
      <c r="WER210"/>
      <c r="WES210"/>
      <c r="WET210"/>
      <c r="WEU210"/>
      <c r="WEV210"/>
      <c r="WEW210"/>
      <c r="WEX210"/>
      <c r="WEY210"/>
      <c r="WEZ210"/>
      <c r="WFA210"/>
      <c r="WFB210"/>
      <c r="WFC210"/>
      <c r="WFD210"/>
      <c r="WFE210"/>
      <c r="WFF210"/>
      <c r="WFG210"/>
      <c r="WFH210"/>
      <c r="WFI210"/>
      <c r="WFJ210"/>
      <c r="WFK210"/>
      <c r="WFL210"/>
      <c r="WFM210"/>
      <c r="WFN210"/>
      <c r="WFO210"/>
      <c r="WFP210"/>
      <c r="WFQ210"/>
      <c r="WFR210"/>
      <c r="WFS210"/>
      <c r="WFT210"/>
      <c r="WFU210"/>
      <c r="WFV210"/>
      <c r="WFW210"/>
      <c r="WFX210"/>
      <c r="WFY210"/>
      <c r="WFZ210"/>
      <c r="WGA210"/>
      <c r="WGB210"/>
      <c r="WGC210"/>
      <c r="WGD210"/>
      <c r="WGE210"/>
      <c r="WGF210"/>
      <c r="WGG210"/>
      <c r="WGH210"/>
      <c r="WGI210"/>
      <c r="WGJ210"/>
      <c r="WGK210"/>
      <c r="WGL210"/>
      <c r="WGM210"/>
      <c r="WGN210"/>
      <c r="WGO210"/>
      <c r="WGP210"/>
      <c r="WGQ210"/>
      <c r="WGR210"/>
      <c r="WGS210"/>
      <c r="WGT210"/>
      <c r="WGU210"/>
      <c r="WGV210"/>
      <c r="WGW210"/>
      <c r="WGX210"/>
      <c r="WGY210"/>
      <c r="WGZ210"/>
      <c r="WHA210"/>
      <c r="WHB210"/>
      <c r="WHC210"/>
      <c r="WHD210"/>
      <c r="WHE210"/>
      <c r="WHF210"/>
      <c r="WHG210"/>
      <c r="WHH210"/>
      <c r="WHI210"/>
      <c r="WHJ210"/>
      <c r="WHK210"/>
      <c r="WHL210"/>
      <c r="WHM210"/>
      <c r="WHN210"/>
      <c r="WHO210"/>
      <c r="WHP210"/>
      <c r="WHQ210"/>
      <c r="WHR210"/>
      <c r="WHS210"/>
      <c r="WHT210"/>
      <c r="WHU210"/>
      <c r="WHV210"/>
      <c r="WHW210"/>
      <c r="WHX210"/>
      <c r="WHY210"/>
      <c r="WHZ210"/>
      <c r="WIA210"/>
      <c r="WIB210"/>
      <c r="WIC210"/>
      <c r="WID210"/>
      <c r="WIE210"/>
      <c r="WIF210"/>
      <c r="WIG210"/>
      <c r="WIH210"/>
      <c r="WII210"/>
      <c r="WIJ210"/>
      <c r="WIK210"/>
      <c r="WIL210"/>
      <c r="WIM210"/>
      <c r="WIN210"/>
      <c r="WIO210"/>
      <c r="WIP210"/>
      <c r="WIQ210"/>
      <c r="WIR210"/>
      <c r="WIS210"/>
      <c r="WIT210"/>
      <c r="WIU210"/>
      <c r="WIV210"/>
      <c r="WIW210"/>
      <c r="WIX210"/>
      <c r="WIY210"/>
      <c r="WIZ210"/>
      <c r="WJA210"/>
      <c r="WJB210"/>
      <c r="WJC210"/>
      <c r="WJD210"/>
      <c r="WJE210"/>
      <c r="WJF210"/>
      <c r="WJG210"/>
      <c r="WJH210"/>
      <c r="WJI210"/>
      <c r="WJJ210"/>
      <c r="WJK210"/>
      <c r="WJL210"/>
      <c r="WJM210"/>
      <c r="WJN210"/>
      <c r="WJO210"/>
      <c r="WJP210"/>
      <c r="WJQ210"/>
      <c r="WJR210"/>
      <c r="WJS210"/>
      <c r="WJT210"/>
      <c r="WJU210"/>
      <c r="WJV210"/>
      <c r="WJW210"/>
      <c r="WJX210"/>
      <c r="WJY210"/>
      <c r="WJZ210"/>
      <c r="WKA210"/>
      <c r="WKB210"/>
      <c r="WKC210"/>
      <c r="WKD210"/>
      <c r="WKE210"/>
      <c r="WKF210"/>
      <c r="WKG210"/>
      <c r="WKH210"/>
      <c r="WKI210"/>
      <c r="WKJ210"/>
      <c r="WKK210"/>
      <c r="WKL210"/>
      <c r="WKM210"/>
      <c r="WKN210"/>
      <c r="WKO210"/>
      <c r="WKP210"/>
      <c r="WKQ210"/>
      <c r="WKR210"/>
      <c r="WKS210"/>
      <c r="WKT210"/>
      <c r="WKU210"/>
      <c r="WKV210"/>
      <c r="WKW210"/>
      <c r="WKX210"/>
      <c r="WKY210"/>
      <c r="WKZ210"/>
      <c r="WLA210"/>
      <c r="WLB210"/>
      <c r="WLC210"/>
      <c r="WLD210"/>
      <c r="WLE210"/>
      <c r="WLF210"/>
      <c r="WLG210"/>
      <c r="WLH210"/>
      <c r="WLI210"/>
      <c r="WLJ210"/>
      <c r="WLK210"/>
      <c r="WLL210"/>
      <c r="WLM210"/>
      <c r="WLN210"/>
      <c r="WLO210"/>
      <c r="WLP210"/>
      <c r="WLQ210"/>
      <c r="WLR210"/>
      <c r="WLS210"/>
      <c r="WLT210"/>
      <c r="WLU210"/>
      <c r="WLV210"/>
      <c r="WLW210"/>
      <c r="WLX210"/>
      <c r="WLY210"/>
      <c r="WLZ210"/>
      <c r="WMA210"/>
      <c r="WMB210"/>
      <c r="WMC210"/>
      <c r="WMD210"/>
      <c r="WME210"/>
      <c r="WMF210"/>
      <c r="WMG210"/>
      <c r="WMH210"/>
      <c r="WMI210"/>
      <c r="WMJ210"/>
      <c r="WMK210"/>
      <c r="WML210"/>
      <c r="WMM210"/>
      <c r="WMN210"/>
      <c r="WMO210"/>
      <c r="WMP210"/>
      <c r="WMQ210"/>
      <c r="WMR210"/>
      <c r="WMS210"/>
      <c r="WMT210"/>
      <c r="WMU210"/>
      <c r="WMV210"/>
      <c r="WMW210"/>
      <c r="WMX210"/>
      <c r="WMY210"/>
      <c r="WMZ210"/>
      <c r="WNA210"/>
      <c r="WNB210"/>
      <c r="WNC210"/>
      <c r="WND210"/>
      <c r="WNE210"/>
      <c r="WNF210"/>
      <c r="WNG210"/>
      <c r="WNH210"/>
      <c r="WNI210"/>
      <c r="WNJ210"/>
      <c r="WNK210"/>
      <c r="WNL210"/>
      <c r="WNM210"/>
      <c r="WNN210"/>
      <c r="WNO210"/>
      <c r="WNP210"/>
      <c r="WNQ210"/>
      <c r="WNR210"/>
      <c r="WNS210"/>
      <c r="WNT210"/>
      <c r="WNU210"/>
      <c r="WNV210"/>
      <c r="WNW210"/>
      <c r="WNX210"/>
      <c r="WNY210"/>
      <c r="WNZ210"/>
      <c r="WOA210"/>
      <c r="WOB210"/>
      <c r="WOC210"/>
      <c r="WOD210"/>
      <c r="WOE210"/>
      <c r="WOF210"/>
      <c r="WOG210"/>
      <c r="WOH210"/>
      <c r="WOI210"/>
      <c r="WOJ210"/>
      <c r="WOK210"/>
      <c r="WOL210"/>
      <c r="WOM210"/>
      <c r="WON210"/>
      <c r="WOO210"/>
      <c r="WOP210"/>
      <c r="WOQ210"/>
      <c r="WOR210"/>
      <c r="WOS210"/>
      <c r="WOT210"/>
      <c r="WOU210"/>
      <c r="WOV210"/>
      <c r="WOW210"/>
      <c r="WOX210"/>
      <c r="WOY210"/>
      <c r="WOZ210"/>
      <c r="WPA210"/>
      <c r="WPB210"/>
      <c r="WPC210"/>
      <c r="WPD210"/>
      <c r="WPE210"/>
      <c r="WPF210"/>
      <c r="WPG210"/>
      <c r="WPH210"/>
      <c r="WPI210"/>
      <c r="WPJ210"/>
      <c r="WPK210"/>
      <c r="WPL210"/>
      <c r="WPM210"/>
      <c r="WPN210"/>
      <c r="WPO210"/>
      <c r="WPP210"/>
      <c r="WPQ210"/>
      <c r="WPR210"/>
      <c r="WPS210"/>
      <c r="WPT210"/>
      <c r="WPU210"/>
      <c r="WPV210"/>
      <c r="WPW210"/>
      <c r="WPX210"/>
      <c r="WPY210"/>
      <c r="WPZ210"/>
      <c r="WQA210"/>
      <c r="WQB210"/>
      <c r="WQC210"/>
      <c r="WQD210"/>
      <c r="WQE210"/>
      <c r="WQF210"/>
      <c r="WQG210"/>
      <c r="WQH210"/>
      <c r="WQI210"/>
      <c r="WQJ210"/>
      <c r="WQK210"/>
      <c r="WQL210"/>
      <c r="WQM210"/>
      <c r="WQN210"/>
      <c r="WQO210"/>
      <c r="WQP210"/>
      <c r="WQQ210"/>
      <c r="WQR210"/>
      <c r="WQS210"/>
      <c r="WQT210"/>
      <c r="WQU210"/>
      <c r="WQV210"/>
      <c r="WQW210"/>
      <c r="WQX210"/>
      <c r="WQY210"/>
      <c r="WQZ210"/>
      <c r="WRA210"/>
      <c r="WRB210"/>
      <c r="WRC210"/>
      <c r="WRD210"/>
      <c r="WRE210"/>
      <c r="WRF210"/>
      <c r="WRG210"/>
      <c r="WRH210"/>
      <c r="WRI210"/>
      <c r="WRJ210"/>
      <c r="WRK210"/>
      <c r="WRL210"/>
      <c r="WRM210"/>
      <c r="WRN210"/>
      <c r="WRO210"/>
      <c r="WRP210"/>
      <c r="WRQ210"/>
      <c r="WRR210"/>
      <c r="WRS210"/>
      <c r="WRT210"/>
      <c r="WRU210"/>
      <c r="WRV210"/>
      <c r="WRW210"/>
      <c r="WRX210"/>
      <c r="WRY210"/>
      <c r="WRZ210"/>
      <c r="WSA210"/>
      <c r="WSB210"/>
      <c r="WSC210"/>
      <c r="WSD210"/>
      <c r="WSE210"/>
      <c r="WSF210"/>
      <c r="WSG210"/>
      <c r="WSH210"/>
      <c r="WSI210"/>
      <c r="WSJ210"/>
      <c r="WSK210"/>
      <c r="WSL210"/>
      <c r="WSM210"/>
      <c r="WSN210"/>
      <c r="WSO210"/>
      <c r="WSP210"/>
      <c r="WSQ210"/>
      <c r="WSR210"/>
      <c r="WSS210"/>
      <c r="WST210"/>
      <c r="WSU210"/>
      <c r="WSV210"/>
      <c r="WSW210"/>
      <c r="WSX210"/>
      <c r="WSY210"/>
      <c r="WSZ210"/>
      <c r="WTA210"/>
      <c r="WTB210"/>
      <c r="WTC210"/>
      <c r="WTD210"/>
      <c r="WTE210"/>
      <c r="WTF210"/>
      <c r="WTG210"/>
      <c r="WTH210"/>
      <c r="WTI210"/>
      <c r="WTJ210"/>
      <c r="WTK210"/>
      <c r="WTL210"/>
      <c r="WTM210"/>
      <c r="WTN210"/>
      <c r="WTO210"/>
      <c r="WTP210"/>
      <c r="WTQ210"/>
      <c r="WTR210"/>
      <c r="WTS210"/>
      <c r="WTT210"/>
      <c r="WTU210"/>
      <c r="WTV210"/>
      <c r="WTW210"/>
      <c r="WTX210"/>
      <c r="WTY210"/>
      <c r="WTZ210"/>
      <c r="WUA210"/>
      <c r="WUB210"/>
      <c r="WUC210"/>
      <c r="WUD210"/>
      <c r="WUE210"/>
      <c r="WUF210"/>
      <c r="WUG210"/>
      <c r="WUH210"/>
      <c r="WUI210"/>
      <c r="WUJ210"/>
      <c r="WUK210"/>
      <c r="WUL210"/>
      <c r="WUM210"/>
      <c r="WUN210"/>
      <c r="WUO210"/>
      <c r="WUP210"/>
      <c r="WUQ210"/>
      <c r="WUR210"/>
      <c r="WUS210"/>
      <c r="WUT210"/>
      <c r="WUU210"/>
      <c r="WUV210"/>
      <c r="WUW210"/>
      <c r="WUX210"/>
      <c r="WUY210"/>
      <c r="WUZ210"/>
      <c r="WVA210"/>
      <c r="WVB210"/>
      <c r="WVC210"/>
      <c r="WVD210"/>
      <c r="WVE210"/>
      <c r="WVF210"/>
      <c r="WVG210"/>
      <c r="WVH210"/>
      <c r="WVI210"/>
      <c r="WVJ210"/>
      <c r="WVK210"/>
      <c r="WVL210"/>
      <c r="WVM210"/>
      <c r="WVN210"/>
      <c r="WVO210"/>
      <c r="WVP210"/>
      <c r="WVQ210"/>
      <c r="WVR210"/>
      <c r="WVS210"/>
      <c r="WVT210"/>
      <c r="WVU210"/>
      <c r="WVV210"/>
      <c r="WVW210"/>
      <c r="WVX210"/>
      <c r="WVY210"/>
      <c r="WVZ210"/>
      <c r="WWA210"/>
      <c r="WWB210"/>
      <c r="WWC210"/>
      <c r="WWD210"/>
      <c r="WWE210"/>
      <c r="WWF210"/>
      <c r="WWG210"/>
      <c r="WWH210"/>
      <c r="WWI210"/>
      <c r="WWJ210"/>
      <c r="WWK210"/>
      <c r="WWL210"/>
      <c r="WWM210"/>
      <c r="WWN210"/>
      <c r="WWO210"/>
      <c r="WWP210"/>
      <c r="WWQ210"/>
      <c r="WWR210"/>
      <c r="WWS210"/>
      <c r="WWT210"/>
      <c r="WWU210"/>
      <c r="WWV210"/>
      <c r="WWW210"/>
      <c r="WWX210"/>
      <c r="WWY210"/>
      <c r="WWZ210"/>
      <c r="WXA210"/>
      <c r="WXB210"/>
      <c r="WXC210"/>
      <c r="WXD210"/>
      <c r="WXE210"/>
      <c r="WXF210"/>
      <c r="WXG210"/>
      <c r="WXH210"/>
      <c r="WXI210"/>
      <c r="WXJ210"/>
      <c r="WXK210"/>
      <c r="WXL210"/>
      <c r="WXM210"/>
      <c r="WXN210"/>
      <c r="WXO210"/>
      <c r="WXP210"/>
      <c r="WXQ210"/>
      <c r="WXR210"/>
      <c r="WXS210"/>
      <c r="WXT210"/>
      <c r="WXU210"/>
      <c r="WXV210"/>
      <c r="WXW210"/>
      <c r="WXX210"/>
      <c r="WXY210"/>
      <c r="WXZ210"/>
      <c r="WYA210"/>
      <c r="WYB210"/>
      <c r="WYC210"/>
      <c r="WYD210"/>
      <c r="WYE210"/>
      <c r="WYF210"/>
      <c r="WYG210"/>
      <c r="WYH210"/>
      <c r="WYI210"/>
      <c r="WYJ210"/>
      <c r="WYK210"/>
      <c r="WYL210"/>
      <c r="WYM210"/>
      <c r="WYN210"/>
      <c r="WYO210"/>
      <c r="WYP210"/>
      <c r="WYQ210"/>
      <c r="WYR210"/>
      <c r="WYS210"/>
      <c r="WYT210"/>
      <c r="WYU210"/>
      <c r="WYV210"/>
      <c r="WYW210"/>
      <c r="WYX210"/>
      <c r="WYY210"/>
      <c r="WYZ210"/>
      <c r="WZA210"/>
      <c r="WZB210"/>
      <c r="WZC210"/>
      <c r="WZD210"/>
      <c r="WZE210"/>
      <c r="WZF210"/>
      <c r="WZG210"/>
      <c r="WZH210"/>
      <c r="WZI210"/>
      <c r="WZJ210"/>
      <c r="WZK210"/>
      <c r="WZL210"/>
      <c r="WZM210"/>
      <c r="WZN210"/>
      <c r="WZO210"/>
      <c r="WZP210"/>
      <c r="WZQ210"/>
      <c r="WZR210"/>
      <c r="WZS210"/>
      <c r="WZT210"/>
      <c r="WZU210"/>
      <c r="WZV210"/>
      <c r="WZW210"/>
      <c r="WZX210"/>
      <c r="WZY210"/>
      <c r="WZZ210"/>
      <c r="XAA210"/>
      <c r="XAB210"/>
      <c r="XAC210"/>
      <c r="XAD210"/>
      <c r="XAE210"/>
      <c r="XAF210"/>
      <c r="XAG210"/>
      <c r="XAH210"/>
      <c r="XAI210"/>
      <c r="XAJ210"/>
      <c r="XAK210"/>
      <c r="XAL210"/>
      <c r="XAM210"/>
      <c r="XAN210"/>
      <c r="XAO210"/>
      <c r="XAP210"/>
      <c r="XAQ210"/>
      <c r="XAR210"/>
      <c r="XAS210"/>
      <c r="XAT210"/>
      <c r="XAU210"/>
      <c r="XAV210"/>
      <c r="XAW210"/>
      <c r="XAX210"/>
      <c r="XAY210"/>
      <c r="XAZ210"/>
      <c r="XBA210"/>
      <c r="XBB210"/>
      <c r="XBC210"/>
      <c r="XBD210"/>
      <c r="XBE210"/>
      <c r="XBF210"/>
      <c r="XBG210"/>
      <c r="XBH210"/>
      <c r="XBI210"/>
      <c r="XBJ210"/>
      <c r="XBK210"/>
      <c r="XBL210"/>
      <c r="XBM210"/>
      <c r="XBN210"/>
      <c r="XBO210"/>
      <c r="XBP210"/>
      <c r="XBQ210"/>
      <c r="XBR210"/>
      <c r="XBS210"/>
      <c r="XBT210"/>
      <c r="XBU210"/>
      <c r="XBV210"/>
      <c r="XBW210"/>
      <c r="XBX210"/>
      <c r="XBY210"/>
      <c r="XBZ210"/>
      <c r="XCA210"/>
      <c r="XCB210"/>
      <c r="XCC210"/>
      <c r="XCD210"/>
      <c r="XCE210"/>
      <c r="XCF210"/>
      <c r="XCG210"/>
      <c r="XCH210"/>
      <c r="XCI210"/>
      <c r="XCJ210"/>
      <c r="XCK210"/>
      <c r="XCL210"/>
      <c r="XCM210"/>
      <c r="XCN210"/>
      <c r="XCO210"/>
      <c r="XCP210"/>
      <c r="XCQ210"/>
      <c r="XCR210"/>
      <c r="XCS210"/>
      <c r="XCT210"/>
      <c r="XCU210"/>
      <c r="XCV210"/>
      <c r="XCW210"/>
      <c r="XCX210"/>
      <c r="XCY210"/>
      <c r="XCZ210"/>
      <c r="XDA210"/>
      <c r="XDB210"/>
      <c r="XDC210"/>
      <c r="XDD210"/>
      <c r="XDE210"/>
      <c r="XDF210"/>
      <c r="XDG210"/>
      <c r="XDH210"/>
      <c r="XDI210"/>
      <c r="XDJ210"/>
      <c r="XDK210"/>
      <c r="XDL210"/>
      <c r="XDM210"/>
      <c r="XDN210"/>
      <c r="XDO210"/>
      <c r="XDP210"/>
      <c r="XDQ210"/>
      <c r="XDR210"/>
      <c r="XDS210"/>
      <c r="XDT210"/>
      <c r="XDU210"/>
      <c r="XDV210"/>
      <c r="XDW210"/>
      <c r="XDX210"/>
      <c r="XDY210"/>
      <c r="XDZ210"/>
      <c r="XEA210"/>
      <c r="XEB210"/>
      <c r="XEC210"/>
      <c r="XED210"/>
      <c r="XEE210"/>
      <c r="XEF210"/>
      <c r="XEG210"/>
      <c r="XEH210"/>
      <c r="XEI210"/>
      <c r="XEJ210"/>
      <c r="XEK210"/>
      <c r="XEL210"/>
      <c r="XEM210"/>
      <c r="XEN210"/>
      <c r="XEO210"/>
      <c r="XEP210"/>
      <c r="XEQ210"/>
      <c r="XER210"/>
      <c r="XES210"/>
      <c r="XET210"/>
      <c r="XEU210"/>
    </row>
  </sheetData>
  <autoFilter ref="A6:N208" xr:uid="{00000000-0009-0000-0000-000002000000}"/>
  <mergeCells count="1">
    <mergeCell ref="A5:J5"/>
  </mergeCells>
  <pageMargins left="0.23622047244094491" right="0.23622047244094491" top="0.39370078740157483" bottom="0.43307086614173229" header="0.31496062992125984" footer="0.31496062992125984"/>
  <pageSetup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17-05-23</vt:lpstr>
      <vt:lpstr>27-05-2026</vt:lpstr>
      <vt:lpstr>27-05-2026 (2)</vt:lpstr>
      <vt:lpstr>17-05-23 (3)</vt:lpstr>
      <vt:lpstr>'27-05-2026'!Print_Area</vt:lpstr>
      <vt:lpstr>'27-05-2026 (2)'!Print_Area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Amit Gupta</cp:lastModifiedBy>
  <cp:lastPrinted>2026-05-13T07:39:22Z</cp:lastPrinted>
  <dcterms:created xsi:type="dcterms:W3CDTF">2023-05-08T12:49:43Z</dcterms:created>
  <dcterms:modified xsi:type="dcterms:W3CDTF">2026-05-29T10:31:48Z</dcterms:modified>
</cp:coreProperties>
</file>