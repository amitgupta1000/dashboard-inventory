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DHGUN\"/>
    </mc:Choice>
  </mc:AlternateContent>
  <bookViews>
    <workbookView xWindow="0" yWindow="0" windowWidth="20490" windowHeight="7530" activeTab="2"/>
  </bookViews>
  <sheets>
    <sheet name="STOCK SUMMARY." sheetId="10" r:id="rId1"/>
    <sheet name="STOCK SHEET" sheetId="1" state="hidden" r:id="rId2"/>
    <sheet name="STOCK SHEET ." sheetId="12" r:id="rId3"/>
    <sheet name="STOCK SUMMARY" sheetId="8" state="hidden" r:id="rId4"/>
    <sheet name="STYRENE MONOMER" sheetId="2" state="hidden" r:id="rId5"/>
    <sheet name="IPA 29-04-26" sheetId="4" state="hidden" r:id="rId6"/>
    <sheet name="IPA -2-5-26" sheetId="5" state="hidden" r:id="rId7"/>
    <sheet name="DEG" sheetId="6" state="hidden" r:id="rId8"/>
    <sheet name="MIXED XYLENE" sheetId="7" state="hidden" r:id="rId9"/>
  </sheets>
  <definedNames>
    <definedName name="_xlnm._FilterDatabase" localSheetId="1" hidden="1">'STOCK SHEET'!$A$2:$Y$12</definedName>
    <definedName name="_xlnm._FilterDatabase" localSheetId="2" hidden="1">'STOCK SHEET .'!$A$2:$M$13</definedName>
    <definedName name="_xlnm._FilterDatabase" localSheetId="3" hidden="1">'STOCK SUMMARY'!$A$2:$S$9</definedName>
    <definedName name="_xlnm.Print_Area" localSheetId="1">'STOCK SHEET'!$A$1:$K$12</definedName>
    <definedName name="_xlnm.Print_Area" localSheetId="2">'STOCK SHEET .'!$A$1:$F$13</definedName>
    <definedName name="_xlnm.Print_Area" localSheetId="3">'STOCK SUMMARY'!$A$1:$G$9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" i="12" l="1"/>
  <c r="J13" i="12"/>
  <c r="I13" i="12"/>
  <c r="D4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3" i="2"/>
  <c r="E43" i="2"/>
  <c r="F43" i="2" l="1"/>
  <c r="F20" i="5" l="1"/>
  <c r="E20" i="5"/>
  <c r="D20" i="5"/>
  <c r="F17" i="7" l="1"/>
  <c r="E17" i="7"/>
  <c r="D17" i="7"/>
  <c r="O12" i="1"/>
  <c r="F12" i="6" l="1"/>
  <c r="E12" i="6"/>
  <c r="D12" i="6"/>
  <c r="AA5" i="1" l="1"/>
  <c r="AA4" i="1"/>
  <c r="R4" i="1"/>
  <c r="F19" i="4" l="1"/>
  <c r="E19" i="4"/>
  <c r="D19" i="4"/>
  <c r="AA10" i="1" l="1"/>
  <c r="R10" i="1"/>
  <c r="AA9" i="1"/>
  <c r="R9" i="1"/>
  <c r="AA8" i="1"/>
  <c r="R8" i="1"/>
  <c r="AA7" i="1"/>
  <c r="R7" i="1"/>
  <c r="AA6" i="1"/>
  <c r="P6" i="1"/>
  <c r="R5" i="1"/>
  <c r="AA3" i="1"/>
  <c r="AA12" i="1" s="1"/>
  <c r="R3" i="1"/>
  <c r="R6" i="1" l="1"/>
  <c r="R12" i="1" s="1"/>
  <c r="P12" i="1"/>
</calcChain>
</file>

<file path=xl/sharedStrings.xml><?xml version="1.0" encoding="utf-8"?>
<sst xmlns="http://schemas.openxmlformats.org/spreadsheetml/2006/main" count="334" uniqueCount="178">
  <si>
    <t>INVENTORY REPORT  (SIDHGUN TECHNOLOGIES PVT. LTD.)</t>
  </si>
  <si>
    <t>VESSEL DATE</t>
  </si>
  <si>
    <t>VESSEL NAME</t>
  </si>
  <si>
    <t>PRODUCT NAME</t>
  </si>
  <si>
    <t>PORT</t>
  </si>
  <si>
    <t>UNSOLD 
QTY</t>
  </si>
  <si>
    <t>SOLD QTY /
PENDING LIFTING</t>
  </si>
  <si>
    <t>PHYSICAL STOCK</t>
  </si>
  <si>
    <t>OTR QTY</t>
  </si>
  <si>
    <t>NO OF DAYS OF STOCK</t>
  </si>
  <si>
    <t>IMPORT PRICE ($) MT</t>
  </si>
  <si>
    <t>BL QTY</t>
  </si>
  <si>
    <t>TOTAL UNSOLD 
QTY</t>
  </si>
  <si>
    <t>UNLIFTED QTY</t>
  </si>
  <si>
    <t>TOTAL SOLD 
QTY</t>
  </si>
  <si>
    <t>PURCHASE PRICE</t>
  </si>
  <si>
    <t>DUTY PER MT</t>
  </si>
  <si>
    <t>EXCHANGE RATE</t>
  </si>
  <si>
    <t>PHYSICAL QTY. VALUE</t>
  </si>
  <si>
    <t>STPL-10 GC BERYL</t>
  </si>
  <si>
    <t>ACETIC ACID</t>
  </si>
  <si>
    <t>KANDLA</t>
  </si>
  <si>
    <t>STPL-8 BOW TRIBUTE</t>
  </si>
  <si>
    <t>IPA</t>
  </si>
  <si>
    <t>STPL-13 BOW NEON</t>
  </si>
  <si>
    <t>DEG</t>
  </si>
  <si>
    <t>HAZIRA</t>
  </si>
  <si>
    <t>STPL-6 Maritime Amity</t>
  </si>
  <si>
    <t>STPL-4 STENA PROGRESSIVE</t>
  </si>
  <si>
    <t>STPL-5 STENA PROGRESSIVE</t>
  </si>
  <si>
    <t>STPL-12 SFL ARUBA</t>
  </si>
  <si>
    <t>STYRENE</t>
  </si>
  <si>
    <t>GRAND TOTAL</t>
  </si>
  <si>
    <t>OBR NO.</t>
  </si>
  <si>
    <t>OBR DATE</t>
  </si>
  <si>
    <t>Party Name</t>
  </si>
  <si>
    <t>Booked</t>
  </si>
  <si>
    <t>Dispatched</t>
  </si>
  <si>
    <t>Balance</t>
  </si>
  <si>
    <t>JP DYECHEM</t>
  </si>
  <si>
    <t>ORD234</t>
  </si>
  <si>
    <t>PARAGON CHEMICALS</t>
  </si>
  <si>
    <t>ORD180</t>
  </si>
  <si>
    <t>BERGER PAINTS INDIA LTD. ( PUNE )</t>
  </si>
  <si>
    <t>ORD224</t>
  </si>
  <si>
    <t>APCOTEX INDUSTRIES LTD. - TALOJA</t>
  </si>
  <si>
    <t>ORD213</t>
  </si>
  <si>
    <t>RQS ENGINEERING PRIVATE LIMITED</t>
  </si>
  <si>
    <t>ORD172</t>
  </si>
  <si>
    <t>KANSAI NEROLAC PAINTS LTD (JAINPUR)</t>
  </si>
  <si>
    <t>ORD193</t>
  </si>
  <si>
    <t>AMJEY CHEM TRADE PVT.LTD  (MUMBAI) (2)</t>
  </si>
  <si>
    <t>ORD260</t>
  </si>
  <si>
    <t>A. P. CHEMICALS PVT. LTD. (GANDHIDHAM)</t>
  </si>
  <si>
    <t>ORD194</t>
  </si>
  <si>
    <t>KAMSONS POLYMERS LIMITED</t>
  </si>
  <si>
    <t>STYRENE MONOMER</t>
  </si>
  <si>
    <t>NITREX</t>
  </si>
  <si>
    <t>R R INNOVATIVE PVT. LTD.</t>
  </si>
  <si>
    <t>KHUSHBU DYECHEM</t>
  </si>
  <si>
    <t xml:space="preserve">REAL CHEMSYS </t>
  </si>
  <si>
    <t>R R INNOVATIVE</t>
  </si>
  <si>
    <t>PON PURE CHEMICALS INDIA PVT. LTD.</t>
  </si>
  <si>
    <t>SIEGWERK INDIA</t>
  </si>
  <si>
    <t xml:space="preserve">IOL PHARMA </t>
  </si>
  <si>
    <t>DIC</t>
  </si>
  <si>
    <t>JPB CHEMICALS</t>
  </si>
  <si>
    <t>CLARION</t>
  </si>
  <si>
    <t>ORD270</t>
  </si>
  <si>
    <t>AKROSS SYNTHES</t>
  </si>
  <si>
    <t>003</t>
  </si>
  <si>
    <t>PON PURE CHEMICAL INDIA PVT. LTD. SEZ UNIT</t>
  </si>
  <si>
    <t>TOTAL=</t>
  </si>
  <si>
    <t>STPL-11 CHEMROAD ZENITH</t>
  </si>
  <si>
    <t xml:space="preserve"> </t>
  </si>
  <si>
    <t>BRILLANT POLYMERS</t>
  </si>
  <si>
    <t xml:space="preserve">BOSTIK </t>
  </si>
  <si>
    <t>STYLUM INDUSTRIES</t>
  </si>
  <si>
    <t>VASABIVALA</t>
  </si>
  <si>
    <t>HUBER GROUP</t>
  </si>
  <si>
    <t>ROYAL PETRO</t>
  </si>
  <si>
    <t>MECHEMCO</t>
  </si>
  <si>
    <t>PON PURE CHEMICAL INDIA PVT. LTD. (GANDHIDHAM)</t>
  </si>
  <si>
    <t>SHALIMAR PAINTS</t>
  </si>
  <si>
    <t>SHALIMAR PAINTS LIMITED</t>
  </si>
  <si>
    <t>BERGER PAINTS INDIA LIMITED (2)</t>
  </si>
  <si>
    <t>BRITISH PAINTS</t>
  </si>
  <si>
    <t>BERGER PAINTS INDIA LTD. (GOA)</t>
  </si>
  <si>
    <t>SAHASTRAA EXPORTS PVT. LTD. (MUMBAI)</t>
  </si>
  <si>
    <t>01</t>
  </si>
  <si>
    <t>MIXED XYLENE</t>
  </si>
  <si>
    <t>ISOMER-MIXED XYLENE</t>
  </si>
  <si>
    <t>VESSEL ARRIVAL DATE</t>
  </si>
  <si>
    <t>PHYSICAL STOCK ON PORT</t>
  </si>
  <si>
    <t>Per MT PRICE (all cost inclusive)</t>
  </si>
  <si>
    <t>PARIJAT INDUSTRIES (INDIA) PRIVATE LIMITED (GUJ)</t>
  </si>
  <si>
    <t>SILVERLINE PAINTS PVT LTD</t>
  </si>
  <si>
    <t>HWATSI CHEMICAL PRIVATE LIMITED SEZ 0%</t>
  </si>
  <si>
    <t>KHUSHBU DYE CHEM PVT. LTD. (MUMBAI)</t>
  </si>
  <si>
    <t>ALKYL AMINES CHEMICALS LTD.  (PATALGANGA)</t>
  </si>
  <si>
    <t>PRATISTHA CHEM INDIA PRIVATE LIMITED - NEW</t>
  </si>
  <si>
    <t>HALEOS LABS LIMITED</t>
  </si>
  <si>
    <t>MAHAN DYE CHEM</t>
  </si>
  <si>
    <t>J V CHEM</t>
  </si>
  <si>
    <t>VESTRO SOVENT</t>
  </si>
  <si>
    <t>HERANBA INDUSTRIES</t>
  </si>
  <si>
    <t>GLS INDUSTRIES</t>
  </si>
  <si>
    <t>OPTIMUS DRUGS</t>
  </si>
  <si>
    <t>AARTI DRUGS</t>
  </si>
  <si>
    <t>CLARION PHARMA</t>
  </si>
  <si>
    <t>SWATI INDUSTRIES</t>
  </si>
  <si>
    <t>ORD275</t>
  </si>
  <si>
    <t xml:space="preserve">KEKULE PHARMA LIMITED </t>
  </si>
  <si>
    <t>ORD250</t>
  </si>
  <si>
    <t>JP DYECHEM PVT. LTD.</t>
  </si>
  <si>
    <t>SANJAY CHEMICALS</t>
  </si>
  <si>
    <t>ORD231</t>
  </si>
  <si>
    <t>AMBANI ORGOCHEM LIMITED</t>
  </si>
  <si>
    <t>ORD232</t>
  </si>
  <si>
    <t>WESTIN RESINS &amp; POLYMERS PVT.LTD.</t>
  </si>
  <si>
    <t>ORD189</t>
  </si>
  <si>
    <t>REVEX PLASTICISERS PVT. LTD.</t>
  </si>
  <si>
    <t>ORD247</t>
  </si>
  <si>
    <t>ECOSHIELD COATINGS PRIVATE LIMITED</t>
  </si>
  <si>
    <t>ORD220</t>
  </si>
  <si>
    <t>CRYSTIC RESINS INDIA PRIVATE LIMITED</t>
  </si>
  <si>
    <t>ORD218</t>
  </si>
  <si>
    <t>KRINA DYE CHEM</t>
  </si>
  <si>
    <t>ORD239</t>
  </si>
  <si>
    <t>SHUBHAM CHEMICALS &amp; SOLVENTS LTD. (GUJARAT)</t>
  </si>
  <si>
    <t>ORD226</t>
  </si>
  <si>
    <t>CRYSTIC RESINS INDIA PVT. LTD. (UADAIPUR)</t>
  </si>
  <si>
    <t>ORD217</t>
  </si>
  <si>
    <t>AMJEY CHEM TRADE PVT.LTD  (HARYANA) 2</t>
  </si>
  <si>
    <t>ORD216</t>
  </si>
  <si>
    <t>ORD188</t>
  </si>
  <si>
    <t>INNOVATIVE RESINS PRIVATE LIMITED - KAROLI</t>
  </si>
  <si>
    <t>ORD237</t>
  </si>
  <si>
    <t>APEX METCHEM PVT. LTD.</t>
  </si>
  <si>
    <t>ORD249</t>
  </si>
  <si>
    <t>SANJAY CHEMICALS (INDIA) PVT. LTD. (GUJARAT)</t>
  </si>
  <si>
    <t>ORD192</t>
  </si>
  <si>
    <t>ORD236</t>
  </si>
  <si>
    <t>ALFA SOLVENTS PVT. LTD. ( NEW DELHI)</t>
  </si>
  <si>
    <t>ORD235</t>
  </si>
  <si>
    <t>ORD240</t>
  </si>
  <si>
    <t>UJIN PHARMA LIMITED</t>
  </si>
  <si>
    <t>ORD252</t>
  </si>
  <si>
    <t>NIKHIL ADHESIVES LTD. DAHEJ</t>
  </si>
  <si>
    <t>ORD253</t>
  </si>
  <si>
    <t>ORD242</t>
  </si>
  <si>
    <t>ORD251</t>
  </si>
  <si>
    <t>ACCORD  CHEMICAL CORPORATION (MUMBAI)</t>
  </si>
  <si>
    <t>ORD256</t>
  </si>
  <si>
    <t>HEXA BIOCHEM PRIVATE LIMITED</t>
  </si>
  <si>
    <t>ORD223</t>
  </si>
  <si>
    <t>REVEX PLASTICISERS PRIVATE LIMITED - BHIWADI</t>
  </si>
  <si>
    <t>ORD255</t>
  </si>
  <si>
    <t>SOLVO CHEM</t>
  </si>
  <si>
    <t>ORD258</t>
  </si>
  <si>
    <t>ORD259</t>
  </si>
  <si>
    <t>ORD222</t>
  </si>
  <si>
    <t>KETUL CHEM PRIVATE LIMITED</t>
  </si>
  <si>
    <t>ORD221</t>
  </si>
  <si>
    <t>KDAC CHEM PVT. LTD.</t>
  </si>
  <si>
    <t>INCOMING VESSEL QTY.</t>
  </si>
  <si>
    <t>PEG-400</t>
  </si>
  <si>
    <t>REPLACEMENT COST</t>
  </si>
  <si>
    <t>PHYSICAL QTY. STOCK VALUE</t>
  </si>
  <si>
    <t>AVG. IMPORT PRICE ($) MT</t>
  </si>
  <si>
    <t>Avg .Per MT PRICE (all cost inclusive) INR</t>
  </si>
  <si>
    <t>CURRENT MARKET PRICE</t>
  </si>
  <si>
    <t>Company Name</t>
  </si>
  <si>
    <t>PORT NAME</t>
  </si>
  <si>
    <t>STPL</t>
  </si>
  <si>
    <t>KRL</t>
  </si>
  <si>
    <t>PEG 400</t>
  </si>
  <si>
    <t>STPL-19 SFL ARUBA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</si>
</sst>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0.000"/>
    <numFmt numFmtId="165" formatCode="_ * #,##0_ ;_ * \-#,##0_ ;_ * &quot;-&quot;??_ ;_ @_ "/>
  </numFmts>
  <fonts count="1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6"/>
      <color theme="1"/>
      <name val="Calibri"/>
      <family val="2"/>
    </font>
    <font>
      <u/>
      <sz val="14"/>
      <color theme="10"/>
      <name val="Calibri"/>
      <family val="2"/>
    </font>
    <font>
      <b/>
      <sz val="1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" fontId="0" fillId="0" borderId="2" xfId="0" applyNumberFormat="1" applyBorder="1"/>
    <xf numFmtId="1" fontId="0" fillId="0" borderId="2" xfId="0" applyNumberFormat="1" applyBorder="1" applyAlignment="1">
      <alignment horizontal="right"/>
    </xf>
    <xf numFmtId="0" fontId="0" fillId="0" borderId="2" xfId="0" applyBorder="1"/>
    <xf numFmtId="2" fontId="0" fillId="0" borderId="2" xfId="0" applyNumberFormat="1" applyBorder="1"/>
    <xf numFmtId="165" fontId="0" fillId="0" borderId="2" xfId="1" applyNumberFormat="1" applyFont="1" applyFill="1" applyBorder="1"/>
    <xf numFmtId="0" fontId="0" fillId="0" borderId="2" xfId="0" applyBorder="1" applyAlignment="1">
      <alignment horizontal="center"/>
    </xf>
    <xf numFmtId="164" fontId="3" fillId="0" borderId="2" xfId="0" applyNumberFormat="1" applyFont="1" applyBorder="1" applyAlignment="1">
      <alignment horizontal="center" wrapText="1"/>
    </xf>
    <xf numFmtId="164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0" fontId="9" fillId="0" borderId="0" xfId="0" applyFont="1"/>
    <xf numFmtId="164" fontId="7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10" fillId="0" borderId="2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right"/>
    </xf>
    <xf numFmtId="164" fontId="0" fillId="0" borderId="2" xfId="0" applyNumberFormat="1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4" fillId="0" borderId="2" xfId="2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65" fontId="0" fillId="0" borderId="2" xfId="1" applyNumberFormat="1" applyFont="1" applyBorder="1"/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3" fillId="0" borderId="2" xfId="0" applyNumberFormat="1" applyFont="1" applyBorder="1" applyAlignment="1">
      <alignment horizontal="center" wrapText="1"/>
    </xf>
    <xf numFmtId="165" fontId="0" fillId="0" borderId="2" xfId="1" applyNumberFormat="1" applyFont="1" applyFill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3" fillId="0" borderId="2" xfId="1" applyNumberFormat="1" applyFont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5" borderId="2" xfId="0" applyNumberFormat="1" applyFill="1" applyBorder="1"/>
    <xf numFmtId="1" fontId="0" fillId="4" borderId="2" xfId="0" applyNumberFormat="1" applyFill="1" applyBorder="1"/>
    <xf numFmtId="1" fontId="0" fillId="6" borderId="2" xfId="0" applyNumberFormat="1" applyFill="1" applyBorder="1" applyAlignment="1">
      <alignment horizontal="right"/>
    </xf>
    <xf numFmtId="1" fontId="0" fillId="7" borderId="2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165" fontId="3" fillId="0" borderId="2" xfId="1" applyNumberFormat="1" applyFont="1" applyBorder="1" applyAlignment="1">
      <alignment horizontal="right" wrapText="1"/>
    </xf>
  </cellXfs>
  <cellStyles count="3">
    <cellStyle name="Comma" xfId="1" builtinId="3"/>
    <cellStyle name="Hyperlink" xfId="2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66FF99"/>
      <color rgb="FFFF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9"/>
  <sheetViews>
    <sheetView workbookViewId="0">
      <selection activeCell="D14" sqref="D14"/>
    </sheetView>
  </sheetViews>
  <sheetFormatPr defaultColWidth="9.28515625" defaultRowHeight="15" x14ac:dyDescent="0.25"/>
  <cols>
    <col min="1" max="1" width="19.28515625" bestFit="1" customWidth="1"/>
    <col min="2" max="2" width="15.42578125" bestFit="1" customWidth="1"/>
    <col min="3" max="12" width="27.140625" customWidth="1"/>
  </cols>
  <sheetData>
    <row r="1" spans="1:12" ht="21" x14ac:dyDescent="0.35">
      <c r="C1" s="62" t="s">
        <v>0</v>
      </c>
      <c r="D1" s="62"/>
      <c r="E1" s="62"/>
      <c r="F1" s="62"/>
      <c r="G1" s="62"/>
      <c r="H1" s="62"/>
      <c r="I1" s="62"/>
      <c r="J1" s="62"/>
      <c r="K1" s="62"/>
      <c r="L1" s="62"/>
    </row>
    <row r="2" spans="1:12" ht="37.5" x14ac:dyDescent="0.3">
      <c r="A2" s="44" t="s">
        <v>172</v>
      </c>
      <c r="B2" s="44" t="s">
        <v>173</v>
      </c>
      <c r="C2" s="44" t="s">
        <v>3</v>
      </c>
      <c r="D2" s="45" t="s">
        <v>93</v>
      </c>
      <c r="E2" s="45" t="s">
        <v>14</v>
      </c>
      <c r="F2" s="45" t="s">
        <v>12</v>
      </c>
      <c r="G2" s="45" t="s">
        <v>165</v>
      </c>
      <c r="H2" s="47" t="s">
        <v>169</v>
      </c>
      <c r="I2" s="47" t="s">
        <v>170</v>
      </c>
      <c r="J2" s="48" t="s">
        <v>171</v>
      </c>
      <c r="K2" s="48" t="s">
        <v>167</v>
      </c>
      <c r="L2" s="47" t="s">
        <v>168</v>
      </c>
    </row>
    <row r="3" spans="1:12" ht="18.75" x14ac:dyDescent="0.3">
      <c r="A3" s="14" t="s">
        <v>174</v>
      </c>
      <c r="B3" s="14" t="s">
        <v>21</v>
      </c>
      <c r="C3" s="10" t="s">
        <v>20</v>
      </c>
      <c r="D3" s="60">
        <v>1886.4470000000001</v>
      </c>
      <c r="E3" s="49">
        <v>0</v>
      </c>
      <c r="F3" s="55">
        <v>1886.4470000000001</v>
      </c>
      <c r="G3" s="49"/>
      <c r="H3" s="50">
        <v>480.8</v>
      </c>
      <c r="I3" s="56">
        <v>47797.51</v>
      </c>
      <c r="J3" s="50"/>
      <c r="K3" s="50"/>
      <c r="L3" s="52">
        <v>90167469.346970007</v>
      </c>
    </row>
    <row r="4" spans="1:12" ht="18.75" x14ac:dyDescent="0.3">
      <c r="A4" s="14" t="s">
        <v>174</v>
      </c>
      <c r="B4" s="14" t="s">
        <v>21</v>
      </c>
      <c r="C4" s="10" t="s">
        <v>23</v>
      </c>
      <c r="D4" s="60">
        <v>2679.3969999999999</v>
      </c>
      <c r="E4" s="49">
        <v>1877.97</v>
      </c>
      <c r="F4" s="55">
        <v>801.42699999999991</v>
      </c>
      <c r="G4" s="49"/>
      <c r="H4" s="50">
        <v>787.5</v>
      </c>
      <c r="I4" s="56">
        <v>75287.494999999995</v>
      </c>
      <c r="J4" s="50"/>
      <c r="K4" s="50"/>
      <c r="L4" s="53">
        <v>201660268.49615002</v>
      </c>
    </row>
    <row r="5" spans="1:12" ht="18.75" x14ac:dyDescent="0.3">
      <c r="A5" s="14" t="s">
        <v>174</v>
      </c>
      <c r="B5" s="14" t="s">
        <v>21</v>
      </c>
      <c r="C5" s="10" t="s">
        <v>25</v>
      </c>
      <c r="D5" s="60">
        <v>1494.5360000000001</v>
      </c>
      <c r="E5" s="49">
        <v>513</v>
      </c>
      <c r="F5" s="55">
        <v>981.53600000000006</v>
      </c>
      <c r="G5" s="49"/>
      <c r="H5" s="50">
        <v>790</v>
      </c>
      <c r="I5" s="56">
        <v>83068.45</v>
      </c>
      <c r="J5" s="50"/>
      <c r="K5" s="50"/>
      <c r="L5" s="52">
        <v>124148788.9892</v>
      </c>
    </row>
    <row r="6" spans="1:12" ht="18.75" x14ac:dyDescent="0.3">
      <c r="A6" s="14" t="s">
        <v>174</v>
      </c>
      <c r="B6" s="14" t="s">
        <v>21</v>
      </c>
      <c r="C6" s="10" t="s">
        <v>90</v>
      </c>
      <c r="D6" s="60">
        <v>7161.4039999999995</v>
      </c>
      <c r="E6" s="49">
        <v>545.4399999999996</v>
      </c>
      <c r="F6" s="55">
        <v>6615.9639999999999</v>
      </c>
      <c r="G6" s="49"/>
      <c r="H6" s="50">
        <v>825.44666666666672</v>
      </c>
      <c r="I6" s="56">
        <v>79665.740000000005</v>
      </c>
      <c r="J6" s="50"/>
      <c r="K6" s="50"/>
      <c r="L6" s="53">
        <v>568361896.89900005</v>
      </c>
    </row>
    <row r="7" spans="1:12" ht="18.75" x14ac:dyDescent="0.3">
      <c r="A7" s="14" t="s">
        <v>174</v>
      </c>
      <c r="B7" s="14" t="s">
        <v>21</v>
      </c>
      <c r="C7" s="10" t="s">
        <v>31</v>
      </c>
      <c r="D7" s="60">
        <v>93.871000000000095</v>
      </c>
      <c r="E7" s="49">
        <v>93.871000000000095</v>
      </c>
      <c r="F7" s="55">
        <v>0</v>
      </c>
      <c r="G7" s="49"/>
      <c r="H7" s="50">
        <v>1370.3</v>
      </c>
      <c r="I7" s="56">
        <v>131599.53999999998</v>
      </c>
      <c r="J7" s="50"/>
      <c r="K7" s="50"/>
      <c r="L7" s="52">
        <v>12353380.419340011</v>
      </c>
    </row>
    <row r="8" spans="1:12" ht="18.75" x14ac:dyDescent="0.3">
      <c r="A8" s="14" t="s">
        <v>175</v>
      </c>
      <c r="B8" s="14" t="s">
        <v>21</v>
      </c>
      <c r="C8" s="10" t="s">
        <v>166</v>
      </c>
      <c r="D8" s="60">
        <v>0</v>
      </c>
      <c r="E8" s="49">
        <v>0</v>
      </c>
      <c r="F8" s="55">
        <v>0</v>
      </c>
      <c r="G8" s="49">
        <v>500</v>
      </c>
      <c r="H8" s="50"/>
      <c r="I8" s="17"/>
      <c r="J8" s="50"/>
      <c r="K8" s="50"/>
      <c r="L8" s="52"/>
    </row>
    <row r="9" spans="1:12" ht="18.75" x14ac:dyDescent="0.3">
      <c r="A9" s="14"/>
      <c r="B9" s="14"/>
      <c r="C9" s="10"/>
      <c r="D9" s="51">
        <v>23156.455999999998</v>
      </c>
      <c r="E9" s="51">
        <v>5453.6909999999998</v>
      </c>
      <c r="F9" s="51">
        <v>17702.764999999999</v>
      </c>
      <c r="G9" s="51"/>
      <c r="H9" s="17"/>
      <c r="I9" s="17"/>
      <c r="J9" s="17"/>
      <c r="K9" s="17"/>
      <c r="L9" s="54">
        <v>1766713969.54581</v>
      </c>
    </row>
  </sheetData>
  <conditionalFormatting sqref="D2:G2">
    <cfRule type="cellIs" dxfId="21" priority="3" operator="lessThan">
      <formula>0</formula>
    </cfRule>
  </conditionalFormatting>
  <conditionalFormatting sqref="D9:G9">
    <cfRule type="cellIs" dxfId="20" priority="2" operator="lessThan">
      <formula>0</formula>
    </cfRule>
  </conditionalFormatting>
  <conditionalFormatting sqref="L9">
    <cfRule type="cellIs" dxfId="19" priority="1" operator="lessThan">
      <formula>0</formula>
    </cfRule>
  </conditionalFormatting>
  <hyperlinks>
    <hyperlink ref="C5" location="DEG!A1" display="DEG"/>
    <hyperlink ref="C7" location="'STYRENE MONOMER'!A1" display="STYREN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A24"/>
  <sheetViews>
    <sheetView topLeftCell="K1" zoomScale="85" zoomScaleNormal="85" workbookViewId="0">
      <pane ySplit="2" topLeftCell="A3" activePane="bottomLeft" state="frozen"/>
      <selection pane="bottomLeft" activeCell="K2" sqref="K2"/>
    </sheetView>
  </sheetViews>
  <sheetFormatPr defaultColWidth="9.140625" defaultRowHeight="17.25" x14ac:dyDescent="0.3"/>
  <cols>
    <col min="1" max="1" width="16.140625" style="21" customWidth="1"/>
    <col min="2" max="2" width="41" customWidth="1"/>
    <col min="3" max="3" width="16.140625" style="21" hidden="1" customWidth="1"/>
    <col min="4" max="4" width="32" customWidth="1"/>
    <col min="5" max="5" width="14.28515625" customWidth="1"/>
    <col min="6" max="6" width="17.7109375" style="21" hidden="1" customWidth="1"/>
    <col min="7" max="7" width="14.140625" style="22" hidden="1" customWidth="1"/>
    <col min="8" max="8" width="22.7109375" hidden="1" customWidth="1"/>
    <col min="9" max="10" width="20.28515625" hidden="1" customWidth="1"/>
    <col min="11" max="11" width="24.7109375" style="21" customWidth="1"/>
    <col min="12" max="12" width="24.5703125" style="24" hidden="1" customWidth="1"/>
    <col min="13" max="14" width="20.28515625" customWidth="1"/>
    <col min="15" max="15" width="20.85546875" customWidth="1"/>
    <col min="16" max="16" width="20.28515625" style="25" customWidth="1"/>
    <col min="17" max="17" width="20.28515625" hidden="1" customWidth="1"/>
    <col min="18" max="18" width="20.28515625" customWidth="1"/>
    <col min="19" max="19" width="21.5703125" hidden="1" customWidth="1"/>
    <col min="20" max="22" width="18.28515625" hidden="1" customWidth="1"/>
    <col min="23" max="23" width="18.28515625" customWidth="1"/>
    <col min="24" max="24" width="18.7109375" hidden="1" customWidth="1"/>
    <col min="25" max="25" width="28.28515625" customWidth="1"/>
    <col min="26" max="26" width="18.7109375" customWidth="1"/>
    <col min="27" max="27" width="24.28515625" bestFit="1" customWidth="1"/>
  </cols>
  <sheetData>
    <row r="1" spans="1:27" ht="33" customHeight="1" x14ac:dyDescent="0.2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spans="1:27" ht="56.25" x14ac:dyDescent="0.3">
      <c r="A2" s="3" t="s">
        <v>92</v>
      </c>
      <c r="B2" s="1" t="s">
        <v>2</v>
      </c>
      <c r="C2" s="1" t="s">
        <v>1</v>
      </c>
      <c r="D2" s="1" t="s">
        <v>3</v>
      </c>
      <c r="E2" s="1" t="s">
        <v>4</v>
      </c>
      <c r="F2" s="2" t="s">
        <v>5</v>
      </c>
      <c r="G2" s="2" t="s">
        <v>5</v>
      </c>
      <c r="H2" s="2" t="s">
        <v>6</v>
      </c>
      <c r="I2" s="2" t="s">
        <v>7</v>
      </c>
      <c r="J2" s="2" t="s">
        <v>8</v>
      </c>
      <c r="K2" s="3" t="s">
        <v>9</v>
      </c>
      <c r="L2" s="4" t="s">
        <v>10</v>
      </c>
      <c r="M2" s="39" t="s">
        <v>11</v>
      </c>
      <c r="N2" s="39" t="s">
        <v>8</v>
      </c>
      <c r="O2" s="2" t="s">
        <v>93</v>
      </c>
      <c r="P2" s="2" t="s">
        <v>12</v>
      </c>
      <c r="Q2" s="2" t="s">
        <v>13</v>
      </c>
      <c r="R2" s="2" t="s">
        <v>14</v>
      </c>
      <c r="S2" s="4" t="s">
        <v>15</v>
      </c>
      <c r="T2" s="4" t="s">
        <v>16</v>
      </c>
      <c r="U2" s="4"/>
      <c r="V2" s="4"/>
      <c r="W2" s="40" t="s">
        <v>170</v>
      </c>
      <c r="X2" s="38" t="s">
        <v>17</v>
      </c>
      <c r="Y2" s="38" t="s">
        <v>10</v>
      </c>
      <c r="Z2" s="38" t="s">
        <v>17</v>
      </c>
      <c r="AA2" s="38" t="s">
        <v>18</v>
      </c>
    </row>
    <row r="3" spans="1:27" ht="18.75" x14ac:dyDescent="0.3">
      <c r="A3" s="5">
        <v>46141</v>
      </c>
      <c r="B3" s="6" t="s">
        <v>19</v>
      </c>
      <c r="C3" s="5">
        <v>46141</v>
      </c>
      <c r="D3" s="10" t="s">
        <v>20</v>
      </c>
      <c r="E3" s="6" t="s">
        <v>21</v>
      </c>
      <c r="F3" s="7">
        <v>3551.2449999999999</v>
      </c>
      <c r="G3" s="8"/>
      <c r="H3" s="9">
        <v>343.14699999999993</v>
      </c>
      <c r="I3" s="9">
        <v>3894.3919999999998</v>
      </c>
      <c r="J3" s="9">
        <v>3981.2449999999999</v>
      </c>
      <c r="K3" s="10">
        <v>9</v>
      </c>
      <c r="L3" s="11">
        <v>45297.51</v>
      </c>
      <c r="M3" s="12">
        <v>1900</v>
      </c>
      <c r="N3" s="12">
        <v>1886.4470000000001</v>
      </c>
      <c r="O3" s="57">
        <v>1886.4470000000001</v>
      </c>
      <c r="P3" s="59">
        <v>1886.4470000000001</v>
      </c>
      <c r="Q3" s="12">
        <v>0</v>
      </c>
      <c r="R3" s="12">
        <f>O3-P3</f>
        <v>0</v>
      </c>
      <c r="S3" s="14">
        <v>45297.51</v>
      </c>
      <c r="T3" s="14">
        <v>0</v>
      </c>
      <c r="U3" s="14">
        <v>45297.51</v>
      </c>
      <c r="V3" s="14">
        <v>2500</v>
      </c>
      <c r="W3" s="58">
        <v>47797.51</v>
      </c>
      <c r="X3" s="15">
        <v>94.2</v>
      </c>
      <c r="Y3" s="15">
        <v>480.8</v>
      </c>
      <c r="Z3" s="15">
        <v>94.2</v>
      </c>
      <c r="AA3" s="16">
        <f>O3*W3</f>
        <v>90167469.346970007</v>
      </c>
    </row>
    <row r="4" spans="1:27" ht="18.75" x14ac:dyDescent="0.3">
      <c r="A4" s="5">
        <v>46141</v>
      </c>
      <c r="B4" s="6" t="s">
        <v>22</v>
      </c>
      <c r="C4" s="5">
        <v>46141</v>
      </c>
      <c r="D4" s="37" t="s">
        <v>23</v>
      </c>
      <c r="E4" s="6" t="s">
        <v>21</v>
      </c>
      <c r="F4" s="7">
        <v>3551.2449999999999</v>
      </c>
      <c r="G4" s="8"/>
      <c r="H4" s="9">
        <v>343.14699999999993</v>
      </c>
      <c r="I4" s="9">
        <v>3894.3919999999998</v>
      </c>
      <c r="J4" s="9">
        <v>3981.2449999999999</v>
      </c>
      <c r="K4" s="10">
        <v>9</v>
      </c>
      <c r="L4" s="11">
        <v>72704.710000000006</v>
      </c>
      <c r="M4" s="12">
        <v>1737.223</v>
      </c>
      <c r="N4" s="12">
        <v>1731.193</v>
      </c>
      <c r="O4" s="57">
        <v>1731.193</v>
      </c>
      <c r="P4" s="59">
        <v>604.22299999999996</v>
      </c>
      <c r="Q4" s="12">
        <v>1133</v>
      </c>
      <c r="R4" s="12">
        <f t="shared" ref="R4" si="0">O4-P4</f>
        <v>1126.97</v>
      </c>
      <c r="S4" s="14">
        <v>72704.710000000006</v>
      </c>
      <c r="T4" s="14">
        <v>0</v>
      </c>
      <c r="U4" s="14">
        <v>72704.710000000006</v>
      </c>
      <c r="V4" s="14">
        <v>2500</v>
      </c>
      <c r="W4" s="58">
        <v>75204.710000000006</v>
      </c>
      <c r="X4" s="15">
        <v>93.8</v>
      </c>
      <c r="Y4" s="15">
        <v>775</v>
      </c>
      <c r="Z4" s="15">
        <v>93.8</v>
      </c>
      <c r="AA4" s="16">
        <f t="shared" ref="AA4" si="1">O4*W4</f>
        <v>130193867.51903</v>
      </c>
    </row>
    <row r="5" spans="1:27" ht="18.75" x14ac:dyDescent="0.3">
      <c r="A5" s="5">
        <v>46144</v>
      </c>
      <c r="B5" s="6" t="s">
        <v>73</v>
      </c>
      <c r="C5" s="5">
        <v>46144</v>
      </c>
      <c r="D5" s="37" t="s">
        <v>23</v>
      </c>
      <c r="E5" s="6" t="s">
        <v>21</v>
      </c>
      <c r="F5" s="7">
        <v>3551.2449999999999</v>
      </c>
      <c r="G5" s="8"/>
      <c r="H5" s="9">
        <v>343.14699999999993</v>
      </c>
      <c r="I5" s="9">
        <v>3894.3919999999998</v>
      </c>
      <c r="J5" s="9">
        <v>3981.2449999999999</v>
      </c>
      <c r="K5" s="10">
        <v>5</v>
      </c>
      <c r="L5" s="11">
        <v>72704.710000000006</v>
      </c>
      <c r="M5" s="12">
        <v>950</v>
      </c>
      <c r="N5" s="12">
        <v>948.20399999999995</v>
      </c>
      <c r="O5" s="57">
        <v>948.20399999999995</v>
      </c>
      <c r="P5" s="59">
        <v>197.20399999999995</v>
      </c>
      <c r="Q5" s="12">
        <v>1133</v>
      </c>
      <c r="R5" s="12">
        <f t="shared" ref="R5:R10" si="2">O5-P5</f>
        <v>751</v>
      </c>
      <c r="S5" s="14">
        <v>72704.710000000006</v>
      </c>
      <c r="T5" s="14">
        <v>0</v>
      </c>
      <c r="U5" s="14">
        <v>72704.710000000006</v>
      </c>
      <c r="V5" s="14">
        <v>2500</v>
      </c>
      <c r="W5" s="58">
        <v>75370.28</v>
      </c>
      <c r="X5" s="15">
        <v>94.2</v>
      </c>
      <c r="Y5" s="15">
        <v>800</v>
      </c>
      <c r="Z5" s="15">
        <v>94.2</v>
      </c>
      <c r="AA5" s="16">
        <f>O5*W5</f>
        <v>71466400.977119997</v>
      </c>
    </row>
    <row r="6" spans="1:27" ht="18.75" x14ac:dyDescent="0.3">
      <c r="A6" s="5">
        <v>46138</v>
      </c>
      <c r="B6" s="6" t="s">
        <v>24</v>
      </c>
      <c r="C6" s="5">
        <v>46138</v>
      </c>
      <c r="D6" s="37" t="s">
        <v>25</v>
      </c>
      <c r="E6" s="6" t="s">
        <v>26</v>
      </c>
      <c r="F6" s="7">
        <v>3551.2449999999999</v>
      </c>
      <c r="G6" s="8"/>
      <c r="H6" s="9">
        <v>343.14699999999993</v>
      </c>
      <c r="I6" s="9">
        <v>3894.3919999999998</v>
      </c>
      <c r="J6" s="9">
        <v>3981.2449999999999</v>
      </c>
      <c r="K6" s="10">
        <v>12</v>
      </c>
      <c r="L6" s="11">
        <v>74428.149999999994</v>
      </c>
      <c r="M6" s="12">
        <v>1499.9860000000001</v>
      </c>
      <c r="N6" s="12">
        <v>1494.5360000000001</v>
      </c>
      <c r="O6" s="57">
        <v>1494.5360000000001</v>
      </c>
      <c r="P6" s="59">
        <f>1494.536-513</f>
        <v>981.53600000000006</v>
      </c>
      <c r="Q6" s="12">
        <v>190</v>
      </c>
      <c r="R6" s="12">
        <f t="shared" si="2"/>
        <v>513</v>
      </c>
      <c r="S6" s="14">
        <v>74428.149999999994</v>
      </c>
      <c r="T6" s="14">
        <v>6140.3</v>
      </c>
      <c r="U6" s="14">
        <v>80568.45</v>
      </c>
      <c r="V6" s="14">
        <v>2500</v>
      </c>
      <c r="W6" s="58">
        <v>83068.45</v>
      </c>
      <c r="X6" s="15">
        <v>94.2</v>
      </c>
      <c r="Y6" s="15">
        <v>790</v>
      </c>
      <c r="Z6" s="15">
        <v>94.2</v>
      </c>
      <c r="AA6" s="16">
        <f t="shared" ref="AA6:AA10" si="3">O6*W6</f>
        <v>124148788.9892</v>
      </c>
    </row>
    <row r="7" spans="1:27" ht="18.75" x14ac:dyDescent="0.3">
      <c r="A7" s="5">
        <v>46085</v>
      </c>
      <c r="B7" s="6" t="s">
        <v>27</v>
      </c>
      <c r="C7" s="5">
        <v>46085</v>
      </c>
      <c r="D7" s="37" t="s">
        <v>90</v>
      </c>
      <c r="E7" s="6" t="s">
        <v>21</v>
      </c>
      <c r="F7" s="7">
        <v>3551.2449999999999</v>
      </c>
      <c r="G7" s="8"/>
      <c r="H7" s="9">
        <v>343.14699999999993</v>
      </c>
      <c r="I7" s="9">
        <v>3894.3919999999998</v>
      </c>
      <c r="J7" s="9">
        <v>3981.2449999999999</v>
      </c>
      <c r="K7" s="10">
        <v>65</v>
      </c>
      <c r="L7" s="11">
        <v>75437.13</v>
      </c>
      <c r="M7" s="12">
        <v>3981.2449999999999</v>
      </c>
      <c r="N7" s="12">
        <v>3943.5520000000001</v>
      </c>
      <c r="O7" s="57">
        <v>3217.8519999999999</v>
      </c>
      <c r="P7" s="59">
        <v>2672.4120000000003</v>
      </c>
      <c r="Q7" s="12">
        <v>545.4399999999996</v>
      </c>
      <c r="R7" s="12">
        <f t="shared" si="2"/>
        <v>545.4399999999996</v>
      </c>
      <c r="S7" s="14">
        <v>75437.13</v>
      </c>
      <c r="T7" s="14">
        <v>0</v>
      </c>
      <c r="U7" s="14">
        <v>75437.13</v>
      </c>
      <c r="V7" s="14">
        <v>2500</v>
      </c>
      <c r="W7" s="58">
        <v>77937.13</v>
      </c>
      <c r="X7" s="15">
        <v>91.9</v>
      </c>
      <c r="Y7" s="15">
        <v>820.75</v>
      </c>
      <c r="Z7" s="15">
        <v>91.9</v>
      </c>
      <c r="AA7" s="16">
        <f t="shared" si="3"/>
        <v>250790149.64476001</v>
      </c>
    </row>
    <row r="8" spans="1:27" ht="18.75" x14ac:dyDescent="0.3">
      <c r="A8" s="5">
        <v>46085</v>
      </c>
      <c r="B8" s="6" t="s">
        <v>28</v>
      </c>
      <c r="C8" s="5">
        <v>46085</v>
      </c>
      <c r="D8" s="10" t="s">
        <v>91</v>
      </c>
      <c r="E8" s="6" t="s">
        <v>21</v>
      </c>
      <c r="F8" s="7">
        <v>3551.2449999999999</v>
      </c>
      <c r="G8" s="8"/>
      <c r="H8" s="9">
        <v>343.14699999999993</v>
      </c>
      <c r="I8" s="9">
        <v>3894.3919999999998</v>
      </c>
      <c r="J8" s="9">
        <v>3981.2449999999999</v>
      </c>
      <c r="K8" s="10">
        <v>65</v>
      </c>
      <c r="L8" s="11">
        <v>77303.75</v>
      </c>
      <c r="M8" s="12">
        <v>2000</v>
      </c>
      <c r="N8" s="12">
        <v>1973.616</v>
      </c>
      <c r="O8" s="57">
        <v>1973.616</v>
      </c>
      <c r="P8" s="59">
        <v>1973.616</v>
      </c>
      <c r="Q8" s="12">
        <v>80</v>
      </c>
      <c r="R8" s="12">
        <f t="shared" si="2"/>
        <v>0</v>
      </c>
      <c r="S8" s="14">
        <v>77303.75</v>
      </c>
      <c r="T8" s="14">
        <v>0</v>
      </c>
      <c r="U8" s="14">
        <v>77303.75</v>
      </c>
      <c r="V8" s="14">
        <v>2500</v>
      </c>
      <c r="W8" s="58">
        <v>79803.75</v>
      </c>
      <c r="X8" s="15">
        <v>94.25</v>
      </c>
      <c r="Y8" s="15">
        <v>820.09</v>
      </c>
      <c r="Z8" s="15">
        <v>94.25</v>
      </c>
      <c r="AA8" s="16">
        <f t="shared" si="3"/>
        <v>157501957.85999998</v>
      </c>
    </row>
    <row r="9" spans="1:27" ht="18.75" x14ac:dyDescent="0.3">
      <c r="A9" s="5">
        <v>46085</v>
      </c>
      <c r="B9" s="6" t="s">
        <v>29</v>
      </c>
      <c r="C9" s="5">
        <v>46085</v>
      </c>
      <c r="D9" s="10" t="s">
        <v>90</v>
      </c>
      <c r="E9" s="6" t="s">
        <v>21</v>
      </c>
      <c r="F9" s="7">
        <v>3551.2449999999999</v>
      </c>
      <c r="G9" s="8"/>
      <c r="H9" s="9">
        <v>343.14699999999993</v>
      </c>
      <c r="I9" s="9">
        <v>3894.3919999999998</v>
      </c>
      <c r="J9" s="9">
        <v>3981.2449999999999</v>
      </c>
      <c r="K9" s="10">
        <v>65</v>
      </c>
      <c r="L9" s="11">
        <v>78756.34</v>
      </c>
      <c r="M9" s="12">
        <v>1996.271</v>
      </c>
      <c r="N9" s="12">
        <v>1969.9359999999999</v>
      </c>
      <c r="O9" s="57">
        <v>1969.9359999999999</v>
      </c>
      <c r="P9" s="59">
        <v>1969.9359999999999</v>
      </c>
      <c r="Q9" s="12">
        <v>0</v>
      </c>
      <c r="R9" s="12">
        <f t="shared" si="2"/>
        <v>0</v>
      </c>
      <c r="S9" s="14">
        <v>78756.34</v>
      </c>
      <c r="T9" s="14">
        <v>0</v>
      </c>
      <c r="U9" s="14">
        <v>78756.34</v>
      </c>
      <c r="V9" s="14">
        <v>2500</v>
      </c>
      <c r="W9" s="58">
        <v>81256.34</v>
      </c>
      <c r="X9" s="15">
        <v>94.25</v>
      </c>
      <c r="Y9" s="15">
        <v>835.5</v>
      </c>
      <c r="Z9" s="15">
        <v>94.25</v>
      </c>
      <c r="AA9" s="16">
        <f t="shared" si="3"/>
        <v>160069789.39423999</v>
      </c>
    </row>
    <row r="10" spans="1:27" ht="18.75" x14ac:dyDescent="0.3">
      <c r="A10" s="5">
        <v>46131</v>
      </c>
      <c r="B10" s="6" t="s">
        <v>30</v>
      </c>
      <c r="C10" s="5">
        <v>46131</v>
      </c>
      <c r="D10" s="37" t="s">
        <v>31</v>
      </c>
      <c r="E10" s="6" t="s">
        <v>21</v>
      </c>
      <c r="F10" s="7">
        <v>3551.2449999999999</v>
      </c>
      <c r="G10" s="8"/>
      <c r="H10" s="9">
        <v>343.14699999999993</v>
      </c>
      <c r="I10" s="9">
        <v>3894.3919999999998</v>
      </c>
      <c r="J10" s="9">
        <v>3981.2449999999999</v>
      </c>
      <c r="K10" s="10">
        <v>19</v>
      </c>
      <c r="L10" s="11">
        <v>129099.54</v>
      </c>
      <c r="M10" s="12">
        <v>2850</v>
      </c>
      <c r="N10" s="12">
        <v>2846.7510000000002</v>
      </c>
      <c r="O10" s="57">
        <v>93.871000000000095</v>
      </c>
      <c r="P10" s="59">
        <v>0</v>
      </c>
      <c r="Q10" s="12">
        <v>171.50999999999976</v>
      </c>
      <c r="R10" s="12">
        <f t="shared" si="2"/>
        <v>93.871000000000095</v>
      </c>
      <c r="S10" s="14">
        <v>129099.54</v>
      </c>
      <c r="T10" s="14">
        <v>0</v>
      </c>
      <c r="U10" s="14">
        <v>129099.54</v>
      </c>
      <c r="V10" s="14">
        <v>2500</v>
      </c>
      <c r="W10" s="58">
        <v>131599.53999999998</v>
      </c>
      <c r="X10" s="15">
        <v>94.2</v>
      </c>
      <c r="Y10" s="15">
        <v>1370.3</v>
      </c>
      <c r="Z10" s="15">
        <v>94.2</v>
      </c>
      <c r="AA10" s="16">
        <f t="shared" si="3"/>
        <v>12353380.419340011</v>
      </c>
    </row>
    <row r="11" spans="1:27" ht="18.75" x14ac:dyDescent="0.3">
      <c r="A11" s="5"/>
      <c r="B11" s="6"/>
      <c r="C11" s="5"/>
      <c r="D11" s="37"/>
      <c r="E11" s="6"/>
      <c r="F11" s="7"/>
      <c r="G11" s="8"/>
      <c r="H11" s="9"/>
      <c r="I11" s="9"/>
      <c r="J11" s="9"/>
      <c r="K11" s="10"/>
      <c r="L11" s="11"/>
      <c r="M11" s="12"/>
      <c r="N11" s="12"/>
      <c r="O11" s="12"/>
      <c r="P11" s="13"/>
      <c r="Q11" s="12"/>
      <c r="R11" s="12"/>
      <c r="S11" s="14"/>
      <c r="T11" s="14"/>
      <c r="U11" s="14"/>
      <c r="V11" s="14"/>
      <c r="W11" s="14"/>
      <c r="X11" s="15"/>
      <c r="Y11" s="15"/>
      <c r="Z11" s="15"/>
      <c r="AA11" s="16"/>
    </row>
    <row r="12" spans="1:27" ht="18.75" x14ac:dyDescent="0.3">
      <c r="A12" s="17"/>
      <c r="B12" s="1" t="s">
        <v>32</v>
      </c>
      <c r="C12" s="17"/>
      <c r="D12" s="10"/>
      <c r="E12" s="6"/>
      <c r="F12" s="18" t="e">
        <v>#REF!</v>
      </c>
      <c r="G12" s="19" t="e">
        <v>#REF!</v>
      </c>
      <c r="H12" s="18" t="e">
        <v>#REF!</v>
      </c>
      <c r="I12" s="18" t="e">
        <v>#REF!</v>
      </c>
      <c r="J12" s="18"/>
      <c r="K12" s="17"/>
      <c r="L12" s="11"/>
      <c r="M12" s="14"/>
      <c r="N12" s="14"/>
      <c r="O12" s="20">
        <f>SUM(O3:O11)</f>
        <v>13315.654999999999</v>
      </c>
      <c r="P12" s="20">
        <f>SUM(P3:P11)</f>
        <v>10285.374</v>
      </c>
      <c r="Q12" s="14"/>
      <c r="R12" s="20">
        <f>SUM(R3:R11)</f>
        <v>3030.2809999999999</v>
      </c>
      <c r="S12" s="14"/>
      <c r="T12" s="14"/>
      <c r="U12" s="14"/>
      <c r="V12" s="14"/>
      <c r="W12" s="14"/>
      <c r="X12" s="14"/>
      <c r="Y12" s="14"/>
      <c r="Z12" s="14"/>
      <c r="AA12" s="41">
        <f>SUM(AA3:AA11)</f>
        <v>996691804.15066004</v>
      </c>
    </row>
    <row r="14" spans="1:27" ht="18.75" x14ac:dyDescent="0.3">
      <c r="I14" s="23"/>
    </row>
    <row r="15" spans="1:27" ht="18.75" x14ac:dyDescent="0.3">
      <c r="I15" s="23"/>
      <c r="J15" s="23"/>
    </row>
    <row r="16" spans="1:27" ht="18.75" x14ac:dyDescent="0.3">
      <c r="I16" s="23"/>
      <c r="J16" s="23"/>
    </row>
    <row r="17" spans="2:27" ht="18.75" x14ac:dyDescent="0.3">
      <c r="I17" s="23"/>
      <c r="J17" s="26"/>
    </row>
    <row r="18" spans="2:27" x14ac:dyDescent="0.3">
      <c r="I18" s="26"/>
      <c r="J18" s="26"/>
    </row>
    <row r="19" spans="2:27" x14ac:dyDescent="0.3">
      <c r="I19" s="26"/>
      <c r="J19" s="26"/>
    </row>
    <row r="20" spans="2:27" x14ac:dyDescent="0.3">
      <c r="I20" s="26"/>
      <c r="J20" s="26"/>
    </row>
    <row r="21" spans="2:27" s="21" customFormat="1" x14ac:dyDescent="0.3">
      <c r="B21"/>
      <c r="D21"/>
      <c r="E21"/>
      <c r="G21" s="22"/>
      <c r="H21"/>
      <c r="I21" s="26"/>
      <c r="J21" s="26"/>
      <c r="L21" s="24"/>
      <c r="M21"/>
      <c r="N21"/>
      <c r="O21"/>
      <c r="P21" s="25"/>
      <c r="Q21"/>
      <c r="R21"/>
      <c r="S21"/>
      <c r="T21"/>
      <c r="U21"/>
      <c r="V21"/>
      <c r="W21"/>
      <c r="X21"/>
      <c r="Y21"/>
      <c r="Z21"/>
      <c r="AA21"/>
    </row>
    <row r="22" spans="2:27" s="21" customFormat="1" x14ac:dyDescent="0.3">
      <c r="B22"/>
      <c r="D22"/>
      <c r="E22"/>
      <c r="G22" s="22"/>
      <c r="H22"/>
      <c r="I22" s="26"/>
      <c r="J22" s="26"/>
      <c r="L22" s="24"/>
      <c r="M22"/>
      <c r="N22"/>
      <c r="O22"/>
      <c r="P22" s="25"/>
      <c r="Q22"/>
      <c r="R22"/>
      <c r="S22"/>
      <c r="T22"/>
      <c r="U22"/>
      <c r="V22"/>
      <c r="W22"/>
      <c r="X22"/>
      <c r="Y22"/>
      <c r="Z22"/>
      <c r="AA22"/>
    </row>
    <row r="23" spans="2:27" s="21" customFormat="1" x14ac:dyDescent="0.3">
      <c r="B23"/>
      <c r="D23"/>
      <c r="E23"/>
      <c r="G23" s="22"/>
      <c r="H23"/>
      <c r="I23"/>
      <c r="J23" s="26"/>
      <c r="L23" s="24"/>
      <c r="M23"/>
      <c r="N23"/>
      <c r="O23"/>
      <c r="P23" s="25"/>
      <c r="Q23"/>
      <c r="R23"/>
      <c r="S23"/>
      <c r="T23"/>
      <c r="U23"/>
      <c r="V23"/>
      <c r="W23"/>
      <c r="X23"/>
      <c r="Y23"/>
      <c r="Z23"/>
      <c r="AA23"/>
    </row>
    <row r="24" spans="2:27" s="21" customFormat="1" x14ac:dyDescent="0.3">
      <c r="B24"/>
      <c r="D24"/>
      <c r="E24"/>
      <c r="G24" s="22"/>
      <c r="H24"/>
      <c r="I24"/>
      <c r="J24" s="26"/>
      <c r="L24" s="24"/>
      <c r="M24"/>
      <c r="N24"/>
      <c r="O24"/>
      <c r="P24" s="25"/>
      <c r="Q24"/>
      <c r="R24"/>
      <c r="S24"/>
      <c r="T24"/>
      <c r="U24"/>
      <c r="V24"/>
      <c r="W24"/>
      <c r="X24"/>
      <c r="Y24"/>
      <c r="Z24"/>
      <c r="AA24"/>
    </row>
  </sheetData>
  <mergeCells count="1">
    <mergeCell ref="A1:AA1"/>
  </mergeCells>
  <conditionalFormatting sqref="H12:J12">
    <cfRule type="cellIs" dxfId="18" priority="8" operator="lessThan">
      <formula>0</formula>
    </cfRule>
  </conditionalFormatting>
  <conditionalFormatting sqref="I14 I15:J16 I17">
    <cfRule type="cellIs" dxfId="17" priority="9" operator="lessThan">
      <formula>0</formula>
    </cfRule>
  </conditionalFormatting>
  <conditionalFormatting sqref="I2:J11">
    <cfRule type="cellIs" dxfId="16" priority="3" operator="lessThan">
      <formula>0</formula>
    </cfRule>
  </conditionalFormatting>
  <conditionalFormatting sqref="M2:R2 F2:F1048576">
    <cfRule type="cellIs" dxfId="15" priority="6" operator="lessThan">
      <formula>0</formula>
    </cfRule>
  </conditionalFormatting>
  <conditionalFormatting sqref="O12:P12">
    <cfRule type="cellIs" dxfId="14" priority="4" operator="lessThan">
      <formula>0</formula>
    </cfRule>
  </conditionalFormatting>
  <conditionalFormatting sqref="R12">
    <cfRule type="cellIs" dxfId="13" priority="1" operator="lessThan">
      <formula>0</formula>
    </cfRule>
  </conditionalFormatting>
  <conditionalFormatting sqref="AA12">
    <cfRule type="cellIs" dxfId="12" priority="2" operator="lessThan">
      <formula>0</formula>
    </cfRule>
  </conditionalFormatting>
  <hyperlinks>
    <hyperlink ref="D10" location="'STYRENE MONOMER'!A1" display="STYRENE"/>
    <hyperlink ref="D5" location="'IPA -2-5-26'!A1" display="IPA-02-05-26"/>
    <hyperlink ref="D4" location="'IPA 29-04-26'!A1" display="IPA-29-4-26"/>
    <hyperlink ref="D6" location="DEG!A1" display="DEG"/>
    <hyperlink ref="D7" location="'MIXED XYLENE'!A1" display="MIX XYLENE"/>
  </hyperlinks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25"/>
  <sheetViews>
    <sheetView tabSelected="1" zoomScale="85" zoomScaleNormal="85" workbookViewId="0">
      <pane ySplit="2" topLeftCell="A3" activePane="bottomLeft" state="frozen"/>
      <selection pane="bottomLeft" activeCell="F18" sqref="F18"/>
    </sheetView>
  </sheetViews>
  <sheetFormatPr defaultColWidth="9.140625" defaultRowHeight="15" x14ac:dyDescent="0.25"/>
  <cols>
    <col min="1" max="3" width="16.140625" style="21" customWidth="1"/>
    <col min="4" max="4" width="41" customWidth="1"/>
    <col min="5" max="5" width="32" customWidth="1"/>
    <col min="6" max="6" width="24.7109375" style="21" customWidth="1"/>
    <col min="7" max="8" width="20.28515625" customWidth="1"/>
    <col min="9" max="9" width="20.85546875" customWidth="1"/>
    <col min="10" max="10" width="20.28515625" style="25" customWidth="1"/>
    <col min="11" max="11" width="20.28515625" customWidth="1"/>
    <col min="12" max="12" width="18.28515625" customWidth="1"/>
    <col min="13" max="13" width="28.28515625" customWidth="1"/>
    <col min="14" max="14" width="18.7109375" customWidth="1"/>
    <col min="15" max="15" width="28" bestFit="1" customWidth="1"/>
    <col min="16" max="16" width="26.5703125" bestFit="1" customWidth="1"/>
    <col min="17" max="17" width="27.140625" bestFit="1" customWidth="1"/>
    <col min="18" max="18" width="22.7109375" bestFit="1" customWidth="1"/>
  </cols>
  <sheetData>
    <row r="1" spans="1:18" ht="33" customHeight="1" x14ac:dyDescent="0.2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8" ht="56.25" x14ac:dyDescent="0.3">
      <c r="A2" s="3" t="s">
        <v>92</v>
      </c>
      <c r="B2" s="3" t="s">
        <v>172</v>
      </c>
      <c r="C2" s="3" t="s">
        <v>173</v>
      </c>
      <c r="D2" s="1" t="s">
        <v>2</v>
      </c>
      <c r="E2" s="1" t="s">
        <v>3</v>
      </c>
      <c r="F2" s="3" t="s">
        <v>9</v>
      </c>
      <c r="G2" s="39" t="s">
        <v>11</v>
      </c>
      <c r="H2" s="39" t="s">
        <v>8</v>
      </c>
      <c r="I2" s="2" t="s">
        <v>93</v>
      </c>
      <c r="J2" s="2" t="s">
        <v>12</v>
      </c>
      <c r="K2" s="2" t="s">
        <v>14</v>
      </c>
      <c r="L2" s="40" t="s">
        <v>170</v>
      </c>
      <c r="M2" s="38" t="s">
        <v>10</v>
      </c>
      <c r="N2" s="38" t="s">
        <v>17</v>
      </c>
      <c r="O2" s="38" t="s">
        <v>18</v>
      </c>
      <c r="P2" s="38" t="s">
        <v>165</v>
      </c>
      <c r="Q2" s="38" t="s">
        <v>171</v>
      </c>
      <c r="R2" s="38" t="s">
        <v>167</v>
      </c>
    </row>
    <row r="3" spans="1:18" ht="18.75" x14ac:dyDescent="0.3">
      <c r="A3" s="5">
        <v>46141</v>
      </c>
      <c r="B3" s="5" t="s">
        <v>174</v>
      </c>
      <c r="C3" s="5" t="s">
        <v>21</v>
      </c>
      <c r="D3" s="6" t="s">
        <v>19</v>
      </c>
      <c r="E3" s="10" t="s">
        <v>20</v>
      </c>
      <c r="F3" s="10">
        <v>9</v>
      </c>
      <c r="G3" s="12">
        <v>1900</v>
      </c>
      <c r="H3" s="12">
        <v>1886.4470000000001</v>
      </c>
      <c r="I3" s="57">
        <v>1886.4470000000001</v>
      </c>
      <c r="J3" s="59">
        <v>1886.4470000000001</v>
      </c>
      <c r="K3" s="12">
        <v>0</v>
      </c>
      <c r="L3" s="58">
        <v>47797.51</v>
      </c>
      <c r="M3" s="15">
        <v>480.8</v>
      </c>
      <c r="N3" s="15">
        <v>94.2</v>
      </c>
      <c r="O3" s="16">
        <v>90167469.346970007</v>
      </c>
      <c r="P3" s="14"/>
      <c r="Q3" s="14">
        <v>56</v>
      </c>
      <c r="R3" s="14">
        <v>53</v>
      </c>
    </row>
    <row r="4" spans="1:18" ht="18.75" x14ac:dyDescent="0.3">
      <c r="A4" s="5">
        <v>46141</v>
      </c>
      <c r="B4" s="5" t="s">
        <v>174</v>
      </c>
      <c r="C4" s="5" t="s">
        <v>21</v>
      </c>
      <c r="D4" s="6" t="s">
        <v>22</v>
      </c>
      <c r="E4" s="37" t="s">
        <v>23</v>
      </c>
      <c r="F4" s="10">
        <v>9</v>
      </c>
      <c r="G4" s="12">
        <v>1737.223</v>
      </c>
      <c r="H4" s="12">
        <v>1731.193</v>
      </c>
      <c r="I4" s="57">
        <v>1731.193</v>
      </c>
      <c r="J4" s="59">
        <v>604.22299999999996</v>
      </c>
      <c r="K4" s="12">
        <v>1126.97</v>
      </c>
      <c r="L4" s="58">
        <v>75204.710000000006</v>
      </c>
      <c r="M4" s="15">
        <v>775</v>
      </c>
      <c r="N4" s="15">
        <v>93.8</v>
      </c>
      <c r="O4" s="16">
        <v>130193867.51903</v>
      </c>
      <c r="P4" s="14"/>
      <c r="Q4" s="14"/>
      <c r="R4" s="14"/>
    </row>
    <row r="5" spans="1:18" ht="18.75" x14ac:dyDescent="0.3">
      <c r="A5" s="5">
        <v>46144</v>
      </c>
      <c r="B5" s="5" t="s">
        <v>174</v>
      </c>
      <c r="C5" s="5" t="s">
        <v>21</v>
      </c>
      <c r="D5" s="6" t="s">
        <v>73</v>
      </c>
      <c r="E5" s="37" t="s">
        <v>23</v>
      </c>
      <c r="F5" s="10">
        <v>5</v>
      </c>
      <c r="G5" s="12">
        <v>950</v>
      </c>
      <c r="H5" s="12">
        <v>948.20399999999995</v>
      </c>
      <c r="I5" s="57">
        <v>948.20399999999995</v>
      </c>
      <c r="J5" s="59">
        <v>197.20399999999995</v>
      </c>
      <c r="K5" s="12">
        <v>751</v>
      </c>
      <c r="L5" s="58">
        <v>75370.28</v>
      </c>
      <c r="M5" s="15">
        <v>800</v>
      </c>
      <c r="N5" s="15">
        <v>94.2</v>
      </c>
      <c r="O5" s="16">
        <v>71466400.977119997</v>
      </c>
      <c r="P5" s="14"/>
      <c r="Q5" s="14"/>
      <c r="R5" s="14"/>
    </row>
    <row r="6" spans="1:18" ht="18.75" x14ac:dyDescent="0.3">
      <c r="A6" s="5">
        <v>46138</v>
      </c>
      <c r="B6" s="5" t="s">
        <v>174</v>
      </c>
      <c r="C6" s="5" t="s">
        <v>21</v>
      </c>
      <c r="D6" s="6" t="s">
        <v>24</v>
      </c>
      <c r="E6" s="37" t="s">
        <v>25</v>
      </c>
      <c r="F6" s="10">
        <v>12</v>
      </c>
      <c r="G6" s="12">
        <v>1499.9860000000001</v>
      </c>
      <c r="H6" s="12">
        <v>1494.5360000000001</v>
      </c>
      <c r="I6" s="57">
        <v>1494.5360000000001</v>
      </c>
      <c r="J6" s="59">
        <v>981.53600000000006</v>
      </c>
      <c r="K6" s="12">
        <v>513</v>
      </c>
      <c r="L6" s="58">
        <v>83068.45</v>
      </c>
      <c r="M6" s="15">
        <v>790</v>
      </c>
      <c r="N6" s="15">
        <v>94.2</v>
      </c>
      <c r="O6" s="16">
        <v>124148788.9892</v>
      </c>
      <c r="P6" s="14"/>
      <c r="Q6" s="14"/>
      <c r="R6" s="14"/>
    </row>
    <row r="7" spans="1:18" ht="18.75" x14ac:dyDescent="0.3">
      <c r="A7" s="5">
        <v>46085</v>
      </c>
      <c r="B7" s="5" t="s">
        <v>174</v>
      </c>
      <c r="C7" s="5" t="s">
        <v>21</v>
      </c>
      <c r="D7" s="6" t="s">
        <v>27</v>
      </c>
      <c r="E7" s="37" t="s">
        <v>90</v>
      </c>
      <c r="F7" s="10">
        <v>65</v>
      </c>
      <c r="G7" s="12">
        <v>3981.2449999999999</v>
      </c>
      <c r="H7" s="12">
        <v>3943.5520000000001</v>
      </c>
      <c r="I7" s="57">
        <v>3217.8519999999999</v>
      </c>
      <c r="J7" s="59">
        <v>2672.4120000000003</v>
      </c>
      <c r="K7" s="12">
        <v>545.4399999999996</v>
      </c>
      <c r="L7" s="58">
        <v>77937.13</v>
      </c>
      <c r="M7" s="15">
        <v>820.75</v>
      </c>
      <c r="N7" s="15">
        <v>91.9</v>
      </c>
      <c r="O7" s="16">
        <v>250790149.64476001</v>
      </c>
      <c r="P7" s="14"/>
      <c r="Q7" s="14"/>
      <c r="R7" s="14"/>
    </row>
    <row r="8" spans="1:18" ht="18.75" x14ac:dyDescent="0.3">
      <c r="A8" s="5">
        <v>46085</v>
      </c>
      <c r="B8" s="5" t="s">
        <v>174</v>
      </c>
      <c r="C8" s="5" t="s">
        <v>21</v>
      </c>
      <c r="D8" s="6" t="s">
        <v>28</v>
      </c>
      <c r="E8" s="10" t="s">
        <v>91</v>
      </c>
      <c r="F8" s="10">
        <v>65</v>
      </c>
      <c r="G8" s="12">
        <v>2000</v>
      </c>
      <c r="H8" s="12">
        <v>1973.616</v>
      </c>
      <c r="I8" s="57">
        <v>1973.616</v>
      </c>
      <c r="J8" s="59">
        <v>1973.616</v>
      </c>
      <c r="K8" s="12">
        <v>0</v>
      </c>
      <c r="L8" s="58">
        <v>79803.75</v>
      </c>
      <c r="M8" s="15">
        <v>820.09</v>
      </c>
      <c r="N8" s="15">
        <v>94.25</v>
      </c>
      <c r="O8" s="16">
        <v>157501957.85999998</v>
      </c>
      <c r="P8" s="14"/>
      <c r="Q8" s="14"/>
      <c r="R8" s="14"/>
    </row>
    <row r="9" spans="1:18" ht="18.75" x14ac:dyDescent="0.3">
      <c r="A9" s="5">
        <v>46085</v>
      </c>
      <c r="B9" s="5" t="s">
        <v>174</v>
      </c>
      <c r="C9" s="5" t="s">
        <v>21</v>
      </c>
      <c r="D9" s="6" t="s">
        <v>29</v>
      </c>
      <c r="E9" s="10" t="s">
        <v>90</v>
      </c>
      <c r="F9" s="10">
        <v>65</v>
      </c>
      <c r="G9" s="12">
        <v>1996.271</v>
      </c>
      <c r="H9" s="12">
        <v>1969.9359999999999</v>
      </c>
      <c r="I9" s="57">
        <v>1969.9359999999999</v>
      </c>
      <c r="J9" s="59">
        <v>1969.9359999999999</v>
      </c>
      <c r="K9" s="12">
        <v>0</v>
      </c>
      <c r="L9" s="58">
        <v>81256.34</v>
      </c>
      <c r="M9" s="15">
        <v>835.5</v>
      </c>
      <c r="N9" s="15">
        <v>94.25</v>
      </c>
      <c r="O9" s="16">
        <v>160069789.39423999</v>
      </c>
      <c r="P9" s="14"/>
      <c r="Q9" s="14"/>
      <c r="R9" s="14"/>
    </row>
    <row r="10" spans="1:18" ht="18.75" x14ac:dyDescent="0.3">
      <c r="A10" s="5">
        <v>46131</v>
      </c>
      <c r="B10" s="5" t="s">
        <v>174</v>
      </c>
      <c r="C10" s="5" t="s">
        <v>21</v>
      </c>
      <c r="D10" s="6" t="s">
        <v>30</v>
      </c>
      <c r="E10" s="37" t="s">
        <v>31</v>
      </c>
      <c r="F10" s="10">
        <v>19</v>
      </c>
      <c r="G10" s="12">
        <v>2850</v>
      </c>
      <c r="H10" s="12">
        <v>2846.7510000000002</v>
      </c>
      <c r="I10" s="57">
        <v>93.871000000000095</v>
      </c>
      <c r="J10" s="59">
        <v>0</v>
      </c>
      <c r="K10" s="12">
        <v>93.871000000000095</v>
      </c>
      <c r="L10" s="58">
        <v>131599.53999999998</v>
      </c>
      <c r="M10" s="15">
        <v>1370.3</v>
      </c>
      <c r="N10" s="15">
        <v>94.2</v>
      </c>
      <c r="O10" s="16">
        <v>12353380.419340011</v>
      </c>
      <c r="P10" s="14"/>
      <c r="Q10" s="14"/>
      <c r="R10" s="14"/>
    </row>
    <row r="11" spans="1:18" ht="18.75" x14ac:dyDescent="0.3">
      <c r="A11" s="5"/>
      <c r="B11" s="5" t="s">
        <v>175</v>
      </c>
      <c r="C11" s="5" t="s">
        <v>21</v>
      </c>
      <c r="D11" s="6" t="s">
        <v>177</v>
      </c>
      <c r="E11" s="10" t="s">
        <v>176</v>
      </c>
      <c r="F11" s="10">
        <v>0</v>
      </c>
      <c r="G11" s="12">
        <v>500</v>
      </c>
      <c r="H11" s="12">
        <v>0</v>
      </c>
      <c r="I11" s="57">
        <v>0</v>
      </c>
      <c r="J11" s="59">
        <v>500</v>
      </c>
      <c r="K11" s="12">
        <v>0</v>
      </c>
      <c r="L11" s="58">
        <v>131599.53999999998</v>
      </c>
      <c r="M11" s="15">
        <v>1370.3</v>
      </c>
      <c r="N11" s="15">
        <v>94.2</v>
      </c>
      <c r="O11" s="16">
        <v>12353380.419340011</v>
      </c>
      <c r="P11" s="14">
        <v>500</v>
      </c>
      <c r="Q11" s="14"/>
      <c r="R11" s="14"/>
    </row>
    <row r="12" spans="1:18" ht="18.75" x14ac:dyDescent="0.3">
      <c r="A12" s="5"/>
      <c r="B12" s="5"/>
      <c r="C12" s="5"/>
      <c r="D12" s="6"/>
      <c r="E12" s="37"/>
      <c r="F12" s="10"/>
      <c r="G12" s="12"/>
      <c r="H12" s="12"/>
      <c r="I12" s="12"/>
      <c r="J12" s="13"/>
      <c r="K12" s="12"/>
      <c r="L12" s="14"/>
      <c r="M12" s="15"/>
      <c r="N12" s="15"/>
      <c r="O12" s="16"/>
      <c r="P12" s="14"/>
      <c r="Q12" s="14"/>
      <c r="R12" s="14"/>
    </row>
    <row r="13" spans="1:18" ht="18.75" x14ac:dyDescent="0.3">
      <c r="A13" s="17"/>
      <c r="B13" s="17"/>
      <c r="C13" s="17"/>
      <c r="D13" s="1" t="s">
        <v>32</v>
      </c>
      <c r="E13" s="10"/>
      <c r="F13" s="17"/>
      <c r="G13" s="14"/>
      <c r="H13" s="14"/>
      <c r="I13" s="20">
        <f>SUM(I3:I12)</f>
        <v>13315.654999999999</v>
      </c>
      <c r="J13" s="20">
        <f>SUM(J3:J12)</f>
        <v>10785.374</v>
      </c>
      <c r="K13" s="20"/>
      <c r="L13" s="20"/>
      <c r="M13" s="14"/>
      <c r="N13" s="14"/>
      <c r="O13" s="63">
        <f>SUM(O3:O12)</f>
        <v>1009045184.5700001</v>
      </c>
      <c r="P13" s="14"/>
      <c r="Q13" s="14"/>
      <c r="R13" s="14"/>
    </row>
    <row r="22" spans="4:15" s="21" customFormat="1" x14ac:dyDescent="0.25">
      <c r="D22"/>
      <c r="E22"/>
      <c r="G22"/>
      <c r="H22"/>
      <c r="I22"/>
      <c r="J22" s="25"/>
      <c r="K22"/>
      <c r="L22"/>
      <c r="M22"/>
      <c r="N22"/>
      <c r="O22"/>
    </row>
    <row r="23" spans="4:15" s="21" customFormat="1" x14ac:dyDescent="0.25">
      <c r="D23"/>
      <c r="E23"/>
      <c r="G23"/>
      <c r="H23"/>
      <c r="I23"/>
      <c r="J23" s="25"/>
      <c r="K23"/>
      <c r="L23"/>
      <c r="M23"/>
      <c r="N23"/>
      <c r="O23"/>
    </row>
    <row r="24" spans="4:15" s="21" customFormat="1" x14ac:dyDescent="0.25">
      <c r="D24"/>
      <c r="E24"/>
      <c r="G24"/>
      <c r="H24"/>
      <c r="I24"/>
      <c r="J24" s="25"/>
      <c r="K24"/>
      <c r="L24"/>
      <c r="M24"/>
      <c r="N24"/>
      <c r="O24"/>
    </row>
    <row r="25" spans="4:15" s="21" customFormat="1" x14ac:dyDescent="0.25">
      <c r="D25"/>
      <c r="E25"/>
      <c r="G25"/>
      <c r="H25"/>
      <c r="I25"/>
      <c r="J25" s="25"/>
      <c r="K25"/>
      <c r="L25"/>
      <c r="M25"/>
      <c r="N25"/>
      <c r="O25"/>
    </row>
  </sheetData>
  <mergeCells count="1">
    <mergeCell ref="A1:O1"/>
  </mergeCells>
  <conditionalFormatting sqref="G2:K2">
    <cfRule type="cellIs" dxfId="11" priority="8" operator="lessThan">
      <formula>0</formula>
    </cfRule>
  </conditionalFormatting>
  <conditionalFormatting sqref="I13:J13">
    <cfRule type="cellIs" dxfId="10" priority="6" operator="lessThan">
      <formula>0</formula>
    </cfRule>
  </conditionalFormatting>
  <conditionalFormatting sqref="K13">
    <cfRule type="cellIs" dxfId="9" priority="3" operator="lessThan">
      <formula>0</formula>
    </cfRule>
  </conditionalFormatting>
  <conditionalFormatting sqref="L13">
    <cfRule type="cellIs" dxfId="1" priority="2" operator="lessThan">
      <formula>0</formula>
    </cfRule>
  </conditionalFormatting>
  <conditionalFormatting sqref="O13">
    <cfRule type="cellIs" dxfId="0" priority="1" operator="lessThan">
      <formula>0</formula>
    </cfRule>
  </conditionalFormatting>
  <hyperlinks>
    <hyperlink ref="E5" location="'IPA -2-5-26'!A1" display="IPA-02-05-26"/>
    <hyperlink ref="E6" location="DEG!A1" display="DEG"/>
    <hyperlink ref="E7" location="'MIXED XYLENE'!A1" display="MIX XYLENE"/>
    <hyperlink ref="E10" location="'STYRENE MONOMER'!A1" display="STYRENE"/>
    <hyperlink ref="E4" location="'IPA 29-04-26'!A1" display="IPA-29-4-26"/>
  </hyperlinks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21"/>
  <sheetViews>
    <sheetView topLeftCell="B1" zoomScale="85" zoomScaleNormal="85" workbookViewId="0">
      <pane ySplit="2" topLeftCell="A3" activePane="bottomLeft" state="frozen"/>
      <selection pane="bottomLeft" activeCell="U1" sqref="U1"/>
    </sheetView>
  </sheetViews>
  <sheetFormatPr defaultColWidth="9.140625" defaultRowHeight="17.25" x14ac:dyDescent="0.3"/>
  <cols>
    <col min="1" max="1" width="16.140625" style="21" hidden="1" customWidth="1"/>
    <col min="2" max="2" width="32" customWidth="1"/>
    <col min="3" max="3" width="17.7109375" style="21" hidden="1" customWidth="1"/>
    <col min="4" max="4" width="14.140625" style="22" hidden="1" customWidth="1"/>
    <col min="5" max="5" width="22.7109375" hidden="1" customWidth="1"/>
    <col min="6" max="7" width="20.28515625" hidden="1" customWidth="1"/>
    <col min="8" max="8" width="24.5703125" style="24" hidden="1" customWidth="1"/>
    <col min="9" max="9" width="20.85546875" customWidth="1"/>
    <col min="10" max="10" width="20.28515625" style="25" customWidth="1"/>
    <col min="11" max="11" width="20.28515625" hidden="1" customWidth="1"/>
    <col min="12" max="12" width="20.28515625" customWidth="1"/>
    <col min="13" max="13" width="21.5703125" hidden="1" customWidth="1"/>
    <col min="14" max="16" width="18.28515625" hidden="1" customWidth="1"/>
    <col min="17" max="17" width="18.28515625" customWidth="1"/>
    <col min="18" max="18" width="18.7109375" hidden="1" customWidth="1"/>
    <col min="19" max="19" width="28.28515625" customWidth="1"/>
    <col min="20" max="20" width="24.28515625" bestFit="1" customWidth="1"/>
  </cols>
  <sheetData>
    <row r="1" spans="1:20" ht="33" customHeight="1" x14ac:dyDescent="0.25">
      <c r="A1" s="42"/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51.75" x14ac:dyDescent="0.3">
      <c r="A2" s="1" t="s">
        <v>1</v>
      </c>
      <c r="B2" s="44" t="s">
        <v>3</v>
      </c>
      <c r="C2" s="45" t="s">
        <v>5</v>
      </c>
      <c r="D2" s="45" t="s">
        <v>5</v>
      </c>
      <c r="E2" s="45" t="s">
        <v>6</v>
      </c>
      <c r="F2" s="45" t="s">
        <v>7</v>
      </c>
      <c r="G2" s="45" t="s">
        <v>8</v>
      </c>
      <c r="H2" s="46" t="s">
        <v>10</v>
      </c>
      <c r="I2" s="45" t="s">
        <v>93</v>
      </c>
      <c r="J2" s="45" t="s">
        <v>12</v>
      </c>
      <c r="K2" s="45" t="s">
        <v>13</v>
      </c>
      <c r="L2" s="45" t="s">
        <v>14</v>
      </c>
      <c r="M2" s="46" t="s">
        <v>15</v>
      </c>
      <c r="N2" s="46" t="s">
        <v>16</v>
      </c>
      <c r="O2" s="46"/>
      <c r="P2" s="46"/>
      <c r="Q2" s="47" t="s">
        <v>94</v>
      </c>
      <c r="R2" s="48" t="s">
        <v>17</v>
      </c>
      <c r="S2" s="48" t="s">
        <v>10</v>
      </c>
      <c r="T2" s="48" t="s">
        <v>18</v>
      </c>
    </row>
    <row r="3" spans="1:20" ht="18.75" x14ac:dyDescent="0.3">
      <c r="A3" s="5">
        <v>46141</v>
      </c>
      <c r="B3" s="10" t="s">
        <v>20</v>
      </c>
      <c r="C3" s="7">
        <v>3551.2449999999999</v>
      </c>
      <c r="D3" s="8"/>
      <c r="E3" s="9">
        <v>343.14699999999993</v>
      </c>
      <c r="F3" s="9">
        <v>3894.3919999999998</v>
      </c>
      <c r="G3" s="9">
        <v>3981.2449999999999</v>
      </c>
      <c r="H3" s="11">
        <v>45297.51</v>
      </c>
      <c r="I3" s="12">
        <v>1886.4470000000001</v>
      </c>
      <c r="J3" s="13">
        <v>1886.4470000000001</v>
      </c>
      <c r="K3" s="12">
        <v>0</v>
      </c>
      <c r="L3" s="12">
        <v>0</v>
      </c>
      <c r="M3" s="14">
        <v>45297.51</v>
      </c>
      <c r="N3" s="14">
        <v>0</v>
      </c>
      <c r="O3" s="14">
        <v>45297.51</v>
      </c>
      <c r="P3" s="14">
        <v>2500</v>
      </c>
      <c r="Q3" s="12">
        <v>47797.51</v>
      </c>
      <c r="R3" s="15">
        <v>94.2</v>
      </c>
      <c r="S3" s="15">
        <v>480.8</v>
      </c>
      <c r="T3" s="16">
        <v>90167469.346970007</v>
      </c>
    </row>
    <row r="4" spans="1:20" ht="18.75" x14ac:dyDescent="0.3">
      <c r="A4" s="5"/>
      <c r="B4" s="37" t="s">
        <v>23</v>
      </c>
      <c r="C4" s="7"/>
      <c r="D4" s="8"/>
      <c r="E4" s="9"/>
      <c r="F4" s="9"/>
      <c r="G4" s="9"/>
      <c r="H4" s="11"/>
      <c r="I4" s="12">
        <v>2679.3969999999999</v>
      </c>
      <c r="J4" s="12">
        <v>801.42699999999991</v>
      </c>
      <c r="K4" s="12"/>
      <c r="L4" s="12">
        <v>1877.97</v>
      </c>
      <c r="M4" s="14"/>
      <c r="N4" s="14"/>
      <c r="O4" s="14"/>
      <c r="P4" s="14"/>
      <c r="Q4" s="15">
        <v>75287.494999999995</v>
      </c>
      <c r="R4" s="15"/>
      <c r="S4" s="15">
        <v>787.5</v>
      </c>
      <c r="T4" s="43">
        <v>201660268.49615002</v>
      </c>
    </row>
    <row r="5" spans="1:20" ht="18.75" x14ac:dyDescent="0.3">
      <c r="A5" s="5">
        <v>46138</v>
      </c>
      <c r="B5" s="37" t="s">
        <v>25</v>
      </c>
      <c r="C5" s="7">
        <v>3551.2449999999999</v>
      </c>
      <c r="D5" s="8"/>
      <c r="E5" s="9">
        <v>343.14699999999993</v>
      </c>
      <c r="F5" s="9">
        <v>3894.3919999999998</v>
      </c>
      <c r="G5" s="9">
        <v>3981.2449999999999</v>
      </c>
      <c r="H5" s="11">
        <v>74428.149999999994</v>
      </c>
      <c r="I5" s="12">
        <v>1494.5360000000001</v>
      </c>
      <c r="J5" s="13">
        <v>981.53600000000006</v>
      </c>
      <c r="K5" s="12">
        <v>190</v>
      </c>
      <c r="L5" s="12">
        <v>513</v>
      </c>
      <c r="M5" s="14">
        <v>74428.149999999994</v>
      </c>
      <c r="N5" s="14">
        <v>6140.3</v>
      </c>
      <c r="O5" s="14">
        <v>80568.45</v>
      </c>
      <c r="P5" s="14">
        <v>2500</v>
      </c>
      <c r="Q5" s="12">
        <v>83068.45</v>
      </c>
      <c r="R5" s="15">
        <v>94.2</v>
      </c>
      <c r="S5" s="15">
        <v>790</v>
      </c>
      <c r="T5" s="16">
        <v>124148788.9892</v>
      </c>
    </row>
    <row r="6" spans="1:20" ht="18.75" x14ac:dyDescent="0.3">
      <c r="A6" s="5"/>
      <c r="B6" s="10" t="s">
        <v>90</v>
      </c>
      <c r="C6" s="7"/>
      <c r="D6" s="8"/>
      <c r="E6" s="9"/>
      <c r="F6" s="9"/>
      <c r="G6" s="9"/>
      <c r="H6" s="11"/>
      <c r="I6" s="12">
        <v>7161.4039999999995</v>
      </c>
      <c r="J6" s="12">
        <v>6615.9639999999999</v>
      </c>
      <c r="K6" s="12"/>
      <c r="L6" s="12">
        <v>545.4399999999996</v>
      </c>
      <c r="M6" s="14"/>
      <c r="N6" s="14"/>
      <c r="O6" s="14"/>
      <c r="P6" s="14"/>
      <c r="Q6" s="15">
        <v>79665.740000000005</v>
      </c>
      <c r="R6" s="15"/>
      <c r="S6" s="15">
        <v>825.44666666666672</v>
      </c>
      <c r="T6" s="43">
        <v>568361896.89900005</v>
      </c>
    </row>
    <row r="7" spans="1:20" ht="18.75" x14ac:dyDescent="0.3">
      <c r="A7" s="5">
        <v>46131</v>
      </c>
      <c r="B7" s="37" t="s">
        <v>31</v>
      </c>
      <c r="C7" s="7">
        <v>3551.2449999999999</v>
      </c>
      <c r="D7" s="8"/>
      <c r="E7" s="9">
        <v>343.14699999999993</v>
      </c>
      <c r="F7" s="9">
        <v>3894.3919999999998</v>
      </c>
      <c r="G7" s="9">
        <v>3981.2449999999999</v>
      </c>
      <c r="H7" s="11">
        <v>129099.54</v>
      </c>
      <c r="I7" s="12">
        <v>93.871000000000095</v>
      </c>
      <c r="J7" s="13">
        <v>0</v>
      </c>
      <c r="K7" s="12">
        <v>171.50999999999976</v>
      </c>
      <c r="L7" s="12">
        <v>93.871000000000095</v>
      </c>
      <c r="M7" s="14">
        <v>129099.54</v>
      </c>
      <c r="N7" s="14">
        <v>0</v>
      </c>
      <c r="O7" s="14">
        <v>129099.54</v>
      </c>
      <c r="P7" s="14">
        <v>2500</v>
      </c>
      <c r="Q7" s="12">
        <v>131599.53999999998</v>
      </c>
      <c r="R7" s="15">
        <v>94.2</v>
      </c>
      <c r="S7" s="15">
        <v>1370.3</v>
      </c>
      <c r="T7" s="16">
        <v>12353380.419340011</v>
      </c>
    </row>
    <row r="8" spans="1:20" ht="18.75" x14ac:dyDescent="0.3">
      <c r="A8" s="5"/>
      <c r="B8" s="37"/>
      <c r="C8" s="7"/>
      <c r="D8" s="8"/>
      <c r="E8" s="9"/>
      <c r="F8" s="9"/>
      <c r="G8" s="9"/>
      <c r="H8" s="11"/>
      <c r="I8" s="12"/>
      <c r="J8" s="13"/>
      <c r="K8" s="12"/>
      <c r="L8" s="12"/>
      <c r="M8" s="14"/>
      <c r="N8" s="14"/>
      <c r="O8" s="14"/>
      <c r="P8" s="14"/>
      <c r="Q8" s="14"/>
      <c r="R8" s="15"/>
      <c r="S8" s="15"/>
      <c r="T8" s="16"/>
    </row>
    <row r="9" spans="1:20" ht="18.75" x14ac:dyDescent="0.3">
      <c r="A9" s="17"/>
      <c r="B9" s="10"/>
      <c r="C9" s="18" t="e">
        <v>#REF!</v>
      </c>
      <c r="D9" s="19" t="e">
        <v>#REF!</v>
      </c>
      <c r="E9" s="18" t="e">
        <v>#REF!</v>
      </c>
      <c r="F9" s="18" t="e">
        <v>#REF!</v>
      </c>
      <c r="G9" s="18"/>
      <c r="H9" s="11"/>
      <c r="I9" s="20">
        <v>23156.455999999998</v>
      </c>
      <c r="J9" s="20">
        <v>17702.764999999999</v>
      </c>
      <c r="K9" s="14"/>
      <c r="L9" s="20">
        <v>5453.6909999999998</v>
      </c>
      <c r="M9" s="14"/>
      <c r="N9" s="14"/>
      <c r="O9" s="14"/>
      <c r="P9" s="14"/>
      <c r="Q9" s="14"/>
      <c r="R9" s="14"/>
      <c r="S9" s="14"/>
      <c r="T9" s="41">
        <v>1766713969.54581</v>
      </c>
    </row>
    <row r="11" spans="1:20" ht="18.75" x14ac:dyDescent="0.3">
      <c r="F11" s="23"/>
    </row>
    <row r="12" spans="1:20" ht="18.75" x14ac:dyDescent="0.3">
      <c r="F12" s="23"/>
      <c r="G12" s="23"/>
    </row>
    <row r="13" spans="1:20" ht="18.75" x14ac:dyDescent="0.3">
      <c r="F13" s="23"/>
      <c r="G13" s="23"/>
    </row>
    <row r="14" spans="1:20" ht="18.75" x14ac:dyDescent="0.3">
      <c r="F14" s="23"/>
      <c r="G14" s="26"/>
    </row>
    <row r="15" spans="1:20" x14ac:dyDescent="0.3">
      <c r="F15" s="26"/>
      <c r="G15" s="26"/>
    </row>
    <row r="16" spans="1:20" x14ac:dyDescent="0.3">
      <c r="F16" s="26"/>
      <c r="G16" s="26"/>
    </row>
    <row r="17" spans="2:20" x14ac:dyDescent="0.3">
      <c r="F17" s="26"/>
      <c r="G17" s="26"/>
    </row>
    <row r="18" spans="2:20" s="21" customFormat="1" x14ac:dyDescent="0.3">
      <c r="B18"/>
      <c r="D18" s="22"/>
      <c r="E18"/>
      <c r="F18" s="26"/>
      <c r="G18" s="26"/>
      <c r="H18" s="24"/>
      <c r="I18"/>
      <c r="J18" s="25"/>
      <c r="K18"/>
      <c r="L18"/>
      <c r="M18"/>
      <c r="N18"/>
      <c r="O18"/>
      <c r="P18"/>
      <c r="Q18"/>
      <c r="R18"/>
      <c r="S18"/>
      <c r="T18"/>
    </row>
    <row r="19" spans="2:20" s="21" customFormat="1" x14ac:dyDescent="0.3">
      <c r="B19"/>
      <c r="D19" s="22"/>
      <c r="E19"/>
      <c r="F19" s="26"/>
      <c r="G19" s="26"/>
      <c r="H19" s="24"/>
      <c r="I19"/>
      <c r="J19" s="25"/>
      <c r="K19"/>
      <c r="L19"/>
      <c r="M19"/>
      <c r="N19"/>
      <c r="O19"/>
      <c r="P19"/>
      <c r="Q19"/>
      <c r="R19"/>
      <c r="S19"/>
      <c r="T19"/>
    </row>
    <row r="20" spans="2:20" s="21" customFormat="1" x14ac:dyDescent="0.3">
      <c r="B20"/>
      <c r="D20" s="22"/>
      <c r="E20"/>
      <c r="F20"/>
      <c r="G20" s="26"/>
      <c r="H20" s="24"/>
      <c r="I20"/>
      <c r="J20" s="25"/>
      <c r="K20"/>
      <c r="L20"/>
      <c r="M20"/>
      <c r="N20"/>
      <c r="O20"/>
      <c r="P20"/>
      <c r="Q20"/>
      <c r="R20"/>
      <c r="S20"/>
      <c r="T20"/>
    </row>
    <row r="21" spans="2:20" s="21" customFormat="1" x14ac:dyDescent="0.3">
      <c r="B21"/>
      <c r="D21" s="22"/>
      <c r="E21"/>
      <c r="F21"/>
      <c r="G21" s="26"/>
      <c r="H21" s="24"/>
      <c r="I21"/>
      <c r="J21" s="25"/>
      <c r="K21"/>
      <c r="L21"/>
      <c r="M21"/>
      <c r="N21"/>
      <c r="O21"/>
      <c r="P21"/>
      <c r="Q21"/>
      <c r="R21"/>
      <c r="S21"/>
      <c r="T21"/>
    </row>
  </sheetData>
  <mergeCells count="1">
    <mergeCell ref="B1:T1"/>
  </mergeCells>
  <conditionalFormatting sqref="E9:G9">
    <cfRule type="cellIs" dxfId="7" priority="7" operator="lessThan">
      <formula>0</formula>
    </cfRule>
  </conditionalFormatting>
  <conditionalFormatting sqref="F11 F12:G13 F14">
    <cfRule type="cellIs" dxfId="6" priority="8" operator="lessThan">
      <formula>0</formula>
    </cfRule>
  </conditionalFormatting>
  <conditionalFormatting sqref="I9:J9">
    <cfRule type="cellIs" dxfId="5" priority="4" operator="lessThan">
      <formula>0</formula>
    </cfRule>
  </conditionalFormatting>
  <conditionalFormatting sqref="I2:L2 F2:G8 C2:C1048576">
    <cfRule type="cellIs" dxfId="4" priority="6" operator="lessThan">
      <formula>0</formula>
    </cfRule>
  </conditionalFormatting>
  <conditionalFormatting sqref="L9">
    <cfRule type="cellIs" dxfId="3" priority="1" operator="lessThan">
      <formula>0</formula>
    </cfRule>
  </conditionalFormatting>
  <conditionalFormatting sqref="T9">
    <cfRule type="cellIs" dxfId="2" priority="2" operator="lessThan">
      <formula>0</formula>
    </cfRule>
  </conditionalFormatting>
  <hyperlinks>
    <hyperlink ref="B7" location="'STYRENE MONOMER'!A1" display="STYRENE"/>
    <hyperlink ref="B5" location="DEG!A1" display="DEG"/>
  </hyperlinks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F41" sqref="F41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41.42578125" bestFit="1" customWidth="1"/>
    <col min="4" max="4" width="8.5703125" bestFit="1" customWidth="1"/>
    <col min="5" max="5" width="11" bestFit="1" customWidth="1"/>
    <col min="6" max="6" width="12.85546875" customWidth="1"/>
  </cols>
  <sheetData>
    <row r="1" spans="1:6" x14ac:dyDescent="0.25">
      <c r="A1" s="14"/>
      <c r="B1" s="14"/>
      <c r="C1" s="35" t="s">
        <v>56</v>
      </c>
      <c r="D1" s="14"/>
      <c r="E1" s="14"/>
      <c r="F1" s="14"/>
    </row>
    <row r="2" spans="1:6" x14ac:dyDescent="0.25">
      <c r="A2" s="27" t="s">
        <v>33</v>
      </c>
      <c r="B2" s="27" t="s">
        <v>34</v>
      </c>
      <c r="C2" s="27" t="s">
        <v>35</v>
      </c>
      <c r="D2" s="27" t="s">
        <v>36</v>
      </c>
      <c r="E2" s="27" t="s">
        <v>37</v>
      </c>
      <c r="F2" s="27" t="s">
        <v>38</v>
      </c>
    </row>
    <row r="3" spans="1:6" x14ac:dyDescent="0.25">
      <c r="A3" s="17">
        <v>340</v>
      </c>
      <c r="B3" s="32">
        <v>46132</v>
      </c>
      <c r="C3" s="33" t="s">
        <v>39</v>
      </c>
      <c r="D3" s="34">
        <v>48.7</v>
      </c>
      <c r="E3" s="34">
        <v>48.7</v>
      </c>
      <c r="F3" s="34">
        <f>D3-E3</f>
        <v>0</v>
      </c>
    </row>
    <row r="4" spans="1:6" x14ac:dyDescent="0.25">
      <c r="A4" s="17" t="s">
        <v>113</v>
      </c>
      <c r="B4" s="32">
        <v>46132</v>
      </c>
      <c r="C4" s="33" t="s">
        <v>114</v>
      </c>
      <c r="D4" s="34">
        <v>29.43</v>
      </c>
      <c r="E4" s="34">
        <v>29.429999999999993</v>
      </c>
      <c r="F4" s="34">
        <f t="shared" ref="F4:F41" si="0">D4-E4</f>
        <v>0</v>
      </c>
    </row>
    <row r="5" spans="1:6" x14ac:dyDescent="0.25">
      <c r="A5" s="17">
        <v>342</v>
      </c>
      <c r="B5" s="32">
        <v>46132</v>
      </c>
      <c r="C5" s="33" t="s">
        <v>115</v>
      </c>
      <c r="D5" s="34">
        <v>20.94</v>
      </c>
      <c r="E5" s="34">
        <v>20.939999999999998</v>
      </c>
      <c r="F5" s="34">
        <f t="shared" si="0"/>
        <v>0</v>
      </c>
    </row>
    <row r="6" spans="1:6" x14ac:dyDescent="0.25">
      <c r="A6" s="17" t="s">
        <v>40</v>
      </c>
      <c r="B6" s="32">
        <v>46130</v>
      </c>
      <c r="C6" s="33" t="s">
        <v>41</v>
      </c>
      <c r="D6" s="34">
        <v>64.419999999999987</v>
      </c>
      <c r="E6" s="34">
        <v>64.419999999999987</v>
      </c>
      <c r="F6" s="34">
        <f t="shared" si="0"/>
        <v>0</v>
      </c>
    </row>
    <row r="7" spans="1:6" x14ac:dyDescent="0.25">
      <c r="A7" s="17" t="s">
        <v>116</v>
      </c>
      <c r="B7" s="32">
        <v>46100</v>
      </c>
      <c r="C7" s="33" t="s">
        <v>117</v>
      </c>
      <c r="D7" s="34">
        <v>50</v>
      </c>
      <c r="E7" s="34">
        <v>50</v>
      </c>
      <c r="F7" s="34">
        <f t="shared" si="0"/>
        <v>0</v>
      </c>
    </row>
    <row r="8" spans="1:6" x14ac:dyDescent="0.25">
      <c r="A8" s="17" t="s">
        <v>118</v>
      </c>
      <c r="B8" s="32">
        <v>46127</v>
      </c>
      <c r="C8" s="33" t="s">
        <v>119</v>
      </c>
      <c r="D8" s="34">
        <v>24.59</v>
      </c>
      <c r="E8" s="34">
        <v>24.590000000000003</v>
      </c>
      <c r="F8" s="34">
        <f t="shared" si="0"/>
        <v>0</v>
      </c>
    </row>
    <row r="9" spans="1:6" x14ac:dyDescent="0.25">
      <c r="A9" s="17" t="s">
        <v>42</v>
      </c>
      <c r="B9" s="32">
        <v>46093</v>
      </c>
      <c r="C9" s="33" t="s">
        <v>43</v>
      </c>
      <c r="D9" s="34">
        <v>500</v>
      </c>
      <c r="E9" s="34">
        <v>415.87999999999994</v>
      </c>
      <c r="F9" s="34">
        <f t="shared" si="0"/>
        <v>84.120000000000061</v>
      </c>
    </row>
    <row r="10" spans="1:6" x14ac:dyDescent="0.25">
      <c r="A10" s="17" t="s">
        <v>44</v>
      </c>
      <c r="B10" s="32">
        <v>46118</v>
      </c>
      <c r="C10" s="33" t="s">
        <v>45</v>
      </c>
      <c r="D10" s="34">
        <v>273.70000000000005</v>
      </c>
      <c r="E10" s="34">
        <v>273.70000000000005</v>
      </c>
      <c r="F10" s="34">
        <f t="shared" si="0"/>
        <v>0</v>
      </c>
    </row>
    <row r="11" spans="1:6" x14ac:dyDescent="0.25">
      <c r="A11" s="17" t="s">
        <v>46</v>
      </c>
      <c r="B11" s="32">
        <v>46116</v>
      </c>
      <c r="C11" s="33" t="s">
        <v>47</v>
      </c>
      <c r="D11" s="34">
        <v>139.99999999999989</v>
      </c>
      <c r="E11" s="34">
        <v>139.99999999999989</v>
      </c>
      <c r="F11" s="34">
        <f t="shared" si="0"/>
        <v>0</v>
      </c>
    </row>
    <row r="12" spans="1:6" x14ac:dyDescent="0.25">
      <c r="A12" s="17" t="s">
        <v>120</v>
      </c>
      <c r="B12" s="32">
        <v>46101</v>
      </c>
      <c r="C12" s="33" t="s">
        <v>121</v>
      </c>
      <c r="D12" s="34">
        <v>29.59</v>
      </c>
      <c r="E12" s="34">
        <v>29.589999999999918</v>
      </c>
      <c r="F12" s="34">
        <f t="shared" si="0"/>
        <v>8.1712414612411521E-14</v>
      </c>
    </row>
    <row r="13" spans="1:6" x14ac:dyDescent="0.25">
      <c r="A13" s="17" t="s">
        <v>122</v>
      </c>
      <c r="B13" s="32">
        <v>46133</v>
      </c>
      <c r="C13" s="33" t="s">
        <v>123</v>
      </c>
      <c r="D13" s="34">
        <v>21.08</v>
      </c>
      <c r="E13" s="34">
        <v>21.079999999999927</v>
      </c>
      <c r="F13" s="34">
        <f t="shared" si="0"/>
        <v>7.1054273576010019E-14</v>
      </c>
    </row>
    <row r="14" spans="1:6" x14ac:dyDescent="0.25">
      <c r="A14" s="17" t="s">
        <v>124</v>
      </c>
      <c r="B14" s="32">
        <v>46121</v>
      </c>
      <c r="C14" s="33" t="s">
        <v>125</v>
      </c>
      <c r="D14" s="34">
        <v>59.970000000000141</v>
      </c>
      <c r="E14" s="34">
        <v>59.970000000000027</v>
      </c>
      <c r="F14" s="34">
        <f t="shared" si="0"/>
        <v>1.1368683772161603E-13</v>
      </c>
    </row>
    <row r="15" spans="1:6" x14ac:dyDescent="0.25">
      <c r="A15" s="17" t="s">
        <v>126</v>
      </c>
      <c r="B15" s="32">
        <v>46119</v>
      </c>
      <c r="C15" s="33" t="s">
        <v>127</v>
      </c>
      <c r="D15" s="34">
        <v>11.97</v>
      </c>
      <c r="E15" s="34">
        <v>11.970000000000027</v>
      </c>
      <c r="F15" s="34">
        <f t="shared" si="0"/>
        <v>-2.6645352591003757E-14</v>
      </c>
    </row>
    <row r="16" spans="1:6" x14ac:dyDescent="0.25">
      <c r="A16" s="17" t="s">
        <v>48</v>
      </c>
      <c r="B16" s="32">
        <v>46091</v>
      </c>
      <c r="C16" s="33" t="s">
        <v>49</v>
      </c>
      <c r="D16" s="34">
        <v>337.53999999999996</v>
      </c>
      <c r="E16" s="34">
        <v>337.53999999999996</v>
      </c>
      <c r="F16" s="34">
        <f t="shared" si="0"/>
        <v>0</v>
      </c>
    </row>
    <row r="17" spans="1:6" x14ac:dyDescent="0.25">
      <c r="A17" s="17" t="s">
        <v>128</v>
      </c>
      <c r="B17" s="32">
        <v>46130</v>
      </c>
      <c r="C17" s="33" t="s">
        <v>129</v>
      </c>
      <c r="D17" s="34">
        <v>60</v>
      </c>
      <c r="E17" s="34">
        <v>60</v>
      </c>
      <c r="F17" s="34">
        <f t="shared" si="0"/>
        <v>0</v>
      </c>
    </row>
    <row r="18" spans="1:6" x14ac:dyDescent="0.25">
      <c r="A18" s="17" t="s">
        <v>130</v>
      </c>
      <c r="B18" s="32">
        <v>46127</v>
      </c>
      <c r="C18" s="33" t="s">
        <v>131</v>
      </c>
      <c r="D18" s="34">
        <v>59.719999999999914</v>
      </c>
      <c r="E18" s="34">
        <v>59.720000000000027</v>
      </c>
      <c r="F18" s="34">
        <f t="shared" si="0"/>
        <v>-1.1368683772161603E-13</v>
      </c>
    </row>
    <row r="19" spans="1:6" x14ac:dyDescent="0.25">
      <c r="A19" s="17" t="s">
        <v>132</v>
      </c>
      <c r="B19" s="32">
        <v>46119</v>
      </c>
      <c r="C19" s="33" t="s">
        <v>133</v>
      </c>
      <c r="D19" s="34">
        <v>24.53</v>
      </c>
      <c r="E19" s="34">
        <v>24.529999999999973</v>
      </c>
      <c r="F19" s="34">
        <f t="shared" si="0"/>
        <v>2.8421709430404007E-14</v>
      </c>
    </row>
    <row r="20" spans="1:6" x14ac:dyDescent="0.25">
      <c r="A20" s="17" t="s">
        <v>134</v>
      </c>
      <c r="B20" s="32">
        <v>46119</v>
      </c>
      <c r="C20" s="33" t="s">
        <v>47</v>
      </c>
      <c r="D20" s="34">
        <v>105</v>
      </c>
      <c r="E20" s="34">
        <v>104.99999999999977</v>
      </c>
      <c r="F20" s="34">
        <f t="shared" si="0"/>
        <v>2.2737367544323206E-13</v>
      </c>
    </row>
    <row r="21" spans="1:6" x14ac:dyDescent="0.25">
      <c r="A21" s="17" t="s">
        <v>135</v>
      </c>
      <c r="B21" s="32">
        <v>46101</v>
      </c>
      <c r="C21" s="33" t="s">
        <v>136</v>
      </c>
      <c r="D21" s="34">
        <v>34.53</v>
      </c>
      <c r="E21" s="34">
        <v>34.529999999999973</v>
      </c>
      <c r="F21" s="34">
        <f t="shared" si="0"/>
        <v>0</v>
      </c>
    </row>
    <row r="22" spans="1:6" x14ac:dyDescent="0.25">
      <c r="A22" s="17" t="s">
        <v>137</v>
      </c>
      <c r="B22" s="32">
        <v>46127</v>
      </c>
      <c r="C22" s="33" t="s">
        <v>138</v>
      </c>
      <c r="D22" s="34">
        <v>29.470000000000027</v>
      </c>
      <c r="E22" s="34">
        <v>29.470000000000027</v>
      </c>
      <c r="F22" s="34">
        <f t="shared" si="0"/>
        <v>0</v>
      </c>
    </row>
    <row r="23" spans="1:6" x14ac:dyDescent="0.25">
      <c r="A23" s="17" t="s">
        <v>139</v>
      </c>
      <c r="B23" s="32">
        <v>46134</v>
      </c>
      <c r="C23" s="33" t="s">
        <v>140</v>
      </c>
      <c r="D23" s="34">
        <v>60</v>
      </c>
      <c r="E23" s="34">
        <v>60</v>
      </c>
      <c r="F23" s="34">
        <f t="shared" si="0"/>
        <v>0</v>
      </c>
    </row>
    <row r="24" spans="1:6" x14ac:dyDescent="0.25">
      <c r="A24" s="17" t="s">
        <v>141</v>
      </c>
      <c r="B24" s="32">
        <v>46102</v>
      </c>
      <c r="C24" s="33" t="s">
        <v>51</v>
      </c>
      <c r="D24" s="34">
        <v>50</v>
      </c>
      <c r="E24" s="34">
        <v>49.999999999999773</v>
      </c>
      <c r="F24" s="34">
        <f t="shared" si="0"/>
        <v>2.2737367544323206E-13</v>
      </c>
    </row>
    <row r="25" spans="1:6" x14ac:dyDescent="0.25">
      <c r="A25" s="17" t="s">
        <v>142</v>
      </c>
      <c r="B25" s="32">
        <v>46119</v>
      </c>
      <c r="C25" s="33" t="s">
        <v>143</v>
      </c>
      <c r="D25" s="34">
        <v>29.34</v>
      </c>
      <c r="E25" s="34">
        <v>29.339999999999918</v>
      </c>
      <c r="F25" s="34">
        <f t="shared" si="0"/>
        <v>8.1712414612411521E-14</v>
      </c>
    </row>
    <row r="26" spans="1:6" x14ac:dyDescent="0.25">
      <c r="A26" s="17" t="s">
        <v>144</v>
      </c>
      <c r="B26" s="32">
        <v>46119</v>
      </c>
      <c r="C26" s="33" t="s">
        <v>143</v>
      </c>
      <c r="D26" s="34">
        <v>29.869999999999891</v>
      </c>
      <c r="E26" s="34">
        <v>29.869999999999891</v>
      </c>
      <c r="F26" s="34">
        <f t="shared" si="0"/>
        <v>0</v>
      </c>
    </row>
    <row r="27" spans="1:6" x14ac:dyDescent="0.25">
      <c r="A27" s="17" t="s">
        <v>145</v>
      </c>
      <c r="B27" s="32">
        <v>46098</v>
      </c>
      <c r="C27" s="33" t="s">
        <v>146</v>
      </c>
      <c r="D27" s="34">
        <v>29.79000000000002</v>
      </c>
      <c r="E27" s="34">
        <v>29.789999999999964</v>
      </c>
      <c r="F27" s="34">
        <f t="shared" si="0"/>
        <v>5.6843418860808015E-14</v>
      </c>
    </row>
    <row r="28" spans="1:6" x14ac:dyDescent="0.25">
      <c r="A28" s="17" t="s">
        <v>147</v>
      </c>
      <c r="B28" s="32">
        <v>46136</v>
      </c>
      <c r="C28" s="33" t="s">
        <v>148</v>
      </c>
      <c r="D28" s="34">
        <v>59.529999999999973</v>
      </c>
      <c r="E28" s="34">
        <v>59.5300000000002</v>
      </c>
      <c r="F28" s="34">
        <f t="shared" si="0"/>
        <v>-2.2737367544323206E-13</v>
      </c>
    </row>
    <row r="29" spans="1:6" x14ac:dyDescent="0.25">
      <c r="A29" s="17" t="s">
        <v>149</v>
      </c>
      <c r="B29" s="32">
        <v>46133</v>
      </c>
      <c r="C29" s="33" t="s">
        <v>143</v>
      </c>
      <c r="D29" s="34">
        <v>30</v>
      </c>
      <c r="E29" s="34">
        <v>30</v>
      </c>
      <c r="F29" s="34">
        <f t="shared" si="0"/>
        <v>0</v>
      </c>
    </row>
    <row r="30" spans="1:6" x14ac:dyDescent="0.25">
      <c r="A30" s="17" t="s">
        <v>150</v>
      </c>
      <c r="B30" s="32">
        <v>46132</v>
      </c>
      <c r="C30" s="33" t="s">
        <v>41</v>
      </c>
      <c r="D30" s="34">
        <v>60</v>
      </c>
      <c r="E30" s="34">
        <v>60.000000000000455</v>
      </c>
      <c r="F30" s="34">
        <f t="shared" si="0"/>
        <v>-4.5474735088646412E-13</v>
      </c>
    </row>
    <row r="31" spans="1:6" x14ac:dyDescent="0.25">
      <c r="A31" s="17" t="s">
        <v>50</v>
      </c>
      <c r="B31" s="32">
        <v>46099</v>
      </c>
      <c r="C31" s="33" t="s">
        <v>51</v>
      </c>
      <c r="D31" s="34">
        <v>58.240000000000236</v>
      </c>
      <c r="E31" s="34">
        <v>58.240000000000236</v>
      </c>
      <c r="F31" s="34">
        <f t="shared" si="0"/>
        <v>0</v>
      </c>
    </row>
    <row r="32" spans="1:6" x14ac:dyDescent="0.25">
      <c r="A32" s="17" t="s">
        <v>151</v>
      </c>
      <c r="B32" s="32">
        <v>46119</v>
      </c>
      <c r="C32" s="33" t="s">
        <v>152</v>
      </c>
      <c r="D32" s="34">
        <v>90</v>
      </c>
      <c r="E32" s="34">
        <v>90.000000000000455</v>
      </c>
      <c r="F32" s="34">
        <f t="shared" si="0"/>
        <v>-4.5474735088646412E-13</v>
      </c>
    </row>
    <row r="33" spans="1:6" x14ac:dyDescent="0.25">
      <c r="A33" s="17" t="s">
        <v>153</v>
      </c>
      <c r="B33" s="32">
        <v>46136</v>
      </c>
      <c r="C33" s="33" t="s">
        <v>154</v>
      </c>
      <c r="D33" s="34">
        <v>29.92</v>
      </c>
      <c r="E33" s="34">
        <v>29.920000000000073</v>
      </c>
      <c r="F33" s="34">
        <f t="shared" si="0"/>
        <v>-7.1054273576010019E-14</v>
      </c>
    </row>
    <row r="34" spans="1:6" x14ac:dyDescent="0.25">
      <c r="A34" s="17" t="s">
        <v>155</v>
      </c>
      <c r="B34" s="32">
        <v>46104</v>
      </c>
      <c r="C34" s="33" t="s">
        <v>156</v>
      </c>
      <c r="D34" s="34">
        <v>59.239999999999782</v>
      </c>
      <c r="E34" s="34">
        <v>59.239999999999782</v>
      </c>
      <c r="F34" s="34">
        <f t="shared" si="0"/>
        <v>0</v>
      </c>
    </row>
    <row r="35" spans="1:6" x14ac:dyDescent="0.25">
      <c r="A35" s="17" t="s">
        <v>157</v>
      </c>
      <c r="B35" s="32">
        <v>46135</v>
      </c>
      <c r="C35" s="33" t="s">
        <v>158</v>
      </c>
      <c r="D35" s="34">
        <v>60</v>
      </c>
      <c r="E35" s="34">
        <v>60.000000000000455</v>
      </c>
      <c r="F35" s="34">
        <f t="shared" si="0"/>
        <v>-4.5474735088646412E-13</v>
      </c>
    </row>
    <row r="36" spans="1:6" x14ac:dyDescent="0.25">
      <c r="A36" s="17" t="s">
        <v>159</v>
      </c>
      <c r="B36" s="32">
        <v>46135</v>
      </c>
      <c r="C36" s="33" t="s">
        <v>140</v>
      </c>
      <c r="D36" s="34">
        <v>59.809999999999945</v>
      </c>
      <c r="E36" s="34">
        <v>59.809999999999945</v>
      </c>
      <c r="F36" s="34">
        <f t="shared" si="0"/>
        <v>0</v>
      </c>
    </row>
    <row r="37" spans="1:6" x14ac:dyDescent="0.25">
      <c r="A37" s="17" t="s">
        <v>160</v>
      </c>
      <c r="B37" s="32">
        <v>46100</v>
      </c>
      <c r="C37" s="33" t="s">
        <v>117</v>
      </c>
      <c r="D37" s="34">
        <v>50</v>
      </c>
      <c r="E37" s="34">
        <v>50</v>
      </c>
      <c r="F37" s="34">
        <f t="shared" si="0"/>
        <v>0</v>
      </c>
    </row>
    <row r="38" spans="1:6" x14ac:dyDescent="0.25">
      <c r="A38" s="17" t="s">
        <v>52</v>
      </c>
      <c r="B38" s="32">
        <v>46137</v>
      </c>
      <c r="C38" s="33" t="s">
        <v>53</v>
      </c>
      <c r="D38" s="34">
        <v>55.769999999999982</v>
      </c>
      <c r="E38" s="34">
        <v>55.769999999999982</v>
      </c>
      <c r="F38" s="34">
        <f t="shared" si="0"/>
        <v>0</v>
      </c>
    </row>
    <row r="39" spans="1:6" x14ac:dyDescent="0.25">
      <c r="A39" s="17" t="s">
        <v>54</v>
      </c>
      <c r="B39" s="32">
        <v>46104</v>
      </c>
      <c r="C39" s="33" t="s">
        <v>55</v>
      </c>
      <c r="D39" s="34">
        <v>51</v>
      </c>
      <c r="E39" s="34">
        <v>40.679999999999836</v>
      </c>
      <c r="F39" s="34">
        <f t="shared" si="0"/>
        <v>10.320000000000164</v>
      </c>
    </row>
    <row r="40" spans="1:6" x14ac:dyDescent="0.25">
      <c r="A40" s="17" t="s">
        <v>161</v>
      </c>
      <c r="B40" s="32">
        <v>46119</v>
      </c>
      <c r="C40" s="33" t="s">
        <v>162</v>
      </c>
      <c r="D40" s="34">
        <v>29.710000000000036</v>
      </c>
      <c r="E40" s="34">
        <v>29.710000000000036</v>
      </c>
      <c r="F40" s="34">
        <f t="shared" si="0"/>
        <v>0</v>
      </c>
    </row>
    <row r="41" spans="1:6" x14ac:dyDescent="0.25">
      <c r="A41" s="17" t="s">
        <v>163</v>
      </c>
      <c r="B41" s="32">
        <v>46119</v>
      </c>
      <c r="C41" s="33" t="s">
        <v>164</v>
      </c>
      <c r="D41" s="34">
        <v>29.920000000000073</v>
      </c>
      <c r="E41" s="34">
        <v>29.920000000000073</v>
      </c>
      <c r="F41" s="34">
        <f t="shared" si="0"/>
        <v>0</v>
      </c>
    </row>
    <row r="43" spans="1:6" x14ac:dyDescent="0.25">
      <c r="A43" s="14"/>
      <c r="B43" s="14"/>
      <c r="C43" s="14" t="s">
        <v>72</v>
      </c>
      <c r="D43" s="31">
        <f>SUM(D3:D41)</f>
        <v>2847.3199999999993</v>
      </c>
      <c r="E43" s="31">
        <f>SUM(E3:E41)</f>
        <v>2752.8800000000006</v>
      </c>
      <c r="F43" s="31">
        <f>SUM(F3:F41)</f>
        <v>94.439999999999316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workbookViewId="0"/>
  </sheetViews>
  <sheetFormatPr defaultRowHeight="15" x14ac:dyDescent="0.25"/>
  <cols>
    <col min="1" max="1" width="8.85546875" bestFit="1" customWidth="1"/>
    <col min="2" max="2" width="10.7109375" bestFit="1" customWidth="1"/>
    <col min="3" max="3" width="41.42578125" bestFit="1" customWidth="1"/>
    <col min="4" max="4" width="8.5703125" bestFit="1" customWidth="1"/>
    <col min="5" max="5" width="11" bestFit="1" customWidth="1"/>
    <col min="6" max="6" width="12.85546875" customWidth="1"/>
  </cols>
  <sheetData>
    <row r="1" spans="1:26" ht="21" x14ac:dyDescent="0.35">
      <c r="A1" s="14"/>
      <c r="B1" s="14"/>
      <c r="C1" s="36" t="s">
        <v>23</v>
      </c>
      <c r="D1" s="14"/>
      <c r="E1" s="14"/>
      <c r="F1" s="14"/>
    </row>
    <row r="2" spans="1:26" x14ac:dyDescent="0.25">
      <c r="A2" s="27" t="s">
        <v>33</v>
      </c>
      <c r="B2" s="27" t="s">
        <v>34</v>
      </c>
      <c r="C2" s="27" t="s">
        <v>35</v>
      </c>
      <c r="D2" s="27" t="s">
        <v>36</v>
      </c>
      <c r="E2" s="27" t="s">
        <v>37</v>
      </c>
      <c r="F2" s="27" t="s">
        <v>38</v>
      </c>
    </row>
    <row r="3" spans="1:26" x14ac:dyDescent="0.25">
      <c r="A3" s="17">
        <v>9893</v>
      </c>
      <c r="B3" s="28">
        <v>46080</v>
      </c>
      <c r="C3" s="29" t="s">
        <v>57</v>
      </c>
      <c r="D3" s="30">
        <v>150</v>
      </c>
      <c r="E3" s="30">
        <v>0</v>
      </c>
      <c r="F3" s="30">
        <v>150</v>
      </c>
    </row>
    <row r="4" spans="1:26" x14ac:dyDescent="0.25">
      <c r="A4" s="17">
        <v>9897</v>
      </c>
      <c r="B4" s="32">
        <v>46080</v>
      </c>
      <c r="C4" s="33" t="s">
        <v>58</v>
      </c>
      <c r="D4" s="34">
        <v>100</v>
      </c>
      <c r="E4" s="34">
        <v>0</v>
      </c>
      <c r="F4" s="34">
        <v>100</v>
      </c>
    </row>
    <row r="5" spans="1:26" x14ac:dyDescent="0.25">
      <c r="A5" s="17">
        <v>10086</v>
      </c>
      <c r="B5" s="32">
        <v>46088</v>
      </c>
      <c r="C5" s="33" t="s">
        <v>59</v>
      </c>
      <c r="D5" s="34">
        <v>100</v>
      </c>
      <c r="E5" s="34">
        <v>0</v>
      </c>
      <c r="F5" s="34">
        <v>100</v>
      </c>
      <c r="Z5" t="s">
        <v>74</v>
      </c>
    </row>
    <row r="6" spans="1:26" x14ac:dyDescent="0.25">
      <c r="A6" s="17">
        <v>10095</v>
      </c>
      <c r="B6" s="32">
        <v>46088</v>
      </c>
      <c r="C6" s="33" t="s">
        <v>60</v>
      </c>
      <c r="D6" s="34">
        <v>25</v>
      </c>
      <c r="E6" s="34">
        <v>0</v>
      </c>
      <c r="F6" s="34">
        <v>25</v>
      </c>
    </row>
    <row r="7" spans="1:26" x14ac:dyDescent="0.25">
      <c r="A7" s="17">
        <v>10193</v>
      </c>
      <c r="B7" s="32">
        <v>46093</v>
      </c>
      <c r="C7" s="33" t="s">
        <v>61</v>
      </c>
      <c r="D7" s="34">
        <v>60</v>
      </c>
      <c r="E7" s="34">
        <v>0</v>
      </c>
      <c r="F7" s="34">
        <v>60</v>
      </c>
    </row>
    <row r="8" spans="1:26" x14ac:dyDescent="0.25">
      <c r="A8" s="17">
        <v>10292</v>
      </c>
      <c r="B8" s="32">
        <v>46098</v>
      </c>
      <c r="C8" s="33" t="s">
        <v>62</v>
      </c>
      <c r="D8" s="34">
        <v>60</v>
      </c>
      <c r="E8" s="34">
        <v>0</v>
      </c>
      <c r="F8" s="34">
        <v>60</v>
      </c>
    </row>
    <row r="9" spans="1:26" x14ac:dyDescent="0.25">
      <c r="A9" s="17">
        <v>10346</v>
      </c>
      <c r="B9" s="32">
        <v>46100</v>
      </c>
      <c r="C9" s="33" t="s">
        <v>63</v>
      </c>
      <c r="D9" s="34">
        <v>120</v>
      </c>
      <c r="E9" s="34">
        <v>0</v>
      </c>
      <c r="F9" s="34">
        <v>120</v>
      </c>
    </row>
    <row r="10" spans="1:26" x14ac:dyDescent="0.25">
      <c r="A10" s="17">
        <v>10378</v>
      </c>
      <c r="B10" s="32">
        <v>46102</v>
      </c>
      <c r="C10" s="33" t="s">
        <v>64</v>
      </c>
      <c r="D10" s="34">
        <v>150</v>
      </c>
      <c r="E10" s="34">
        <v>0</v>
      </c>
      <c r="F10" s="34">
        <v>150</v>
      </c>
    </row>
    <row r="11" spans="1:26" x14ac:dyDescent="0.25">
      <c r="A11" s="17">
        <v>10379</v>
      </c>
      <c r="B11" s="32">
        <v>46102</v>
      </c>
      <c r="C11" s="33" t="s">
        <v>59</v>
      </c>
      <c r="D11" s="34">
        <v>60</v>
      </c>
      <c r="E11" s="34">
        <v>0</v>
      </c>
      <c r="F11" s="34">
        <v>60</v>
      </c>
    </row>
    <row r="12" spans="1:26" x14ac:dyDescent="0.25">
      <c r="A12" s="17">
        <v>10391</v>
      </c>
      <c r="B12" s="32">
        <v>46104</v>
      </c>
      <c r="C12" s="33" t="s">
        <v>65</v>
      </c>
      <c r="D12" s="34">
        <v>45</v>
      </c>
      <c r="E12" s="34">
        <v>0</v>
      </c>
      <c r="F12" s="34">
        <v>45</v>
      </c>
    </row>
    <row r="13" spans="1:26" x14ac:dyDescent="0.25">
      <c r="A13" s="17">
        <v>10517</v>
      </c>
      <c r="B13" s="32">
        <v>46108</v>
      </c>
      <c r="C13" s="33" t="s">
        <v>66</v>
      </c>
      <c r="D13" s="34">
        <v>100</v>
      </c>
      <c r="E13" s="34">
        <v>0</v>
      </c>
      <c r="F13" s="34">
        <v>100</v>
      </c>
    </row>
    <row r="14" spans="1:26" x14ac:dyDescent="0.25">
      <c r="A14" s="17">
        <v>199</v>
      </c>
      <c r="B14" s="32">
        <v>46125</v>
      </c>
      <c r="C14" s="33" t="s">
        <v>67</v>
      </c>
      <c r="D14" s="34">
        <v>28</v>
      </c>
      <c r="E14" s="34">
        <v>0</v>
      </c>
      <c r="F14" s="34">
        <v>28</v>
      </c>
    </row>
    <row r="15" spans="1:26" x14ac:dyDescent="0.25">
      <c r="A15" s="17" t="s">
        <v>68</v>
      </c>
      <c r="B15" s="32">
        <v>46148</v>
      </c>
      <c r="C15" s="33" t="s">
        <v>69</v>
      </c>
      <c r="D15" s="34">
        <v>30</v>
      </c>
      <c r="E15" s="34">
        <v>0</v>
      </c>
      <c r="F15" s="34">
        <v>30</v>
      </c>
    </row>
    <row r="16" spans="1:26" x14ac:dyDescent="0.25">
      <c r="A16" s="17" t="s">
        <v>70</v>
      </c>
      <c r="B16" s="32">
        <v>46148</v>
      </c>
      <c r="C16" s="33" t="s">
        <v>71</v>
      </c>
      <c r="D16" s="34">
        <v>100</v>
      </c>
      <c r="E16" s="34">
        <v>0</v>
      </c>
      <c r="F16" s="34">
        <v>100</v>
      </c>
    </row>
    <row r="17" spans="1:6" x14ac:dyDescent="0.25">
      <c r="A17" s="17"/>
      <c r="B17" s="32"/>
      <c r="C17" s="33"/>
      <c r="D17" s="34"/>
      <c r="E17" s="34"/>
      <c r="F17" s="34"/>
    </row>
    <row r="18" spans="1:6" x14ac:dyDescent="0.25">
      <c r="A18" s="17"/>
      <c r="B18" s="32"/>
      <c r="C18" s="33"/>
      <c r="D18" s="34"/>
      <c r="E18" s="34"/>
      <c r="F18" s="34"/>
    </row>
    <row r="19" spans="1:6" x14ac:dyDescent="0.25">
      <c r="A19" s="14"/>
      <c r="B19" s="14"/>
      <c r="C19" s="14" t="s">
        <v>72</v>
      </c>
      <c r="D19" s="31">
        <f>SUM(D3:D17)</f>
        <v>1128</v>
      </c>
      <c r="E19" s="31">
        <f>SUM(E3:E17)</f>
        <v>0</v>
      </c>
      <c r="F19" s="31">
        <f>SUM(F3:F17)</f>
        <v>1128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x14ac:dyDescent="0.25"/>
  <cols>
    <col min="1" max="1" width="8.85546875" bestFit="1" customWidth="1"/>
    <col min="2" max="2" width="10.7109375" bestFit="1" customWidth="1"/>
    <col min="3" max="3" width="41.42578125" bestFit="1" customWidth="1"/>
    <col min="4" max="4" width="8.5703125" bestFit="1" customWidth="1"/>
    <col min="5" max="5" width="11" bestFit="1" customWidth="1"/>
    <col min="6" max="6" width="12.85546875" customWidth="1"/>
  </cols>
  <sheetData>
    <row r="1" spans="1:6" ht="21" x14ac:dyDescent="0.35">
      <c r="A1" s="14"/>
      <c r="B1" s="14"/>
      <c r="C1" s="36" t="s">
        <v>23</v>
      </c>
      <c r="D1" s="14"/>
      <c r="E1" s="14"/>
      <c r="F1" s="14"/>
    </row>
    <row r="2" spans="1:6" x14ac:dyDescent="0.25">
      <c r="A2" s="27" t="s">
        <v>33</v>
      </c>
      <c r="B2" s="27" t="s">
        <v>34</v>
      </c>
      <c r="C2" s="27" t="s">
        <v>35</v>
      </c>
      <c r="D2" s="27" t="s">
        <v>36</v>
      </c>
      <c r="E2" s="27" t="s">
        <v>37</v>
      </c>
      <c r="F2" s="27" t="s">
        <v>38</v>
      </c>
    </row>
    <row r="3" spans="1:6" x14ac:dyDescent="0.25">
      <c r="A3" s="17">
        <v>534.1</v>
      </c>
      <c r="B3" s="28">
        <v>46142</v>
      </c>
      <c r="C3" s="29" t="s">
        <v>98</v>
      </c>
      <c r="D3" s="30">
        <v>133</v>
      </c>
      <c r="E3" s="30">
        <v>0</v>
      </c>
      <c r="F3" s="30">
        <v>133</v>
      </c>
    </row>
    <row r="4" spans="1:6" x14ac:dyDescent="0.25">
      <c r="A4" s="17">
        <v>10432.200000000001</v>
      </c>
      <c r="B4" s="32">
        <v>46106</v>
      </c>
      <c r="C4" s="33" t="s">
        <v>99</v>
      </c>
      <c r="D4" s="34">
        <v>100</v>
      </c>
      <c r="E4" s="34">
        <v>0</v>
      </c>
      <c r="F4" s="34">
        <v>100</v>
      </c>
    </row>
    <row r="5" spans="1:6" x14ac:dyDescent="0.25">
      <c r="A5" s="17">
        <v>26</v>
      </c>
      <c r="B5" s="32">
        <v>46114</v>
      </c>
      <c r="C5" s="33" t="s">
        <v>100</v>
      </c>
      <c r="D5" s="34">
        <v>100</v>
      </c>
      <c r="E5" s="34">
        <v>0</v>
      </c>
      <c r="F5" s="34">
        <v>100</v>
      </c>
    </row>
    <row r="6" spans="1:6" x14ac:dyDescent="0.25">
      <c r="A6" s="17">
        <v>659</v>
      </c>
      <c r="B6" s="32">
        <v>46147</v>
      </c>
      <c r="C6" s="33" t="s">
        <v>101</v>
      </c>
      <c r="D6" s="34">
        <v>25</v>
      </c>
      <c r="E6" s="34">
        <v>0</v>
      </c>
      <c r="F6" s="34">
        <v>25</v>
      </c>
    </row>
    <row r="7" spans="1:6" x14ac:dyDescent="0.25">
      <c r="A7" s="17">
        <v>659</v>
      </c>
      <c r="B7" s="32">
        <v>46147</v>
      </c>
      <c r="C7" s="33" t="s">
        <v>101</v>
      </c>
      <c r="D7" s="34">
        <v>25</v>
      </c>
      <c r="E7" s="34">
        <v>0</v>
      </c>
      <c r="F7" s="34">
        <v>25</v>
      </c>
    </row>
    <row r="8" spans="1:6" x14ac:dyDescent="0.25">
      <c r="A8" s="17">
        <v>418</v>
      </c>
      <c r="B8" s="32">
        <v>46135</v>
      </c>
      <c r="C8" s="33" t="s">
        <v>102</v>
      </c>
      <c r="D8" s="34">
        <v>46</v>
      </c>
      <c r="E8" s="34">
        <v>0</v>
      </c>
      <c r="F8" s="34">
        <v>46</v>
      </c>
    </row>
    <row r="9" spans="1:6" x14ac:dyDescent="0.25">
      <c r="A9" s="17">
        <v>421</v>
      </c>
      <c r="B9" s="32">
        <v>46135</v>
      </c>
      <c r="C9" s="33" t="s">
        <v>103</v>
      </c>
      <c r="D9" s="34">
        <v>19</v>
      </c>
      <c r="E9" s="34">
        <v>0</v>
      </c>
      <c r="F9" s="34">
        <v>19</v>
      </c>
    </row>
    <row r="10" spans="1:6" x14ac:dyDescent="0.25">
      <c r="A10" s="17">
        <v>470</v>
      </c>
      <c r="B10" s="32">
        <v>46137</v>
      </c>
      <c r="C10" s="33" t="s">
        <v>104</v>
      </c>
      <c r="D10" s="34">
        <v>75</v>
      </c>
      <c r="E10" s="34">
        <v>0</v>
      </c>
      <c r="F10" s="34">
        <v>75</v>
      </c>
    </row>
    <row r="11" spans="1:6" x14ac:dyDescent="0.25">
      <c r="A11" s="17">
        <v>483</v>
      </c>
      <c r="B11" s="32">
        <v>46139</v>
      </c>
      <c r="C11" s="33" t="s">
        <v>105</v>
      </c>
      <c r="D11" s="34">
        <v>40</v>
      </c>
      <c r="E11" s="34">
        <v>0</v>
      </c>
      <c r="F11" s="34">
        <v>40</v>
      </c>
    </row>
    <row r="12" spans="1:6" x14ac:dyDescent="0.25">
      <c r="A12" s="17">
        <v>489</v>
      </c>
      <c r="B12" s="32">
        <v>46139</v>
      </c>
      <c r="C12" s="33" t="s">
        <v>106</v>
      </c>
      <c r="D12" s="34">
        <v>30</v>
      </c>
      <c r="E12" s="34">
        <v>0</v>
      </c>
      <c r="F12" s="34">
        <v>30</v>
      </c>
    </row>
    <row r="13" spans="1:6" x14ac:dyDescent="0.25">
      <c r="A13" s="17">
        <v>533</v>
      </c>
      <c r="B13" s="32">
        <v>46142</v>
      </c>
      <c r="C13" s="33" t="s">
        <v>107</v>
      </c>
      <c r="D13" s="34">
        <v>39</v>
      </c>
      <c r="E13" s="34">
        <v>0</v>
      </c>
      <c r="F13" s="34">
        <v>39</v>
      </c>
    </row>
    <row r="14" spans="1:6" x14ac:dyDescent="0.25">
      <c r="A14" s="17">
        <v>545</v>
      </c>
      <c r="B14" s="32">
        <v>46142</v>
      </c>
      <c r="C14" s="33" t="s">
        <v>108</v>
      </c>
      <c r="D14" s="34">
        <v>10</v>
      </c>
      <c r="E14" s="34">
        <v>0</v>
      </c>
      <c r="F14" s="34">
        <v>10</v>
      </c>
    </row>
    <row r="15" spans="1:6" x14ac:dyDescent="0.25">
      <c r="A15" s="17">
        <v>668</v>
      </c>
      <c r="B15" s="32">
        <v>46147</v>
      </c>
      <c r="C15" s="33" t="s">
        <v>109</v>
      </c>
      <c r="D15" s="34">
        <v>29</v>
      </c>
      <c r="E15" s="34">
        <v>0</v>
      </c>
      <c r="F15" s="34">
        <v>29</v>
      </c>
    </row>
    <row r="16" spans="1:6" x14ac:dyDescent="0.25">
      <c r="A16" s="17">
        <v>669</v>
      </c>
      <c r="B16" s="32">
        <v>46147</v>
      </c>
      <c r="C16" s="33" t="s">
        <v>109</v>
      </c>
      <c r="D16" s="34">
        <v>50</v>
      </c>
      <c r="E16" s="34">
        <v>0</v>
      </c>
      <c r="F16" s="34">
        <v>50</v>
      </c>
    </row>
    <row r="17" spans="1:6" x14ac:dyDescent="0.25">
      <c r="A17" s="17">
        <v>702</v>
      </c>
      <c r="B17" s="32">
        <v>46148</v>
      </c>
      <c r="C17" s="33" t="s">
        <v>110</v>
      </c>
      <c r="D17" s="34">
        <v>10</v>
      </c>
      <c r="E17" s="34">
        <v>0</v>
      </c>
      <c r="F17" s="34">
        <v>10</v>
      </c>
    </row>
    <row r="18" spans="1:6" x14ac:dyDescent="0.25">
      <c r="A18" s="17" t="s">
        <v>111</v>
      </c>
      <c r="B18" s="32">
        <v>46149</v>
      </c>
      <c r="C18" s="33" t="s">
        <v>112</v>
      </c>
      <c r="D18" s="34">
        <v>20</v>
      </c>
      <c r="E18" s="34">
        <v>0</v>
      </c>
      <c r="F18" s="34">
        <v>20</v>
      </c>
    </row>
    <row r="19" spans="1:6" x14ac:dyDescent="0.25">
      <c r="A19" s="17"/>
      <c r="B19" s="32"/>
      <c r="C19" s="33"/>
      <c r="D19" s="34"/>
      <c r="E19" s="34"/>
      <c r="F19" s="34"/>
    </row>
    <row r="20" spans="1:6" x14ac:dyDescent="0.25">
      <c r="A20" s="14"/>
      <c r="B20" s="14"/>
      <c r="C20" s="14" t="s">
        <v>72</v>
      </c>
      <c r="D20" s="31">
        <f>SUM(D3:D18)</f>
        <v>751</v>
      </c>
      <c r="E20" s="31">
        <f>SUM(E3:E18)</f>
        <v>0</v>
      </c>
      <c r="F20" s="31">
        <f>SUM(F3:F18)</f>
        <v>751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J27" sqref="J27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41.42578125" bestFit="1" customWidth="1"/>
    <col min="4" max="4" width="8.5703125" bestFit="1" customWidth="1"/>
    <col min="5" max="5" width="11" bestFit="1" customWidth="1"/>
    <col min="6" max="6" width="12.85546875" customWidth="1"/>
  </cols>
  <sheetData>
    <row r="1" spans="1:6" ht="21" x14ac:dyDescent="0.35">
      <c r="A1" s="14"/>
      <c r="B1" s="14"/>
      <c r="C1" s="36" t="s">
        <v>25</v>
      </c>
      <c r="D1" s="14"/>
      <c r="E1" s="14"/>
      <c r="F1" s="14"/>
    </row>
    <row r="2" spans="1:6" x14ac:dyDescent="0.25">
      <c r="A2" s="27" t="s">
        <v>33</v>
      </c>
      <c r="B2" s="27" t="s">
        <v>34</v>
      </c>
      <c r="C2" s="27" t="s">
        <v>35</v>
      </c>
      <c r="D2" s="27" t="s">
        <v>36</v>
      </c>
      <c r="E2" s="27" t="s">
        <v>37</v>
      </c>
      <c r="F2" s="27" t="s">
        <v>38</v>
      </c>
    </row>
    <row r="3" spans="1:6" x14ac:dyDescent="0.25">
      <c r="A3" s="17">
        <v>444</v>
      </c>
      <c r="B3" s="28">
        <v>46136</v>
      </c>
      <c r="C3" s="29" t="s">
        <v>75</v>
      </c>
      <c r="D3" s="30">
        <v>75</v>
      </c>
      <c r="E3" s="30">
        <v>0</v>
      </c>
      <c r="F3" s="30">
        <v>75</v>
      </c>
    </row>
    <row r="4" spans="1:6" x14ac:dyDescent="0.25">
      <c r="A4" s="17">
        <v>493</v>
      </c>
      <c r="B4" s="32">
        <v>46139</v>
      </c>
      <c r="C4" s="33" t="s">
        <v>76</v>
      </c>
      <c r="D4" s="34">
        <v>100</v>
      </c>
      <c r="E4" s="34">
        <v>0</v>
      </c>
      <c r="F4" s="34">
        <v>100</v>
      </c>
    </row>
    <row r="5" spans="1:6" x14ac:dyDescent="0.25">
      <c r="A5" s="17">
        <v>587</v>
      </c>
      <c r="B5" s="32">
        <v>46144</v>
      </c>
      <c r="C5" s="33" t="s">
        <v>77</v>
      </c>
      <c r="D5" s="34">
        <v>60</v>
      </c>
      <c r="E5" s="34">
        <v>0</v>
      </c>
      <c r="F5" s="34">
        <v>60</v>
      </c>
    </row>
    <row r="6" spans="1:6" x14ac:dyDescent="0.25">
      <c r="A6" s="17">
        <v>623</v>
      </c>
      <c r="B6" s="32">
        <v>46146</v>
      </c>
      <c r="C6" s="33" t="s">
        <v>78</v>
      </c>
      <c r="D6" s="34">
        <v>30</v>
      </c>
      <c r="E6" s="34">
        <v>0</v>
      </c>
      <c r="F6" s="34">
        <v>30</v>
      </c>
    </row>
    <row r="7" spans="1:6" x14ac:dyDescent="0.25">
      <c r="A7" s="17">
        <v>662</v>
      </c>
      <c r="B7" s="32">
        <v>46147</v>
      </c>
      <c r="C7" s="33" t="s">
        <v>79</v>
      </c>
      <c r="D7" s="34">
        <v>50</v>
      </c>
      <c r="E7" s="34">
        <v>0</v>
      </c>
      <c r="F7" s="34">
        <v>50</v>
      </c>
    </row>
    <row r="8" spans="1:6" x14ac:dyDescent="0.25">
      <c r="A8" s="17">
        <v>670</v>
      </c>
      <c r="B8" s="32">
        <v>46147</v>
      </c>
      <c r="C8" s="33" t="s">
        <v>80</v>
      </c>
      <c r="D8" s="34">
        <v>100</v>
      </c>
      <c r="E8" s="34">
        <v>0</v>
      </c>
      <c r="F8" s="34">
        <v>100</v>
      </c>
    </row>
    <row r="9" spans="1:6" x14ac:dyDescent="0.25">
      <c r="A9" s="17">
        <v>671</v>
      </c>
      <c r="B9" s="32">
        <v>46147</v>
      </c>
      <c r="C9" s="33" t="s">
        <v>79</v>
      </c>
      <c r="D9" s="34">
        <v>75</v>
      </c>
      <c r="E9" s="34">
        <v>0</v>
      </c>
      <c r="F9" s="34">
        <v>75</v>
      </c>
    </row>
    <row r="10" spans="1:6" x14ac:dyDescent="0.25">
      <c r="A10" s="17">
        <v>700</v>
      </c>
      <c r="B10" s="32">
        <v>46148</v>
      </c>
      <c r="C10" s="33" t="s">
        <v>81</v>
      </c>
      <c r="D10" s="34">
        <v>23</v>
      </c>
      <c r="E10" s="34">
        <v>0</v>
      </c>
      <c r="F10" s="34">
        <v>23</v>
      </c>
    </row>
    <row r="11" spans="1:6" x14ac:dyDescent="0.25">
      <c r="A11" s="17"/>
      <c r="B11" s="32"/>
      <c r="C11" s="33"/>
      <c r="D11" s="34"/>
      <c r="E11" s="34"/>
      <c r="F11" s="34"/>
    </row>
    <row r="12" spans="1:6" x14ac:dyDescent="0.25">
      <c r="A12" s="14"/>
      <c r="B12" s="14"/>
      <c r="C12" s="14" t="s">
        <v>72</v>
      </c>
      <c r="D12" s="31">
        <f>SUM(D3:D11)</f>
        <v>513</v>
      </c>
      <c r="E12" s="31">
        <f>SUM(E3:E11)</f>
        <v>0</v>
      </c>
      <c r="F12" s="31">
        <f>SUM(F3:F11)</f>
        <v>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L19" sqref="L19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41.42578125" bestFit="1" customWidth="1"/>
    <col min="4" max="4" width="8.5703125" bestFit="1" customWidth="1"/>
    <col min="5" max="5" width="11" bestFit="1" customWidth="1"/>
    <col min="6" max="6" width="12.85546875" customWidth="1"/>
  </cols>
  <sheetData>
    <row r="1" spans="1:6" ht="21" x14ac:dyDescent="0.35">
      <c r="A1" s="14"/>
      <c r="B1" s="14"/>
      <c r="C1" s="36" t="s">
        <v>90</v>
      </c>
      <c r="D1" s="14"/>
      <c r="E1" s="14"/>
      <c r="F1" s="14"/>
    </row>
    <row r="2" spans="1:6" x14ac:dyDescent="0.25">
      <c r="A2" s="27" t="s">
        <v>33</v>
      </c>
      <c r="B2" s="27" t="s">
        <v>34</v>
      </c>
      <c r="C2" s="27" t="s">
        <v>35</v>
      </c>
      <c r="D2" s="27" t="s">
        <v>36</v>
      </c>
      <c r="E2" s="27" t="s">
        <v>37</v>
      </c>
      <c r="F2" s="27" t="s">
        <v>38</v>
      </c>
    </row>
    <row r="3" spans="1:6" x14ac:dyDescent="0.25">
      <c r="A3" s="17">
        <v>10133.1</v>
      </c>
      <c r="B3" s="28">
        <v>46091</v>
      </c>
      <c r="C3" s="29" t="s">
        <v>95</v>
      </c>
      <c r="D3" s="30">
        <v>79.92</v>
      </c>
      <c r="E3" s="30">
        <v>79.92</v>
      </c>
      <c r="F3" s="30">
        <v>0</v>
      </c>
    </row>
    <row r="4" spans="1:6" x14ac:dyDescent="0.25">
      <c r="A4" s="17">
        <v>10133.200000000001</v>
      </c>
      <c r="B4" s="32">
        <v>46091</v>
      </c>
      <c r="C4" s="33" t="s">
        <v>96</v>
      </c>
      <c r="D4" s="34">
        <v>24.36</v>
      </c>
      <c r="E4" s="34">
        <v>24.36</v>
      </c>
      <c r="F4" s="34">
        <v>0</v>
      </c>
    </row>
    <row r="5" spans="1:6" x14ac:dyDescent="0.25">
      <c r="A5" s="17">
        <v>10545</v>
      </c>
      <c r="B5" s="32">
        <v>46109</v>
      </c>
      <c r="C5" s="33" t="s">
        <v>82</v>
      </c>
      <c r="D5" s="34">
        <v>100</v>
      </c>
      <c r="E5" s="34">
        <v>46.019999999999982</v>
      </c>
      <c r="F5" s="34">
        <v>53.980000000000018</v>
      </c>
    </row>
    <row r="6" spans="1:6" x14ac:dyDescent="0.25">
      <c r="A6" s="17">
        <v>10515</v>
      </c>
      <c r="B6" s="32">
        <v>46108</v>
      </c>
      <c r="C6" s="33" t="s">
        <v>83</v>
      </c>
      <c r="D6" s="34">
        <v>90</v>
      </c>
      <c r="E6" s="34">
        <v>0</v>
      </c>
      <c r="F6" s="34">
        <v>90</v>
      </c>
    </row>
    <row r="7" spans="1:6" x14ac:dyDescent="0.25">
      <c r="A7" s="17">
        <v>9993.2999999999993</v>
      </c>
      <c r="B7" s="32">
        <v>46086</v>
      </c>
      <c r="C7" s="33" t="s">
        <v>84</v>
      </c>
      <c r="D7" s="34">
        <v>61.86</v>
      </c>
      <c r="E7" s="34">
        <v>61.860000000000014</v>
      </c>
      <c r="F7" s="34">
        <v>0</v>
      </c>
    </row>
    <row r="8" spans="1:6" x14ac:dyDescent="0.25">
      <c r="A8" s="17">
        <v>10221</v>
      </c>
      <c r="B8" s="32">
        <v>46094</v>
      </c>
      <c r="C8" s="33" t="s">
        <v>85</v>
      </c>
      <c r="D8" s="34">
        <v>200</v>
      </c>
      <c r="E8" s="34">
        <v>117.20000000000002</v>
      </c>
      <c r="F8" s="34">
        <v>82.799999999999983</v>
      </c>
    </row>
    <row r="9" spans="1:6" x14ac:dyDescent="0.25">
      <c r="A9" s="17">
        <v>10482</v>
      </c>
      <c r="B9" s="32">
        <v>46108</v>
      </c>
      <c r="C9" s="33" t="s">
        <v>86</v>
      </c>
      <c r="D9" s="34">
        <v>60</v>
      </c>
      <c r="E9" s="34">
        <v>60.099999999999966</v>
      </c>
      <c r="F9" s="34">
        <v>-9.9999999999965894E-2</v>
      </c>
    </row>
    <row r="10" spans="1:6" x14ac:dyDescent="0.25">
      <c r="A10" s="17">
        <v>10506</v>
      </c>
      <c r="B10" s="32">
        <v>46108</v>
      </c>
      <c r="C10" s="33" t="s">
        <v>87</v>
      </c>
      <c r="D10" s="34">
        <v>300</v>
      </c>
      <c r="E10" s="34">
        <v>58.870000000000005</v>
      </c>
      <c r="F10" s="34">
        <v>241.13</v>
      </c>
    </row>
    <row r="11" spans="1:6" x14ac:dyDescent="0.25">
      <c r="A11" s="17">
        <v>1</v>
      </c>
      <c r="B11" s="32">
        <v>46093</v>
      </c>
      <c r="C11" s="33" t="s">
        <v>97</v>
      </c>
      <c r="D11" s="34">
        <v>50</v>
      </c>
      <c r="E11" s="34">
        <v>49.879999999999995</v>
      </c>
      <c r="F11" s="34">
        <v>0.12000000000000455</v>
      </c>
    </row>
    <row r="12" spans="1:6" x14ac:dyDescent="0.25">
      <c r="A12" s="17">
        <v>2</v>
      </c>
      <c r="B12" s="32">
        <v>46093</v>
      </c>
      <c r="C12" s="33" t="s">
        <v>88</v>
      </c>
      <c r="D12" s="34">
        <v>100</v>
      </c>
      <c r="E12" s="34">
        <v>96.580000000000013</v>
      </c>
      <c r="F12" s="34">
        <v>3.4199999999999875</v>
      </c>
    </row>
    <row r="13" spans="1:6" x14ac:dyDescent="0.25">
      <c r="A13" s="17">
        <v>3</v>
      </c>
      <c r="B13" s="32">
        <v>46093</v>
      </c>
      <c r="C13" s="33" t="s">
        <v>71</v>
      </c>
      <c r="D13" s="34">
        <v>80</v>
      </c>
      <c r="E13" s="34">
        <v>80</v>
      </c>
      <c r="F13" s="34">
        <v>0</v>
      </c>
    </row>
    <row r="14" spans="1:6" x14ac:dyDescent="0.25">
      <c r="A14" s="17">
        <v>4</v>
      </c>
      <c r="B14" s="32">
        <v>46111</v>
      </c>
      <c r="C14" s="33" t="s">
        <v>71</v>
      </c>
      <c r="D14" s="34">
        <v>100</v>
      </c>
      <c r="E14" s="34">
        <v>50.91</v>
      </c>
      <c r="F14" s="34">
        <v>49.09</v>
      </c>
    </row>
    <row r="15" spans="1:6" x14ac:dyDescent="0.25">
      <c r="A15" s="17" t="s">
        <v>89</v>
      </c>
      <c r="B15" s="32">
        <v>46120</v>
      </c>
      <c r="C15" s="33" t="s">
        <v>71</v>
      </c>
      <c r="D15" s="34">
        <v>25</v>
      </c>
      <c r="E15" s="34">
        <v>0</v>
      </c>
      <c r="F15" s="34">
        <v>25</v>
      </c>
    </row>
    <row r="16" spans="1:6" x14ac:dyDescent="0.25">
      <c r="A16" s="17"/>
      <c r="B16" s="32"/>
      <c r="C16" s="33"/>
      <c r="D16" s="34"/>
      <c r="E16" s="34"/>
      <c r="F16" s="34"/>
    </row>
    <row r="17" spans="1:6" x14ac:dyDescent="0.25">
      <c r="A17" s="14"/>
      <c r="B17" s="14"/>
      <c r="C17" s="14" t="s">
        <v>72</v>
      </c>
      <c r="D17" s="31">
        <f>SUM(D3:D16)</f>
        <v>1271.1399999999999</v>
      </c>
      <c r="E17" s="31">
        <f>SUM(E3:E16)</f>
        <v>725.69999999999993</v>
      </c>
      <c r="F17" s="31">
        <f>SUM(F3:F16)</f>
        <v>545.44000000000005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STOCK SUMMARY.</vt:lpstr>
      <vt:lpstr>STOCK SHEET</vt:lpstr>
      <vt:lpstr>STOCK SHEET .</vt:lpstr>
      <vt:lpstr>STOCK SUMMARY</vt:lpstr>
      <vt:lpstr>STYRENE MONOMER</vt:lpstr>
      <vt:lpstr>IPA 29-04-26</vt:lpstr>
      <vt:lpstr>IPA -2-5-26</vt:lpstr>
      <vt:lpstr>DEG</vt:lpstr>
      <vt:lpstr>MIXED XYLENE</vt:lpstr>
      <vt:lpstr>'STOCK SHEET'!Print_Area</vt:lpstr>
      <vt:lpstr>'STOCK SHEET .'!Print_Area</vt:lpstr>
      <vt:lpstr>'STOCK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Kumar</dc:creator>
  <cp:lastModifiedBy>MANOJSHARMA</cp:lastModifiedBy>
  <dcterms:created xsi:type="dcterms:W3CDTF">2026-05-08T08:02:23Z</dcterms:created>
  <dcterms:modified xsi:type="dcterms:W3CDTF">2026-05-11T13:02:11Z</dcterms:modified>
</cp:coreProperties>
</file>