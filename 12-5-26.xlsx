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shboard-inventory\"/>
    </mc:Choice>
  </mc:AlternateContent>
  <xr:revisionPtr revIDLastSave="0" documentId="8_{05E15F4B-F846-4D24-BBFB-C4BED48B96D9}" xr6:coauthVersionLast="47" xr6:coauthVersionMax="47" xr10:uidLastSave="{00000000-0000-0000-0000-000000000000}"/>
  <bookViews>
    <workbookView xWindow="-108" yWindow="-108" windowWidth="23256" windowHeight="12456" xr2:uid="{58BFA8C8-F9E2-4FF0-91EC-49B3A97411B0}"/>
  </bookViews>
  <sheets>
    <sheet name="12-05-2026" sheetId="1" r:id="rId1"/>
  </sheets>
  <definedNames>
    <definedName name="_xlnm._FilterDatabase" localSheetId="0" hidden="1">'12-05-2026'!$B$2:$M$143</definedName>
    <definedName name="_xlnm.Print_Area" localSheetId="0">'12-05-2026'!$B$1:$M$143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43" i="1" l="1"/>
  <c r="F143" i="1"/>
  <c r="H143" i="1" s="1"/>
  <c r="M142" i="1"/>
  <c r="H142" i="1"/>
  <c r="M141" i="1"/>
  <c r="H141" i="1"/>
  <c r="M140" i="1"/>
  <c r="H140" i="1"/>
  <c r="M139" i="1"/>
  <c r="F139" i="1"/>
  <c r="H139" i="1" s="1"/>
  <c r="M138" i="1"/>
  <c r="H138" i="1"/>
  <c r="M137" i="1"/>
  <c r="F137" i="1"/>
  <c r="H137" i="1" s="1"/>
  <c r="M136" i="1"/>
  <c r="H136" i="1"/>
  <c r="M135" i="1"/>
  <c r="H135" i="1"/>
  <c r="M134" i="1"/>
  <c r="F134" i="1"/>
  <c r="M133" i="1"/>
  <c r="H133" i="1"/>
  <c r="M132" i="1"/>
  <c r="H132" i="1"/>
  <c r="M131" i="1"/>
  <c r="F131" i="1"/>
  <c r="M130" i="1"/>
  <c r="H130" i="1"/>
  <c r="M129" i="1"/>
  <c r="F129" i="1"/>
  <c r="H129" i="1" s="1"/>
  <c r="M128" i="1"/>
  <c r="F128" i="1"/>
  <c r="H128" i="1" s="1"/>
  <c r="M127" i="1"/>
  <c r="F127" i="1"/>
  <c r="M126" i="1"/>
  <c r="H126" i="1"/>
  <c r="M125" i="1"/>
  <c r="F125" i="1"/>
  <c r="M124" i="1"/>
  <c r="H124" i="1"/>
  <c r="M123" i="1"/>
  <c r="H123" i="1"/>
  <c r="M122" i="1"/>
  <c r="F122" i="1"/>
  <c r="M121" i="1"/>
  <c r="F121" i="1"/>
  <c r="H121" i="1" s="1"/>
  <c r="M120" i="1"/>
  <c r="F120" i="1"/>
  <c r="H120" i="1" s="1"/>
  <c r="M119" i="1"/>
  <c r="F119" i="1"/>
  <c r="H119" i="1" s="1"/>
  <c r="M118" i="1"/>
  <c r="F118" i="1"/>
  <c r="H118" i="1" s="1"/>
  <c r="M117" i="1"/>
  <c r="H117" i="1"/>
  <c r="M116" i="1"/>
  <c r="H116" i="1"/>
  <c r="M115" i="1"/>
  <c r="F115" i="1"/>
  <c r="H115" i="1" s="1"/>
  <c r="M114" i="1"/>
  <c r="F114" i="1"/>
  <c r="H114" i="1" s="1"/>
  <c r="M113" i="1"/>
  <c r="H113" i="1"/>
  <c r="M112" i="1"/>
  <c r="F112" i="1"/>
  <c r="M111" i="1"/>
  <c r="H111" i="1"/>
  <c r="M110" i="1"/>
  <c r="H110" i="1"/>
  <c r="M109" i="1"/>
  <c r="H109" i="1"/>
  <c r="M108" i="1"/>
  <c r="H108" i="1"/>
  <c r="M107" i="1"/>
  <c r="H107" i="1"/>
  <c r="M106" i="1"/>
  <c r="F106" i="1"/>
  <c r="H106" i="1" s="1"/>
  <c r="M105" i="1"/>
  <c r="F105" i="1"/>
  <c r="H105" i="1" s="1"/>
  <c r="M104" i="1"/>
  <c r="H104" i="1"/>
  <c r="M103" i="1"/>
  <c r="F103" i="1"/>
  <c r="H103" i="1" s="1"/>
  <c r="M102" i="1"/>
  <c r="I102" i="1"/>
  <c r="H102" i="1"/>
  <c r="M101" i="1"/>
  <c r="H101" i="1"/>
  <c r="M100" i="1"/>
  <c r="H100" i="1"/>
  <c r="M99" i="1"/>
  <c r="H99" i="1"/>
  <c r="M98" i="1"/>
  <c r="H98" i="1"/>
  <c r="M97" i="1"/>
  <c r="H97" i="1"/>
  <c r="M96" i="1"/>
  <c r="H96" i="1"/>
  <c r="M95" i="1"/>
  <c r="H95" i="1"/>
  <c r="M94" i="1"/>
  <c r="H94" i="1"/>
  <c r="M93" i="1"/>
  <c r="F93" i="1"/>
  <c r="H93" i="1" s="1"/>
  <c r="M92" i="1"/>
  <c r="F92" i="1"/>
  <c r="H92" i="1" s="1"/>
  <c r="M91" i="1"/>
  <c r="F91" i="1"/>
  <c r="M90" i="1"/>
  <c r="H90" i="1"/>
  <c r="M89" i="1"/>
  <c r="F89" i="1"/>
  <c r="H89" i="1" s="1"/>
  <c r="M88" i="1"/>
  <c r="F88" i="1"/>
  <c r="M87" i="1"/>
  <c r="H87" i="1"/>
  <c r="M86" i="1"/>
  <c r="H86" i="1"/>
  <c r="M85" i="1"/>
  <c r="H85" i="1"/>
  <c r="M84" i="1"/>
  <c r="F84" i="1"/>
  <c r="H84" i="1" s="1"/>
  <c r="M83" i="1"/>
  <c r="F83" i="1"/>
  <c r="M82" i="1"/>
  <c r="F82" i="1"/>
  <c r="H82" i="1" s="1"/>
  <c r="M81" i="1"/>
  <c r="F81" i="1"/>
  <c r="H81" i="1" s="1"/>
  <c r="M80" i="1"/>
  <c r="H80" i="1"/>
  <c r="M79" i="1"/>
  <c r="H79" i="1"/>
  <c r="M78" i="1"/>
  <c r="H78" i="1"/>
  <c r="M77" i="1"/>
  <c r="H77" i="1"/>
  <c r="M76" i="1"/>
  <c r="H76" i="1"/>
  <c r="M75" i="1"/>
  <c r="F75" i="1"/>
  <c r="H75" i="1" s="1"/>
  <c r="M74" i="1"/>
  <c r="I74" i="1"/>
  <c r="H74" i="1" s="1"/>
  <c r="M73" i="1"/>
  <c r="H73" i="1"/>
  <c r="M72" i="1"/>
  <c r="H72" i="1"/>
  <c r="M71" i="1"/>
  <c r="H71" i="1"/>
  <c r="M70" i="1"/>
  <c r="I70" i="1"/>
  <c r="F70" i="1"/>
  <c r="H70" i="1" s="1"/>
  <c r="M69" i="1"/>
  <c r="H69" i="1"/>
  <c r="M68" i="1"/>
  <c r="F68" i="1"/>
  <c r="H68" i="1" s="1"/>
  <c r="M67" i="1"/>
  <c r="F67" i="1"/>
  <c r="M66" i="1"/>
  <c r="H66" i="1"/>
  <c r="M65" i="1"/>
  <c r="F65" i="1"/>
  <c r="M64" i="1"/>
  <c r="F64" i="1"/>
  <c r="M63" i="1"/>
  <c r="F63" i="1"/>
  <c r="H63" i="1" s="1"/>
  <c r="M62" i="1"/>
  <c r="F62" i="1"/>
  <c r="M61" i="1"/>
  <c r="H61" i="1"/>
  <c r="M60" i="1"/>
  <c r="H60" i="1"/>
  <c r="M59" i="1"/>
  <c r="F59" i="1"/>
  <c r="H59" i="1" s="1"/>
  <c r="M58" i="1"/>
  <c r="H58" i="1"/>
  <c r="M57" i="1"/>
  <c r="F57" i="1"/>
  <c r="H57" i="1" s="1"/>
  <c r="M56" i="1"/>
  <c r="F56" i="1"/>
  <c r="M55" i="1"/>
  <c r="H55" i="1"/>
  <c r="M54" i="1"/>
  <c r="F54" i="1"/>
  <c r="M53" i="1"/>
  <c r="H53" i="1"/>
  <c r="M52" i="1"/>
  <c r="H52" i="1"/>
  <c r="M51" i="1"/>
  <c r="H51" i="1"/>
  <c r="M50" i="1"/>
  <c r="F50" i="1"/>
  <c r="M49" i="1"/>
  <c r="H49" i="1"/>
  <c r="M48" i="1"/>
  <c r="H48" i="1"/>
  <c r="M47" i="1"/>
  <c r="H47" i="1"/>
  <c r="M46" i="1"/>
  <c r="F46" i="1"/>
  <c r="H46" i="1" s="1"/>
  <c r="M45" i="1"/>
  <c r="F45" i="1"/>
  <c r="H45" i="1" s="1"/>
  <c r="M44" i="1"/>
  <c r="I44" i="1"/>
  <c r="F44" i="1"/>
  <c r="M43" i="1"/>
  <c r="H43" i="1"/>
  <c r="M42" i="1"/>
  <c r="F42" i="1"/>
  <c r="H42" i="1" s="1"/>
  <c r="M41" i="1"/>
  <c r="F41" i="1"/>
  <c r="H41" i="1" s="1"/>
  <c r="M40" i="1"/>
  <c r="H40" i="1"/>
  <c r="M39" i="1"/>
  <c r="H39" i="1"/>
  <c r="M38" i="1"/>
  <c r="F38" i="1"/>
  <c r="M37" i="1"/>
  <c r="F37" i="1"/>
  <c r="H37" i="1" s="1"/>
  <c r="M36" i="1"/>
  <c r="F36" i="1"/>
  <c r="H36" i="1" s="1"/>
  <c r="M35" i="1"/>
  <c r="H35" i="1"/>
  <c r="M34" i="1"/>
  <c r="H34" i="1"/>
  <c r="M33" i="1"/>
  <c r="F33" i="1"/>
  <c r="M32" i="1"/>
  <c r="H32" i="1"/>
  <c r="M31" i="1"/>
  <c r="H31" i="1"/>
  <c r="M30" i="1"/>
  <c r="F30" i="1"/>
  <c r="H30" i="1" s="1"/>
  <c r="M29" i="1"/>
  <c r="H29" i="1"/>
  <c r="M28" i="1"/>
  <c r="H28" i="1"/>
  <c r="M27" i="1"/>
  <c r="H27" i="1"/>
  <c r="M26" i="1"/>
  <c r="F26" i="1"/>
  <c r="M25" i="1"/>
  <c r="F25" i="1"/>
  <c r="H25" i="1" s="1"/>
  <c r="M24" i="1"/>
  <c r="H24" i="1"/>
  <c r="M23" i="1"/>
  <c r="F23" i="1"/>
  <c r="H23" i="1" s="1"/>
  <c r="M22" i="1"/>
  <c r="F22" i="1"/>
  <c r="H22" i="1" s="1"/>
  <c r="M21" i="1"/>
  <c r="F21" i="1"/>
  <c r="M20" i="1"/>
  <c r="H20" i="1"/>
  <c r="M19" i="1"/>
  <c r="H19" i="1"/>
  <c r="M18" i="1"/>
  <c r="F18" i="1"/>
  <c r="H18" i="1" s="1"/>
  <c r="M17" i="1"/>
  <c r="F17" i="1"/>
  <c r="H17" i="1" s="1"/>
  <c r="M16" i="1"/>
  <c r="H16" i="1"/>
  <c r="M15" i="1"/>
  <c r="F15" i="1"/>
  <c r="H15" i="1" s="1"/>
  <c r="M14" i="1"/>
  <c r="H14" i="1"/>
  <c r="M13" i="1"/>
  <c r="F13" i="1"/>
  <c r="M12" i="1"/>
  <c r="H12" i="1"/>
  <c r="M11" i="1"/>
  <c r="F11" i="1"/>
  <c r="H11" i="1" s="1"/>
  <c r="M10" i="1"/>
  <c r="H10" i="1"/>
  <c r="M9" i="1"/>
  <c r="H9" i="1"/>
  <c r="M8" i="1"/>
  <c r="H8" i="1"/>
  <c r="M7" i="1"/>
  <c r="H7" i="1"/>
  <c r="M6" i="1"/>
  <c r="F6" i="1"/>
  <c r="M5" i="1"/>
  <c r="H5" i="1"/>
  <c r="M4" i="1"/>
  <c r="H4" i="1"/>
  <c r="M3" i="1"/>
  <c r="H3" i="1"/>
  <c r="H44" i="1" l="1"/>
  <c r="H38" i="1"/>
  <c r="H6" i="1"/>
  <c r="H83" i="1"/>
  <c r="H67" i="1"/>
  <c r="H112" i="1"/>
  <c r="H62" i="1"/>
  <c r="H26" i="1"/>
  <c r="H33" i="1"/>
  <c r="H131" i="1"/>
  <c r="H56" i="1"/>
  <c r="H21" i="1"/>
  <c r="H88" i="1"/>
  <c r="H125" i="1"/>
  <c r="H13" i="1"/>
  <c r="H127" i="1"/>
  <c r="H64" i="1"/>
  <c r="H122" i="1"/>
  <c r="H134" i="1"/>
  <c r="H91" i="1"/>
  <c r="H54" i="1"/>
  <c r="H50" i="1"/>
  <c r="H65" i="1"/>
</calcChain>
</file>

<file path=xl/sharedStrings.xml><?xml version="1.0" encoding="utf-8"?>
<sst xmlns="http://schemas.openxmlformats.org/spreadsheetml/2006/main" count="719" uniqueCount="219">
  <si>
    <t>STOCK REPORT 12-05-2026</t>
  </si>
  <si>
    <t>VESSEL DATE</t>
  </si>
  <si>
    <t>VESSEL NAME</t>
  </si>
  <si>
    <t>PRODUCT NAME</t>
  </si>
  <si>
    <t>PORT</t>
  </si>
  <si>
    <t>UNSOLD 
QTY</t>
  </si>
  <si>
    <t>SOLD QTY /
PENDING LIFTING</t>
  </si>
  <si>
    <t>PHYSICAL STOCK</t>
  </si>
  <si>
    <t>OTR QTY</t>
  </si>
  <si>
    <t>TERMINAL</t>
  </si>
  <si>
    <t>NO OF DAYS OF STOCK</t>
  </si>
  <si>
    <t>IMPORT PRICE ($) MT</t>
  </si>
  <si>
    <t>F-6243 BOW ENDEAVOR</t>
  </si>
  <si>
    <t>ACETIC ACID</t>
  </si>
  <si>
    <t>MUMBAI</t>
  </si>
  <si>
    <t>AEGIS</t>
  </si>
  <si>
    <t>F-6316 TG CRAB</t>
  </si>
  <si>
    <t>F-6302 YONG CHANG SHUN HANG</t>
  </si>
  <si>
    <t>F-6321  PVT LYRA</t>
  </si>
  <si>
    <t>F-6163 BOW PANTHER</t>
  </si>
  <si>
    <t>JNPT</t>
  </si>
  <si>
    <t>GBL (SELORD)</t>
  </si>
  <si>
    <t>F-6143A SEA HARVEST</t>
  </si>
  <si>
    <t>F-6320A KAMUI GALAXY</t>
  </si>
  <si>
    <t>F-6377 SOUTHERN QUOKKA</t>
  </si>
  <si>
    <t>F-6395 GOODAL</t>
  </si>
  <si>
    <t>KANDLA</t>
  </si>
  <si>
    <t>RKT+AHIR</t>
  </si>
  <si>
    <t>STPL-10 GC BERYL</t>
  </si>
  <si>
    <t>SIDHGUN</t>
  </si>
  <si>
    <t>F-6365 GOODAL</t>
  </si>
  <si>
    <t>2-ETHYLHEXANOL</t>
  </si>
  <si>
    <t>AHIR+KESAR</t>
  </si>
  <si>
    <t>F-6381 JASMINE TRADER</t>
  </si>
  <si>
    <t>AHIR</t>
  </si>
  <si>
    <t>T-200mt KLJ PETROPLAST 24-3-26</t>
  </si>
  <si>
    <t>HAZIRA</t>
  </si>
  <si>
    <t>ADANI</t>
  </si>
  <si>
    <t>F-6259 CT BRIGHT</t>
  </si>
  <si>
    <t>BUTYL ACETATE</t>
  </si>
  <si>
    <t>F-6382 CT BRIGHT</t>
  </si>
  <si>
    <t>F-6364 GOODAL</t>
  </si>
  <si>
    <t>KESAR</t>
  </si>
  <si>
    <t>F-6349 YONG CHANG SHUN HANG</t>
  </si>
  <si>
    <t>F-6181 CNC RICH</t>
  </si>
  <si>
    <t>GBL</t>
  </si>
  <si>
    <t>F-6356 CELSIUS MIDDLEFART</t>
  </si>
  <si>
    <t>SEALORD</t>
  </si>
  <si>
    <t>SPL-358 HANYU FREESIA</t>
  </si>
  <si>
    <t>GBL+SEALORD</t>
  </si>
  <si>
    <t>SIDHE</t>
  </si>
  <si>
    <t>SPL-301A DS COUGAR</t>
  </si>
  <si>
    <t>F-6074 STOLT ENDURANCE</t>
  </si>
  <si>
    <t>BUTYL DI  GLYCOL</t>
  </si>
  <si>
    <t>RKT</t>
  </si>
  <si>
    <t>SIDHE PETRO STOLT INTEGRITY</t>
  </si>
  <si>
    <t>F-6070 BOW TRAJECTORY</t>
  </si>
  <si>
    <t>CYCLOHEXANE</t>
  </si>
  <si>
    <t>FSWAI</t>
  </si>
  <si>
    <t>F-6150 BOW CHEETAH</t>
  </si>
  <si>
    <t>CYCLOHEXANONE</t>
  </si>
  <si>
    <t>F-6229 CNC BULL</t>
  </si>
  <si>
    <t>F-6232 AURELIAN</t>
  </si>
  <si>
    <t>F-6097A HAEIN HOPE</t>
  </si>
  <si>
    <t>NORMAL BUTANOL</t>
  </si>
  <si>
    <t>F-6177 SINAR MENDAWAI</t>
  </si>
  <si>
    <t>F-6207 GINGA PUMA</t>
  </si>
  <si>
    <t>F-6233 BOW TRIBUTE</t>
  </si>
  <si>
    <t>T-238 YONG CHANG SHUN HANG</t>
  </si>
  <si>
    <t>F-6177A SINAR MENDAWAI</t>
  </si>
  <si>
    <t>F-6355 CELSIUS MIDDLEFART</t>
  </si>
  <si>
    <t>SEALORD+GBL</t>
  </si>
  <si>
    <t>SPL-357 HANYU FREESIA</t>
  </si>
  <si>
    <t>F-6072 STOLT ENDURANCE</t>
  </si>
  <si>
    <t>BUTYL GLYCOL</t>
  </si>
  <si>
    <t>AHIR + FSWAI</t>
  </si>
  <si>
    <t>F-6176 NO.6 OCEAN PIONEER</t>
  </si>
  <si>
    <t>F-6209 GINGA PUMA</t>
  </si>
  <si>
    <t>F-6371 CARIBBEAN 1</t>
  </si>
  <si>
    <t>F-6378 SFL ARUBA</t>
  </si>
  <si>
    <t>SPL-302 DS COUGAR</t>
  </si>
  <si>
    <t>SPL-334 DM CONDOR</t>
  </si>
  <si>
    <t>F-6277 AL SHAFFIAH</t>
  </si>
  <si>
    <t>F-6357 CELSIUS MIDDLEFART</t>
  </si>
  <si>
    <t>SPL-360 HANYU FREESIA</t>
  </si>
  <si>
    <t>F-6279 LISBON</t>
  </si>
  <si>
    <t>PROPYLENE GLYCOL</t>
  </si>
  <si>
    <t>F-5933 STOLT INTEGRITY</t>
  </si>
  <si>
    <t>PROPIONIC ACID</t>
  </si>
  <si>
    <t>F-6073 STOLT ENDURANCE</t>
  </si>
  <si>
    <t>F-6126 NO. 03 OCEAN PIONEER</t>
  </si>
  <si>
    <t>HEXANE</t>
  </si>
  <si>
    <t>F-6274 BOW LIND</t>
  </si>
  <si>
    <t>IBA</t>
  </si>
  <si>
    <t>SIDHE PETROCHEMICAL - SC PETREL</t>
  </si>
  <si>
    <t>IBAC</t>
  </si>
  <si>
    <t>SIDHE PETROCHEMICAL - STOLT NORLAND</t>
  </si>
  <si>
    <t>F-5971 BOW ELM</t>
  </si>
  <si>
    <t>IPA</t>
  </si>
  <si>
    <t>F-5994 STOLT INTEGRITY</t>
  </si>
  <si>
    <t>STPL-8 BOW TRIBUTE</t>
  </si>
  <si>
    <t>F-6370 SFL ARUBA</t>
  </si>
  <si>
    <t>STPL-11 CHEMROAD ZENITH</t>
  </si>
  <si>
    <t>F-6238 DM JADE</t>
  </si>
  <si>
    <t>MEG</t>
  </si>
  <si>
    <t>2 KT MEG SWAP FILATEX</t>
  </si>
  <si>
    <t>F-6383 CHEMROAD ZENITH</t>
  </si>
  <si>
    <t>F-6146 BOW ODYSSEY</t>
  </si>
  <si>
    <t>F-6323 CARIBBEAN 1</t>
  </si>
  <si>
    <t>N-PROPANOL</t>
  </si>
  <si>
    <t>F-6270 BRAVONEA</t>
  </si>
  <si>
    <t>MIXED HEPTANE</t>
  </si>
  <si>
    <t>F-6230 BOW COUGAR</t>
  </si>
  <si>
    <t>TOLUENE</t>
  </si>
  <si>
    <t>F-6311 BOW COUGAR</t>
  </si>
  <si>
    <t>T-230 STOLT MAPLE- 1,275.926 mt</t>
  </si>
  <si>
    <t>T-234 Chemroad Sirius 1000mt</t>
  </si>
  <si>
    <t>F-6344 MC HERA</t>
  </si>
  <si>
    <t>AHIR+CRL</t>
  </si>
  <si>
    <t>SPL-320 CHEMROAD SIRIUS</t>
  </si>
  <si>
    <t>SPL-317 MARITIME AMITY</t>
  </si>
  <si>
    <t>AHIR+FSWAI+CRL</t>
  </si>
  <si>
    <t>F-6231 BOW COUGAR</t>
  </si>
  <si>
    <t>F-6307 CHEMROAD QUEST</t>
  </si>
  <si>
    <t>F-6308 CHEMROAD QUEST</t>
  </si>
  <si>
    <t>SPL-319 CHEMROAD SIRIUS</t>
  </si>
  <si>
    <t>SPL-319A CHEMROAD SIRIUS</t>
  </si>
  <si>
    <t>SPL-318 CHEMOCEAN LEO</t>
  </si>
  <si>
    <t>SPL-318A CHEMOCEAN LEO</t>
  </si>
  <si>
    <t>F-6273 DM CONDOR</t>
  </si>
  <si>
    <t>F-6353 EVA HANSA</t>
  </si>
  <si>
    <t>F-6297 OCEAN JUPITER</t>
  </si>
  <si>
    <t>KAKINADA</t>
  </si>
  <si>
    <t>MAHATHI</t>
  </si>
  <si>
    <t>T-237 BOW TRAJECTORY</t>
  </si>
  <si>
    <t>DEG</t>
  </si>
  <si>
    <t>STPL-13 BOW NEON</t>
  </si>
  <si>
    <t>F-6215 EASTERLY BEECH GALAXY</t>
  </si>
  <si>
    <t>MMA</t>
  </si>
  <si>
    <t>F-6290 SONGA NEPTUNE</t>
  </si>
  <si>
    <t>F-6303 STOLT MAPLE</t>
  </si>
  <si>
    <t>ORTHO XYLENE</t>
  </si>
  <si>
    <t>F-6338 STOLT BETULA</t>
  </si>
  <si>
    <t>F-6374 CNC RICH</t>
  </si>
  <si>
    <t>F-6161 FPMC 28</t>
  </si>
  <si>
    <t>C-9</t>
  </si>
  <si>
    <t>F-6301 OSHAIRIJ</t>
  </si>
  <si>
    <t>F-6350 SFL ARUBA</t>
  </si>
  <si>
    <t>F-6366 SFL ARUBA</t>
  </si>
  <si>
    <t>F-6375 KOREA CHEMI</t>
  </si>
  <si>
    <t>F-6341 MARITIME GRACIOUS</t>
  </si>
  <si>
    <t>F-6351 MARITIME GRACIOUS</t>
  </si>
  <si>
    <t>SIDHE MARITIME COMITY</t>
  </si>
  <si>
    <t>SPL-313 BOW EXCELLENCE</t>
  </si>
  <si>
    <t>SPL-316 CHEMOCEAN LEO</t>
  </si>
  <si>
    <t>SPL-388 STENA PROGRESSIVE</t>
  </si>
  <si>
    <t>F-6225 DS OCEAN</t>
  </si>
  <si>
    <t xml:space="preserve">MIX XYLENE </t>
  </si>
  <si>
    <t>F-6333 GINGA JAGUAR</t>
  </si>
  <si>
    <t>F-6317 GINGA JAGUAR</t>
  </si>
  <si>
    <t>F-6352 EVA HANSA</t>
  </si>
  <si>
    <t>F-6346 CHEMROAD QUEST</t>
  </si>
  <si>
    <t xml:space="preserve">MIX XYLENE ISOMER GR </t>
  </si>
  <si>
    <t>PIPAVA</t>
  </si>
  <si>
    <t>F-6309 BOW COUGAR</t>
  </si>
  <si>
    <t>F-6094 DDELPHINUS</t>
  </si>
  <si>
    <t>KESAR + FSWAI</t>
  </si>
  <si>
    <t>F-6145 MARITIME VALOR</t>
  </si>
  <si>
    <t>F-6188 SOUTHERN WOLF</t>
  </si>
  <si>
    <t>F-6226 PRABHU PARVATI</t>
  </si>
  <si>
    <t xml:space="preserve">KESAR </t>
  </si>
  <si>
    <t>T-233 STOLT MAPLE 1425mt ISOMAR</t>
  </si>
  <si>
    <t>T-235 Stolt Maple 476.893mt ISOMAR</t>
  </si>
  <si>
    <t>T-236 Stolt Maple 523.107mt SOLVENT</t>
  </si>
  <si>
    <t>F-6342 MARITIME GRACIOUS</t>
  </si>
  <si>
    <t>AHIR+AEGIS</t>
  </si>
  <si>
    <t>L-4461 KRLGUJGST2627-004 PRATISTHA FY26-27- 100000090</t>
  </si>
  <si>
    <t>SPL-321 CHEMROAD SIRIUS SOLVENT</t>
  </si>
  <si>
    <t>AHIR+KESAR+FSWAI</t>
  </si>
  <si>
    <t>SPL-322 CHEMROAD SIRIUS</t>
  </si>
  <si>
    <t>STPL-6 MARITIME AMITY</t>
  </si>
  <si>
    <t>STPL-4 STENA PROGRESSIVE</t>
  </si>
  <si>
    <t>STPL-5 STENA PROGRESSIVE</t>
  </si>
  <si>
    <t>LOCAL PURCHASE TRICON ENERGY</t>
  </si>
  <si>
    <t>PHENOL-M</t>
  </si>
  <si>
    <t>F-6284 SONGA NEPTUNE</t>
  </si>
  <si>
    <t>STYRENE MONOMER</t>
  </si>
  <si>
    <t>F-6310 DAMSGAARD</t>
  </si>
  <si>
    <t>F-6373 DM CONDOR</t>
  </si>
  <si>
    <t>STPL-12 SFL ARUBA</t>
  </si>
  <si>
    <t>F-6254 ORIENTAL COSMOS</t>
  </si>
  <si>
    <t>EDC</t>
  </si>
  <si>
    <t>T- 500MT PARAS CHEIRLIFE 18-03-2026</t>
  </si>
  <si>
    <t>SOPL</t>
  </si>
  <si>
    <t>F-6272 LISBON</t>
  </si>
  <si>
    <t>POLYOL 1127</t>
  </si>
  <si>
    <t>F-6276 LISBON</t>
  </si>
  <si>
    <t>POLYLOL 0434</t>
  </si>
  <si>
    <t>F-6271 SONGA NEPTUNE</t>
  </si>
  <si>
    <t>POLYLOL 0656</t>
  </si>
  <si>
    <t>F-6196 ASIAN PIONEER</t>
  </si>
  <si>
    <t>CHENNAI</t>
  </si>
  <si>
    <t>ENNORE</t>
  </si>
  <si>
    <t>F-6280 WOOJIN ELVIS</t>
  </si>
  <si>
    <t>METHANOL</t>
  </si>
  <si>
    <t>F-6348 SHAN BANG</t>
  </si>
  <si>
    <t>F-6252 AL AMERAT</t>
  </si>
  <si>
    <t>F-6291 GLEN COVE</t>
  </si>
  <si>
    <t>F-6385 JBU OPAL</t>
  </si>
  <si>
    <t xml:space="preserve">F-6267 SOLAR AILENE </t>
  </si>
  <si>
    <t>KESAR+FSWAI</t>
  </si>
  <si>
    <t>F-6329 SOUTHERN CETACEA</t>
  </si>
  <si>
    <t>FSWAI+AEGIS+CRL</t>
  </si>
  <si>
    <t>T-239 MT LOYAL</t>
  </si>
  <si>
    <t>F-6263 MC GAEA</t>
  </si>
  <si>
    <t>F-6251 EASTERLY EAGLE</t>
  </si>
  <si>
    <t>F-6334 AL AMERAT</t>
  </si>
  <si>
    <t>KLJ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</si>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</sst>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0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14" fontId="2" fillId="2" borderId="3" xfId="0" applyNumberFormat="1" applyFont="1" applyFill="1" applyBorder="1" applyAlignment="1">
      <alignment vertical="center"/>
    </xf>
    <xf numFmtId="0" fontId="0" fillId="2" borderId="0" xfId="0" applyFill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14" fontId="3" fillId="0" borderId="7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4" fontId="6" fillId="3" borderId="9" xfId="0" applyNumberFormat="1" applyFont="1" applyFill="1" applyBorder="1" applyAlignment="1">
      <alignment horizontal="center"/>
    </xf>
    <xf numFmtId="164" fontId="7" fillId="3" borderId="9" xfId="0" applyNumberFormat="1" applyFont="1" applyFill="1" applyBorder="1" applyAlignment="1">
      <alignment horizontal="center"/>
    </xf>
    <xf numFmtId="164" fontId="8" fillId="3" borderId="9" xfId="0" applyNumberFormat="1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center" wrapText="1"/>
    </xf>
    <xf numFmtId="164" fontId="3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14" fontId="0" fillId="4" borderId="8" xfId="0" applyNumberForma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/>
    </xf>
    <xf numFmtId="164" fontId="7" fillId="4" borderId="9" xfId="0" applyNumberFormat="1" applyFont="1" applyFill="1" applyBorder="1" applyAlignment="1">
      <alignment horizontal="center"/>
    </xf>
    <xf numFmtId="164" fontId="8" fillId="4" borderId="9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164" fontId="8" fillId="2" borderId="9" xfId="0" applyNumberFormat="1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2" fontId="9" fillId="2" borderId="13" xfId="0" applyNumberFormat="1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14" fontId="0" fillId="5" borderId="8" xfId="0" applyNumberFormat="1" applyFill="1" applyBorder="1" applyAlignment="1">
      <alignment horizontal="center"/>
    </xf>
    <xf numFmtId="0" fontId="6" fillId="5" borderId="9" xfId="0" applyFont="1" applyFill="1" applyBorder="1"/>
    <xf numFmtId="0" fontId="6" fillId="5" borderId="9" xfId="0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164" fontId="3" fillId="5" borderId="9" xfId="0" applyNumberFormat="1" applyFont="1" applyFill="1" applyBorder="1" applyAlignment="1">
      <alignment horizontal="center" wrapText="1"/>
    </xf>
    <xf numFmtId="164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2" fontId="9" fillId="5" borderId="13" xfId="0" applyNumberFormat="1" applyFont="1" applyFill="1" applyBorder="1" applyAlignment="1">
      <alignment horizontal="center"/>
    </xf>
    <xf numFmtId="2" fontId="9" fillId="0" borderId="14" xfId="0" applyNumberFormat="1" applyFont="1" applyBorder="1" applyAlignment="1">
      <alignment horizontal="center"/>
    </xf>
    <xf numFmtId="14" fontId="10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10" fillId="2" borderId="0" xfId="0" applyFont="1" applyFill="1"/>
    <xf numFmtId="0" fontId="0" fillId="0" borderId="0" xfId="0" applyAlignment="1">
      <alignment horizontal="center"/>
    </xf>
    <xf numFmtId="0" fontId="10" fillId="0" borderId="0" xfId="0" applyFont="1"/>
    <xf numFmtId="16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64D9-532F-49C5-9CE5-CC2A5CE03E41}">
  <sheetPr>
    <pageSetUpPr fitToPage="1"/>
  </sheetPr>
  <dimension ref="A1:N155"/>
  <sheetViews>
    <sheetView tabSelected="1" zoomScale="90" zoomScaleNormal="90" workbookViewId="0">
      <pane ySplit="2" topLeftCell="A3" activePane="bottomLeft" state="frozen"/>
      <selection pane="bottomLeft" activeCell="C11" sqref="C11"/>
    </sheetView>
  </sheetViews>
  <sheetFormatPr defaultColWidth="0" defaultRowHeight="17.399999999999999" x14ac:dyDescent="0.35"/>
  <cols>
    <col min="1" max="2" width="16.109375" style="62" customWidth="1"/>
    <col min="3" max="3" width="34" customWidth="1"/>
    <col min="4" max="4" width="25.6640625" customWidth="1"/>
    <col min="5" max="5" width="14.33203125" customWidth="1"/>
    <col min="6" max="6" width="17.6640625" style="62" customWidth="1"/>
    <col min="7" max="7" width="14.109375" style="63" customWidth="1"/>
    <col min="8" max="8" width="22.6640625" customWidth="1"/>
    <col min="9" max="10" width="20.33203125" customWidth="1"/>
    <col min="11" max="11" width="26.6640625" style="62" customWidth="1"/>
    <col min="12" max="12" width="14.44140625" style="62" customWidth="1"/>
    <col min="13" max="13" width="24.6640625" style="62" bestFit="1" customWidth="1"/>
    <col min="14" max="14" width="29.6640625" style="65" hidden="1" customWidth="1"/>
    <col min="15" max="16384" width="9.109375" style="2" hidden="1"/>
  </cols>
  <sheetData>
    <row r="1" spans="1:14" ht="33" customHeight="1" thickBot="1" x14ac:dyDescent="0.35">
      <c r="A1" s="2"/>
      <c r="B1" s="68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70"/>
      <c r="N1" s="1"/>
    </row>
    <row r="2" spans="1:14" ht="36.6" thickBot="1" x14ac:dyDescent="0.4">
      <c r="A2" s="3" t="s">
        <v>218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6"/>
      <c r="M2" s="7" t="s">
        <v>10</v>
      </c>
      <c r="N2" s="8" t="s">
        <v>11</v>
      </c>
    </row>
    <row r="3" spans="1:14" ht="18" x14ac:dyDescent="0.35">
      <c r="A3" s="9">
        <v>46154</v>
      </c>
      <c r="B3" s="9">
        <v>45983</v>
      </c>
      <c r="C3" s="10" t="s">
        <v>12</v>
      </c>
      <c r="D3" s="11" t="s">
        <v>13</v>
      </c>
      <c r="E3" s="11" t="s">
        <v>14</v>
      </c>
      <c r="F3" s="12">
        <v>0</v>
      </c>
      <c r="G3" s="13"/>
      <c r="H3" s="14">
        <f t="shared" ref="H3:H12" si="0">I3-F3</f>
        <v>0.14000000000000001</v>
      </c>
      <c r="I3" s="14">
        <v>0.14000000000000001</v>
      </c>
      <c r="J3" s="14">
        <v>1573.43</v>
      </c>
      <c r="K3" s="15" t="s">
        <v>15</v>
      </c>
      <c r="L3" s="16" t="s">
        <v>217</v>
      </c>
      <c r="M3" s="17">
        <f t="shared" ref="M3:M12" ca="1" si="1">TODAY()-B3</f>
        <v>180</v>
      </c>
      <c r="N3" s="18"/>
    </row>
    <row r="4" spans="1:14" ht="18" x14ac:dyDescent="0.35">
      <c r="A4" s="9">
        <v>46154</v>
      </c>
      <c r="B4" s="9">
        <v>46058</v>
      </c>
      <c r="C4" s="11" t="s">
        <v>16</v>
      </c>
      <c r="D4" s="11" t="s">
        <v>13</v>
      </c>
      <c r="E4" s="11" t="s">
        <v>14</v>
      </c>
      <c r="F4" s="19">
        <v>0</v>
      </c>
      <c r="G4" s="13"/>
      <c r="H4" s="14">
        <f t="shared" si="0"/>
        <v>2.87</v>
      </c>
      <c r="I4" s="14">
        <v>2.87</v>
      </c>
      <c r="J4" s="14">
        <v>1425</v>
      </c>
      <c r="K4" s="15" t="s">
        <v>15</v>
      </c>
      <c r="L4" s="16" t="s">
        <v>217</v>
      </c>
      <c r="M4" s="17">
        <f t="shared" ca="1" si="1"/>
        <v>105</v>
      </c>
      <c r="N4" s="18"/>
    </row>
    <row r="5" spans="1:14" ht="18" x14ac:dyDescent="0.35">
      <c r="A5" s="9">
        <v>46154</v>
      </c>
      <c r="B5" s="9">
        <v>46074</v>
      </c>
      <c r="C5" s="11" t="s">
        <v>17</v>
      </c>
      <c r="D5" s="11" t="s">
        <v>13</v>
      </c>
      <c r="E5" s="11" t="s">
        <v>14</v>
      </c>
      <c r="F5" s="19">
        <v>0</v>
      </c>
      <c r="G5" s="13"/>
      <c r="H5" s="14">
        <f t="shared" si="0"/>
        <v>46.576999999999998</v>
      </c>
      <c r="I5" s="14">
        <v>46.576999999999998</v>
      </c>
      <c r="J5" s="14">
        <v>1362.808</v>
      </c>
      <c r="K5" s="15" t="s">
        <v>15</v>
      </c>
      <c r="L5" s="16" t="s">
        <v>217</v>
      </c>
      <c r="M5" s="17">
        <f t="shared" ca="1" si="1"/>
        <v>89</v>
      </c>
      <c r="N5" s="18"/>
    </row>
    <row r="6" spans="1:14" ht="18" x14ac:dyDescent="0.35">
      <c r="A6" s="9">
        <v>46154</v>
      </c>
      <c r="B6" s="9">
        <v>46089</v>
      </c>
      <c r="C6" s="11" t="s">
        <v>18</v>
      </c>
      <c r="D6" s="11" t="s">
        <v>13</v>
      </c>
      <c r="E6" s="11" t="s">
        <v>14</v>
      </c>
      <c r="F6" s="19">
        <f>2002.368-50-21-100-100-50-417-120-25-170-50+245-20-20-875-20+484-45-10-25</f>
        <v>613.36799999999994</v>
      </c>
      <c r="G6" s="13"/>
      <c r="H6" s="14">
        <f t="shared" si="0"/>
        <v>558.71100000000001</v>
      </c>
      <c r="I6" s="14">
        <v>1172.079</v>
      </c>
      <c r="J6" s="14">
        <v>2002.3679999999999</v>
      </c>
      <c r="K6" s="15" t="s">
        <v>15</v>
      </c>
      <c r="L6" s="16" t="s">
        <v>217</v>
      </c>
      <c r="M6" s="17">
        <f t="shared" ca="1" si="1"/>
        <v>74</v>
      </c>
      <c r="N6" s="18"/>
    </row>
    <row r="7" spans="1:14" ht="18" x14ac:dyDescent="0.35">
      <c r="A7" s="9">
        <v>46154</v>
      </c>
      <c r="B7" s="9">
        <v>46281</v>
      </c>
      <c r="C7" s="11" t="s">
        <v>19</v>
      </c>
      <c r="D7" s="11" t="s">
        <v>13</v>
      </c>
      <c r="E7" s="11" t="s">
        <v>20</v>
      </c>
      <c r="F7" s="19">
        <v>0</v>
      </c>
      <c r="G7" s="13"/>
      <c r="H7" s="14">
        <f t="shared" si="0"/>
        <v>4.0000000000000001E-3</v>
      </c>
      <c r="I7" s="14">
        <v>4.0000000000000001E-3</v>
      </c>
      <c r="J7" s="14">
        <v>3902.732</v>
      </c>
      <c r="K7" s="15" t="s">
        <v>21</v>
      </c>
      <c r="L7" s="16" t="s">
        <v>217</v>
      </c>
      <c r="M7" s="17">
        <f t="shared" ca="1" si="1"/>
        <v>-118</v>
      </c>
      <c r="N7" s="18"/>
    </row>
    <row r="8" spans="1:14" ht="18" x14ac:dyDescent="0.35">
      <c r="A8" s="9">
        <v>46154</v>
      </c>
      <c r="B8" s="9">
        <v>45929</v>
      </c>
      <c r="C8" s="11" t="s">
        <v>22</v>
      </c>
      <c r="D8" s="11" t="s">
        <v>13</v>
      </c>
      <c r="E8" s="11" t="s">
        <v>20</v>
      </c>
      <c r="F8" s="19">
        <v>0</v>
      </c>
      <c r="G8" s="13"/>
      <c r="H8" s="14">
        <f t="shared" si="0"/>
        <v>0.54</v>
      </c>
      <c r="I8" s="14">
        <v>0.54</v>
      </c>
      <c r="J8" s="14">
        <v>995.53300000000002</v>
      </c>
      <c r="K8" s="15" t="s">
        <v>21</v>
      </c>
      <c r="L8" s="16" t="s">
        <v>217</v>
      </c>
      <c r="M8" s="17">
        <f t="shared" ca="1" si="1"/>
        <v>234</v>
      </c>
      <c r="N8" s="18"/>
    </row>
    <row r="9" spans="1:14" ht="18" x14ac:dyDescent="0.35">
      <c r="A9" s="9">
        <v>46154</v>
      </c>
      <c r="B9" s="9">
        <v>46066</v>
      </c>
      <c r="C9" s="11" t="s">
        <v>23</v>
      </c>
      <c r="D9" s="11" t="s">
        <v>13</v>
      </c>
      <c r="E9" s="11" t="s">
        <v>20</v>
      </c>
      <c r="F9" s="19">
        <v>0</v>
      </c>
      <c r="G9" s="13"/>
      <c r="H9" s="14">
        <f t="shared" si="0"/>
        <v>22.387</v>
      </c>
      <c r="I9" s="14">
        <v>22.387</v>
      </c>
      <c r="J9" s="14">
        <v>950.01199999999994</v>
      </c>
      <c r="K9" s="15" t="s">
        <v>21</v>
      </c>
      <c r="L9" s="16" t="s">
        <v>217</v>
      </c>
      <c r="M9" s="17">
        <f t="shared" ca="1" si="1"/>
        <v>97</v>
      </c>
      <c r="N9" s="18"/>
    </row>
    <row r="10" spans="1:14" ht="18" x14ac:dyDescent="0.35">
      <c r="A10" s="9">
        <v>46154</v>
      </c>
      <c r="B10" s="9">
        <v>46118</v>
      </c>
      <c r="C10" s="11" t="s">
        <v>24</v>
      </c>
      <c r="D10" s="11" t="s">
        <v>13</v>
      </c>
      <c r="E10" s="11" t="s">
        <v>20</v>
      </c>
      <c r="F10" s="19">
        <v>1891.307</v>
      </c>
      <c r="G10" s="13"/>
      <c r="H10" s="14">
        <f t="shared" si="0"/>
        <v>0</v>
      </c>
      <c r="I10" s="14">
        <v>1891.307</v>
      </c>
      <c r="J10" s="14">
        <v>1891.307</v>
      </c>
      <c r="K10" s="15" t="s">
        <v>21</v>
      </c>
      <c r="L10" s="16" t="s">
        <v>217</v>
      </c>
      <c r="M10" s="17">
        <f t="shared" ca="1" si="1"/>
        <v>45</v>
      </c>
      <c r="N10" s="18"/>
    </row>
    <row r="11" spans="1:14" ht="18" x14ac:dyDescent="0.35">
      <c r="A11" s="9">
        <v>46154</v>
      </c>
      <c r="B11" s="9">
        <v>46136</v>
      </c>
      <c r="C11" s="11" t="s">
        <v>25</v>
      </c>
      <c r="D11" s="11" t="s">
        <v>13</v>
      </c>
      <c r="E11" s="11" t="s">
        <v>26</v>
      </c>
      <c r="F11" s="19">
        <f>1900-509.505-262-530-484</f>
        <v>114.49499999999989</v>
      </c>
      <c r="G11" s="13"/>
      <c r="H11" s="14">
        <f t="shared" si="0"/>
        <v>1006.0440000000001</v>
      </c>
      <c r="I11" s="14">
        <v>1120.539</v>
      </c>
      <c r="J11" s="14">
        <v>1890.9590000000001</v>
      </c>
      <c r="K11" s="15" t="s">
        <v>27</v>
      </c>
      <c r="L11" s="16" t="s">
        <v>217</v>
      </c>
      <c r="M11" s="17">
        <f t="shared" ca="1" si="1"/>
        <v>27</v>
      </c>
      <c r="N11" s="18"/>
    </row>
    <row r="12" spans="1:14" ht="18" x14ac:dyDescent="0.35">
      <c r="A12" s="20">
        <v>46154</v>
      </c>
      <c r="B12" s="20">
        <v>46141</v>
      </c>
      <c r="C12" s="21" t="s">
        <v>28</v>
      </c>
      <c r="D12" s="21" t="s">
        <v>13</v>
      </c>
      <c r="E12" s="21" t="s">
        <v>26</v>
      </c>
      <c r="F12" s="22">
        <v>1886.4469999999999</v>
      </c>
      <c r="G12" s="23"/>
      <c r="H12" s="24">
        <f t="shared" si="0"/>
        <v>0</v>
      </c>
      <c r="I12" s="24">
        <v>1886.4469999999999</v>
      </c>
      <c r="J12" s="24">
        <v>1886.4469999999999</v>
      </c>
      <c r="K12" s="25" t="s">
        <v>27</v>
      </c>
      <c r="L12" s="26" t="s">
        <v>29</v>
      </c>
      <c r="M12" s="27">
        <f t="shared" ca="1" si="1"/>
        <v>22</v>
      </c>
      <c r="N12" s="18"/>
    </row>
    <row r="13" spans="1:14" ht="18" x14ac:dyDescent="0.35">
      <c r="A13" s="9">
        <v>46154</v>
      </c>
      <c r="B13" s="9">
        <v>46136</v>
      </c>
      <c r="C13" s="11" t="s">
        <v>30</v>
      </c>
      <c r="D13" s="11" t="s">
        <v>31</v>
      </c>
      <c r="E13" s="11" t="s">
        <v>26</v>
      </c>
      <c r="F13" s="19">
        <f>475-71-130-170</f>
        <v>104</v>
      </c>
      <c r="G13" s="13"/>
      <c r="H13" s="14">
        <f t="shared" ref="H13:H15" si="2">I13-F13</f>
        <v>171.03899999999999</v>
      </c>
      <c r="I13" s="14">
        <v>275.03899999999999</v>
      </c>
      <c r="J13" s="14">
        <v>475</v>
      </c>
      <c r="K13" s="15" t="s">
        <v>32</v>
      </c>
      <c r="L13" s="16" t="s">
        <v>217</v>
      </c>
      <c r="M13" s="15">
        <f t="shared" ref="M13:M15" ca="1" si="3">TODAY()-B13</f>
        <v>27</v>
      </c>
      <c r="N13" s="18"/>
    </row>
    <row r="14" spans="1:14" ht="18" x14ac:dyDescent="0.35">
      <c r="A14" s="9">
        <v>46154</v>
      </c>
      <c r="B14" s="9">
        <v>46142</v>
      </c>
      <c r="C14" s="11" t="s">
        <v>33</v>
      </c>
      <c r="D14" s="11" t="s">
        <v>31</v>
      </c>
      <c r="E14" s="11" t="s">
        <v>26</v>
      </c>
      <c r="F14" s="19">
        <v>953.92200000000003</v>
      </c>
      <c r="G14" s="13"/>
      <c r="H14" s="14">
        <f t="shared" si="2"/>
        <v>0</v>
      </c>
      <c r="I14" s="14">
        <v>953.92200000000003</v>
      </c>
      <c r="J14" s="14">
        <v>953.92200000000003</v>
      </c>
      <c r="K14" s="15" t="s">
        <v>34</v>
      </c>
      <c r="L14" s="16" t="s">
        <v>217</v>
      </c>
      <c r="M14" s="15">
        <f t="shared" ca="1" si="3"/>
        <v>21</v>
      </c>
      <c r="N14" s="18"/>
    </row>
    <row r="15" spans="1:14" ht="18" x14ac:dyDescent="0.35">
      <c r="A15" s="9">
        <v>46154</v>
      </c>
      <c r="B15" s="9">
        <v>46105</v>
      </c>
      <c r="C15" s="11" t="s">
        <v>35</v>
      </c>
      <c r="D15" s="11" t="s">
        <v>31</v>
      </c>
      <c r="E15" s="11" t="s">
        <v>36</v>
      </c>
      <c r="F15" s="19">
        <f>200-137-60</f>
        <v>3</v>
      </c>
      <c r="G15" s="13"/>
      <c r="H15" s="14">
        <f t="shared" si="2"/>
        <v>30.409999999999997</v>
      </c>
      <c r="I15" s="14">
        <v>33.409999999999997</v>
      </c>
      <c r="J15" s="14">
        <v>200</v>
      </c>
      <c r="K15" s="15" t="s">
        <v>37</v>
      </c>
      <c r="L15" s="16" t="s">
        <v>217</v>
      </c>
      <c r="M15" s="17">
        <f t="shared" ca="1" si="3"/>
        <v>58</v>
      </c>
      <c r="N15" s="18"/>
    </row>
    <row r="16" spans="1:14" ht="18" x14ac:dyDescent="0.35">
      <c r="A16" s="9">
        <v>46154</v>
      </c>
      <c r="B16" s="9">
        <v>46051</v>
      </c>
      <c r="C16" s="11" t="s">
        <v>38</v>
      </c>
      <c r="D16" s="11" t="s">
        <v>39</v>
      </c>
      <c r="E16" s="11" t="s">
        <v>26</v>
      </c>
      <c r="F16" s="19">
        <v>0</v>
      </c>
      <c r="G16" s="13"/>
      <c r="H16" s="14">
        <f t="shared" ref="H16:H23" si="4">I16-F16</f>
        <v>24.3</v>
      </c>
      <c r="I16" s="14">
        <v>24.3</v>
      </c>
      <c r="J16" s="14">
        <v>1894.95</v>
      </c>
      <c r="K16" s="15" t="s">
        <v>34</v>
      </c>
      <c r="L16" s="16" t="s">
        <v>217</v>
      </c>
      <c r="M16" s="16">
        <f t="shared" ref="M16:M23" ca="1" si="5">TODAY()-B16</f>
        <v>112</v>
      </c>
      <c r="N16" s="31"/>
    </row>
    <row r="17" spans="1:14" ht="18" x14ac:dyDescent="0.35">
      <c r="A17" s="9">
        <v>46154</v>
      </c>
      <c r="B17" s="9">
        <v>46125</v>
      </c>
      <c r="C17" s="11" t="s">
        <v>40</v>
      </c>
      <c r="D17" s="11" t="s">
        <v>39</v>
      </c>
      <c r="E17" s="11" t="s">
        <v>26</v>
      </c>
      <c r="F17" s="13">
        <f>164.975-50</f>
        <v>114.97499999999999</v>
      </c>
      <c r="G17" s="13"/>
      <c r="H17" s="14">
        <f t="shared" si="4"/>
        <v>75</v>
      </c>
      <c r="I17" s="14">
        <v>189.97499999999999</v>
      </c>
      <c r="J17" s="14">
        <v>190.678</v>
      </c>
      <c r="K17" s="15" t="s">
        <v>34</v>
      </c>
      <c r="L17" s="16" t="s">
        <v>217</v>
      </c>
      <c r="M17" s="16">
        <f t="shared" ca="1" si="5"/>
        <v>38</v>
      </c>
      <c r="N17" s="31"/>
    </row>
    <row r="18" spans="1:14" ht="18" x14ac:dyDescent="0.35">
      <c r="A18" s="9">
        <v>46154</v>
      </c>
      <c r="B18" s="9">
        <v>46136</v>
      </c>
      <c r="C18" s="11" t="s">
        <v>41</v>
      </c>
      <c r="D18" s="11" t="s">
        <v>39</v>
      </c>
      <c r="E18" s="11" t="s">
        <v>26</v>
      </c>
      <c r="F18" s="19">
        <f>1499.963-67.98-195-156+33-151-84-32-232-13-21-25-100+42</f>
        <v>497.98299999999995</v>
      </c>
      <c r="G18" s="13"/>
      <c r="H18" s="14">
        <f t="shared" si="4"/>
        <v>790.78600000000006</v>
      </c>
      <c r="I18" s="14">
        <v>1288.769</v>
      </c>
      <c r="J18" s="14">
        <v>1499.963</v>
      </c>
      <c r="K18" s="15" t="s">
        <v>42</v>
      </c>
      <c r="L18" s="16" t="s">
        <v>217</v>
      </c>
      <c r="M18" s="16">
        <f t="shared" ca="1" si="5"/>
        <v>27</v>
      </c>
      <c r="N18" s="31"/>
    </row>
    <row r="19" spans="1:14" ht="18" x14ac:dyDescent="0.35">
      <c r="A19" s="9">
        <v>46154</v>
      </c>
      <c r="B19" s="9">
        <v>46148</v>
      </c>
      <c r="C19" s="11" t="s">
        <v>43</v>
      </c>
      <c r="D19" s="11" t="s">
        <v>39</v>
      </c>
      <c r="E19" s="11" t="s">
        <v>26</v>
      </c>
      <c r="F19" s="19">
        <v>1890.4490000000001</v>
      </c>
      <c r="G19" s="13"/>
      <c r="H19" s="14">
        <f t="shared" si="4"/>
        <v>0</v>
      </c>
      <c r="I19" s="14">
        <v>1890.4490000000001</v>
      </c>
      <c r="J19" s="14">
        <v>1890.4490000000001</v>
      </c>
      <c r="K19" s="15" t="s">
        <v>32</v>
      </c>
      <c r="L19" s="16" t="s">
        <v>217</v>
      </c>
      <c r="M19" s="16">
        <f t="shared" ca="1" si="5"/>
        <v>15</v>
      </c>
      <c r="N19" s="31"/>
    </row>
    <row r="20" spans="1:14" ht="18" x14ac:dyDescent="0.35">
      <c r="A20" s="9">
        <v>46154</v>
      </c>
      <c r="B20" s="9">
        <v>45948</v>
      </c>
      <c r="C20" s="11" t="s">
        <v>44</v>
      </c>
      <c r="D20" s="11" t="s">
        <v>39</v>
      </c>
      <c r="E20" s="11" t="s">
        <v>20</v>
      </c>
      <c r="F20" s="19">
        <v>2.42</v>
      </c>
      <c r="G20" s="13"/>
      <c r="H20" s="14">
        <f t="shared" si="4"/>
        <v>0</v>
      </c>
      <c r="I20" s="14">
        <v>2.42</v>
      </c>
      <c r="J20" s="14">
        <v>646.42700000000002</v>
      </c>
      <c r="K20" s="15" t="s">
        <v>45</v>
      </c>
      <c r="L20" s="16" t="s">
        <v>217</v>
      </c>
      <c r="M20" s="16">
        <f t="shared" ca="1" si="5"/>
        <v>215</v>
      </c>
      <c r="N20" s="31"/>
    </row>
    <row r="21" spans="1:14" ht="18" x14ac:dyDescent="0.35">
      <c r="A21" s="9">
        <v>46154</v>
      </c>
      <c r="B21" s="9">
        <v>46098</v>
      </c>
      <c r="C21" s="11" t="s">
        <v>46</v>
      </c>
      <c r="D21" s="11" t="s">
        <v>39</v>
      </c>
      <c r="E21" s="11" t="s">
        <v>20</v>
      </c>
      <c r="F21" s="19">
        <f>665.028-21-101-60+30-10-100-116+165+100-9-75-22-135-50+21+50</f>
        <v>332.02800000000002</v>
      </c>
      <c r="G21" s="13"/>
      <c r="H21" s="14">
        <f t="shared" si="4"/>
        <v>71.139999999999986</v>
      </c>
      <c r="I21" s="14">
        <v>403.16800000000001</v>
      </c>
      <c r="J21" s="14">
        <v>665.02800000000002</v>
      </c>
      <c r="K21" s="15" t="s">
        <v>47</v>
      </c>
      <c r="L21" s="16" t="s">
        <v>217</v>
      </c>
      <c r="M21" s="16">
        <f t="shared" ca="1" si="5"/>
        <v>65</v>
      </c>
      <c r="N21" s="31"/>
    </row>
    <row r="22" spans="1:14" ht="18" x14ac:dyDescent="0.35">
      <c r="A22" s="32">
        <v>46154</v>
      </c>
      <c r="B22" s="32">
        <v>46090</v>
      </c>
      <c r="C22" s="33" t="s">
        <v>48</v>
      </c>
      <c r="D22" s="33" t="s">
        <v>39</v>
      </c>
      <c r="E22" s="33" t="s">
        <v>20</v>
      </c>
      <c r="F22" s="34">
        <f>536.034-16-110-25-16-10+100</f>
        <v>459.03399999999999</v>
      </c>
      <c r="G22" s="35"/>
      <c r="H22" s="36">
        <f t="shared" si="4"/>
        <v>323.59100000000001</v>
      </c>
      <c r="I22" s="36">
        <v>782.625</v>
      </c>
      <c r="J22" s="36">
        <v>1808.172</v>
      </c>
      <c r="K22" s="36" t="s">
        <v>49</v>
      </c>
      <c r="L22" s="36" t="s">
        <v>50</v>
      </c>
      <c r="M22" s="16">
        <f t="shared" ca="1" si="5"/>
        <v>73</v>
      </c>
      <c r="N22" s="31"/>
    </row>
    <row r="23" spans="1:14" ht="18" x14ac:dyDescent="0.35">
      <c r="A23" s="32">
        <v>46154</v>
      </c>
      <c r="B23" s="32">
        <v>46011</v>
      </c>
      <c r="C23" s="33" t="s">
        <v>51</v>
      </c>
      <c r="D23" s="33" t="s">
        <v>39</v>
      </c>
      <c r="E23" s="33" t="s">
        <v>26</v>
      </c>
      <c r="F23" s="34">
        <f>252.486-32-32.52+100-100-42</f>
        <v>145.96600000000001</v>
      </c>
      <c r="G23" s="35"/>
      <c r="H23" s="36">
        <f t="shared" si="4"/>
        <v>410.34500000000003</v>
      </c>
      <c r="I23" s="37">
        <v>556.31100000000004</v>
      </c>
      <c r="J23" s="36">
        <v>1190.5050000000001</v>
      </c>
      <c r="K23" s="38" t="s">
        <v>42</v>
      </c>
      <c r="L23" s="39" t="s">
        <v>50</v>
      </c>
      <c r="M23" s="16">
        <f t="shared" ca="1" si="5"/>
        <v>152</v>
      </c>
      <c r="N23" s="31"/>
    </row>
    <row r="24" spans="1:14" ht="18" x14ac:dyDescent="0.35">
      <c r="A24" s="9">
        <v>46154</v>
      </c>
      <c r="B24" s="9">
        <v>45903</v>
      </c>
      <c r="C24" s="11" t="s">
        <v>52</v>
      </c>
      <c r="D24" s="11" t="s">
        <v>53</v>
      </c>
      <c r="E24" s="11" t="s">
        <v>26</v>
      </c>
      <c r="F24" s="19">
        <v>0</v>
      </c>
      <c r="G24" s="29"/>
      <c r="H24" s="14">
        <f t="shared" ref="H24:H25" si="6">I24-F24</f>
        <v>84.632999999999996</v>
      </c>
      <c r="I24" s="14">
        <v>84.632999999999996</v>
      </c>
      <c r="J24" s="14">
        <v>945.69399999999996</v>
      </c>
      <c r="K24" s="15" t="s">
        <v>54</v>
      </c>
      <c r="L24" s="16" t="s">
        <v>217</v>
      </c>
      <c r="M24" s="15">
        <f t="shared" ref="M24:M25" ca="1" si="7">TODAY()-B24</f>
        <v>260</v>
      </c>
      <c r="N24" s="31"/>
    </row>
    <row r="25" spans="1:14" ht="18" x14ac:dyDescent="0.35">
      <c r="A25" s="32">
        <v>46154</v>
      </c>
      <c r="B25" s="32">
        <v>45831</v>
      </c>
      <c r="C25" s="33" t="s">
        <v>55</v>
      </c>
      <c r="D25" s="33" t="s">
        <v>53</v>
      </c>
      <c r="E25" s="33" t="s">
        <v>26</v>
      </c>
      <c r="F25" s="34">
        <f>1466.861-25-25-150+120-30-25+25-30-25+30+20+18-60-80-130-25</f>
        <v>1074.8610000000001</v>
      </c>
      <c r="G25" s="35"/>
      <c r="H25" s="36">
        <f t="shared" si="6"/>
        <v>290.80499999999984</v>
      </c>
      <c r="I25" s="37">
        <v>1365.6659999999999</v>
      </c>
      <c r="J25" s="36"/>
      <c r="K25" s="38" t="s">
        <v>42</v>
      </c>
      <c r="L25" s="39" t="s">
        <v>50</v>
      </c>
      <c r="M25" s="15">
        <f t="shared" ca="1" si="7"/>
        <v>332</v>
      </c>
      <c r="N25" s="31"/>
    </row>
    <row r="26" spans="1:14" ht="18" x14ac:dyDescent="0.35">
      <c r="A26" s="9">
        <v>46154</v>
      </c>
      <c r="B26" s="9">
        <v>45901</v>
      </c>
      <c r="C26" s="11" t="s">
        <v>56</v>
      </c>
      <c r="D26" s="11" t="s">
        <v>57</v>
      </c>
      <c r="E26" s="11" t="s">
        <v>26</v>
      </c>
      <c r="F26" s="19">
        <f>1984.467-90-10-55-21-28-20-300-10-25-14-60-25-45-16-10-30-60-16-260-10-20-40-40-20-55-30-115-30-110-100-183-40+90-14+10-30-35+25-5-36-20-20-50</f>
        <v>11.467000000000098</v>
      </c>
      <c r="G26" s="13"/>
      <c r="H26" s="14">
        <f t="shared" ref="H26" si="8">I26-F26</f>
        <v>106.20999999999991</v>
      </c>
      <c r="I26" s="14">
        <v>117.67700000000001</v>
      </c>
      <c r="J26" s="14">
        <v>1988.6969999999999</v>
      </c>
      <c r="K26" s="15" t="s">
        <v>58</v>
      </c>
      <c r="L26" s="16" t="s">
        <v>217</v>
      </c>
      <c r="M26" s="15">
        <f t="shared" ref="M26" ca="1" si="9">TODAY()-B26</f>
        <v>262</v>
      </c>
      <c r="N26" s="31"/>
    </row>
    <row r="27" spans="1:14" ht="18" x14ac:dyDescent="0.35">
      <c r="A27" s="9">
        <v>46154</v>
      </c>
      <c r="B27" s="9">
        <v>46320</v>
      </c>
      <c r="C27" s="11" t="s">
        <v>59</v>
      </c>
      <c r="D27" s="11" t="s">
        <v>60</v>
      </c>
      <c r="E27" s="11" t="s">
        <v>26</v>
      </c>
      <c r="F27" s="19">
        <v>0</v>
      </c>
      <c r="G27" s="13"/>
      <c r="H27" s="14">
        <f t="shared" ref="H27:H29" si="10">I27-F27</f>
        <v>0.28999999999999998</v>
      </c>
      <c r="I27" s="14">
        <v>0.28999999999999998</v>
      </c>
      <c r="J27" s="14">
        <v>490.22699999999998</v>
      </c>
      <c r="K27" s="15" t="s">
        <v>58</v>
      </c>
      <c r="L27" s="16" t="s">
        <v>217</v>
      </c>
      <c r="M27" s="15">
        <f t="shared" ref="M27:M29" ca="1" si="11">TODAY()-B27</f>
        <v>-157</v>
      </c>
      <c r="N27" s="31"/>
    </row>
    <row r="28" spans="1:14" ht="18" x14ac:dyDescent="0.35">
      <c r="A28" s="9">
        <v>46154</v>
      </c>
      <c r="B28" s="9">
        <v>45995</v>
      </c>
      <c r="C28" s="11" t="s">
        <v>61</v>
      </c>
      <c r="D28" s="11" t="s">
        <v>60</v>
      </c>
      <c r="E28" s="11" t="s">
        <v>26</v>
      </c>
      <c r="F28" s="19">
        <v>0</v>
      </c>
      <c r="G28" s="13"/>
      <c r="H28" s="14">
        <f t="shared" si="10"/>
        <v>4.4999999999999998E-2</v>
      </c>
      <c r="I28" s="14">
        <v>4.4999999999999998E-2</v>
      </c>
      <c r="J28" s="14">
        <v>522.67499999999995</v>
      </c>
      <c r="K28" s="15" t="s">
        <v>58</v>
      </c>
      <c r="L28" s="16" t="s">
        <v>217</v>
      </c>
      <c r="M28" s="15">
        <f t="shared" ca="1" si="11"/>
        <v>168</v>
      </c>
      <c r="N28" s="31"/>
    </row>
    <row r="29" spans="1:14" ht="18" x14ac:dyDescent="0.35">
      <c r="A29" s="9">
        <v>46154</v>
      </c>
      <c r="B29" s="9">
        <v>46027</v>
      </c>
      <c r="C29" s="11" t="s">
        <v>62</v>
      </c>
      <c r="D29" s="11" t="s">
        <v>60</v>
      </c>
      <c r="E29" s="11" t="s">
        <v>26</v>
      </c>
      <c r="F29" s="19">
        <v>15.195</v>
      </c>
      <c r="G29" s="13"/>
      <c r="H29" s="14">
        <f t="shared" si="10"/>
        <v>3.1000000000000583E-2</v>
      </c>
      <c r="I29" s="14">
        <v>15.226000000000001</v>
      </c>
      <c r="J29" s="14">
        <v>955.39499999999998</v>
      </c>
      <c r="K29" s="15" t="s">
        <v>58</v>
      </c>
      <c r="L29" s="16" t="s">
        <v>217</v>
      </c>
      <c r="M29" s="15">
        <f t="shared" ca="1" si="11"/>
        <v>136</v>
      </c>
      <c r="N29" s="31"/>
    </row>
    <row r="30" spans="1:14" ht="18" x14ac:dyDescent="0.35">
      <c r="A30" s="9">
        <v>46154</v>
      </c>
      <c r="B30" s="9">
        <v>45936</v>
      </c>
      <c r="C30" s="11" t="s">
        <v>63</v>
      </c>
      <c r="D30" s="11" t="s">
        <v>64</v>
      </c>
      <c r="E30" s="11" t="s">
        <v>26</v>
      </c>
      <c r="F30" s="19">
        <f>161.65-57+14.45-35-154-30-60</f>
        <v>-159.89999999999998</v>
      </c>
      <c r="G30" s="13"/>
      <c r="H30" s="14">
        <f t="shared" ref="H30:H37" si="12">I30-F30</f>
        <v>339.31599999999997</v>
      </c>
      <c r="I30" s="14">
        <v>179.416</v>
      </c>
      <c r="J30" s="14">
        <v>1498.79</v>
      </c>
      <c r="K30" s="15" t="s">
        <v>34</v>
      </c>
      <c r="L30" s="16" t="s">
        <v>217</v>
      </c>
      <c r="M30" s="15">
        <f t="shared" ref="M30:M37" ca="1" si="13">TODAY()-B30</f>
        <v>227</v>
      </c>
      <c r="N30" s="31"/>
    </row>
    <row r="31" spans="1:14" ht="18" x14ac:dyDescent="0.35">
      <c r="A31" s="9">
        <v>46154</v>
      </c>
      <c r="B31" s="9">
        <v>45941</v>
      </c>
      <c r="C31" s="11" t="s">
        <v>65</v>
      </c>
      <c r="D31" s="11" t="s">
        <v>64</v>
      </c>
      <c r="E31" s="11" t="s">
        <v>26</v>
      </c>
      <c r="F31" s="19">
        <v>0</v>
      </c>
      <c r="G31" s="13"/>
      <c r="H31" s="14">
        <f t="shared" si="12"/>
        <v>51.353999999999999</v>
      </c>
      <c r="I31" s="14">
        <v>51.353999999999999</v>
      </c>
      <c r="J31" s="14">
        <v>1012.934</v>
      </c>
      <c r="K31" s="15" t="s">
        <v>34</v>
      </c>
      <c r="L31" s="16" t="s">
        <v>217</v>
      </c>
      <c r="M31" s="15">
        <f t="shared" ca="1" si="13"/>
        <v>222</v>
      </c>
      <c r="N31" s="31"/>
    </row>
    <row r="32" spans="1:14" ht="18" x14ac:dyDescent="0.35">
      <c r="A32" s="9">
        <v>46154</v>
      </c>
      <c r="B32" s="9">
        <v>45975</v>
      </c>
      <c r="C32" s="11" t="s">
        <v>66</v>
      </c>
      <c r="D32" s="11" t="s">
        <v>64</v>
      </c>
      <c r="E32" s="11" t="s">
        <v>26</v>
      </c>
      <c r="F32" s="19">
        <v>0</v>
      </c>
      <c r="G32" s="13"/>
      <c r="H32" s="14">
        <f t="shared" si="12"/>
        <v>7.0000000000000001E-3</v>
      </c>
      <c r="I32" s="14">
        <v>7.0000000000000001E-3</v>
      </c>
      <c r="J32" s="14">
        <v>1045.4870000000001</v>
      </c>
      <c r="K32" s="15" t="s">
        <v>34</v>
      </c>
      <c r="L32" s="16" t="s">
        <v>217</v>
      </c>
      <c r="M32" s="15">
        <f t="shared" ca="1" si="13"/>
        <v>188</v>
      </c>
      <c r="N32" s="31"/>
    </row>
    <row r="33" spans="1:14" ht="18" x14ac:dyDescent="0.35">
      <c r="A33" s="9">
        <v>46154</v>
      </c>
      <c r="B33" s="9">
        <v>45978</v>
      </c>
      <c r="C33" s="11" t="s">
        <v>67</v>
      </c>
      <c r="D33" s="11" t="s">
        <v>64</v>
      </c>
      <c r="E33" s="11" t="s">
        <v>26</v>
      </c>
      <c r="F33" s="13">
        <f>284.967-121.5+100-42-60-49.5+25.92-21.5-42-21+21-21+21</f>
        <v>74.387</v>
      </c>
      <c r="G33" s="13"/>
      <c r="H33" s="14">
        <f t="shared" si="12"/>
        <v>1.3400000000000034</v>
      </c>
      <c r="I33" s="14">
        <v>75.727000000000004</v>
      </c>
      <c r="J33" s="14">
        <v>473.96699999999998</v>
      </c>
      <c r="K33" s="15" t="s">
        <v>34</v>
      </c>
      <c r="L33" s="16" t="s">
        <v>217</v>
      </c>
      <c r="M33" s="15">
        <f t="shared" ca="1" si="13"/>
        <v>185</v>
      </c>
      <c r="N33" s="31"/>
    </row>
    <row r="34" spans="1:14" ht="18" x14ac:dyDescent="0.35">
      <c r="A34" s="9">
        <v>46154</v>
      </c>
      <c r="B34" s="9">
        <v>46094</v>
      </c>
      <c r="C34" s="30" t="s">
        <v>68</v>
      </c>
      <c r="D34" s="11" t="s">
        <v>64</v>
      </c>
      <c r="E34" s="11" t="s">
        <v>26</v>
      </c>
      <c r="F34" s="19">
        <v>0</v>
      </c>
      <c r="G34" s="13"/>
      <c r="H34" s="14">
        <f t="shared" si="12"/>
        <v>133.25399999999999</v>
      </c>
      <c r="I34" s="14">
        <v>133.25399999999999</v>
      </c>
      <c r="J34" s="14">
        <v>723.74400000000003</v>
      </c>
      <c r="K34" s="15" t="s">
        <v>34</v>
      </c>
      <c r="L34" s="16" t="s">
        <v>217</v>
      </c>
      <c r="M34" s="15">
        <f t="shared" ca="1" si="13"/>
        <v>69</v>
      </c>
      <c r="N34" s="31"/>
    </row>
    <row r="35" spans="1:14" ht="18" x14ac:dyDescent="0.35">
      <c r="A35" s="9">
        <v>46154</v>
      </c>
      <c r="B35" s="9">
        <v>45944</v>
      </c>
      <c r="C35" s="11" t="s">
        <v>69</v>
      </c>
      <c r="D35" s="11" t="s">
        <v>64</v>
      </c>
      <c r="E35" s="11" t="s">
        <v>36</v>
      </c>
      <c r="F35" s="19">
        <v>-63.360999999999997</v>
      </c>
      <c r="G35" s="13"/>
      <c r="H35" s="14">
        <f t="shared" si="12"/>
        <v>63.687999999999995</v>
      </c>
      <c r="I35" s="14">
        <v>0.32700000000000001</v>
      </c>
      <c r="J35" s="14">
        <v>1009.107</v>
      </c>
      <c r="K35" s="15" t="s">
        <v>37</v>
      </c>
      <c r="L35" s="16" t="s">
        <v>217</v>
      </c>
      <c r="M35" s="15">
        <f t="shared" ca="1" si="13"/>
        <v>219</v>
      </c>
      <c r="N35" s="31"/>
    </row>
    <row r="36" spans="1:14" ht="18" x14ac:dyDescent="0.35">
      <c r="A36" s="9">
        <v>46154</v>
      </c>
      <c r="B36" s="9">
        <v>46098</v>
      </c>
      <c r="C36" s="11" t="s">
        <v>70</v>
      </c>
      <c r="D36" s="11" t="s">
        <v>64</v>
      </c>
      <c r="E36" s="11" t="s">
        <v>20</v>
      </c>
      <c r="F36" s="19">
        <f>1896.987-40-25-725-106-40-42-30+32+70-20-576-100-10-7-69+76</f>
        <v>284.98700000000008</v>
      </c>
      <c r="G36" s="13"/>
      <c r="H36" s="14">
        <f t="shared" si="12"/>
        <v>454.8549999999999</v>
      </c>
      <c r="I36" s="14">
        <v>739.84199999999998</v>
      </c>
      <c r="J36" s="14">
        <v>1896.9870000000001</v>
      </c>
      <c r="K36" s="15" t="s">
        <v>71</v>
      </c>
      <c r="L36" s="16" t="s">
        <v>217</v>
      </c>
      <c r="M36" s="16">
        <f t="shared" ca="1" si="13"/>
        <v>65</v>
      </c>
      <c r="N36" s="31"/>
    </row>
    <row r="37" spans="1:14" ht="18" x14ac:dyDescent="0.35">
      <c r="A37" s="32">
        <v>46154</v>
      </c>
      <c r="B37" s="32">
        <v>46090</v>
      </c>
      <c r="C37" s="33" t="s">
        <v>72</v>
      </c>
      <c r="D37" s="33" t="s">
        <v>64</v>
      </c>
      <c r="E37" s="33" t="s">
        <v>20</v>
      </c>
      <c r="F37" s="34">
        <f>1428.162-10-255-120-10-100-102-200-20-37-58-100-5-310.511-20-102+40+42+30-35-10-20</f>
        <v>25.65100000000001</v>
      </c>
      <c r="G37" s="35"/>
      <c r="H37" s="36">
        <f t="shared" si="12"/>
        <v>207.09</v>
      </c>
      <c r="I37" s="36">
        <v>232.74100000000001</v>
      </c>
      <c r="J37" s="36">
        <v>1428.162</v>
      </c>
      <c r="K37" s="38" t="s">
        <v>47</v>
      </c>
      <c r="L37" s="39" t="s">
        <v>50</v>
      </c>
      <c r="M37" s="16">
        <f t="shared" ca="1" si="13"/>
        <v>73</v>
      </c>
      <c r="N37" s="31"/>
    </row>
    <row r="38" spans="1:14" ht="18" x14ac:dyDescent="0.35">
      <c r="A38" s="9">
        <v>46154</v>
      </c>
      <c r="B38" s="9">
        <v>45905</v>
      </c>
      <c r="C38" s="30" t="s">
        <v>73</v>
      </c>
      <c r="D38" s="11" t="s">
        <v>74</v>
      </c>
      <c r="E38" s="11" t="s">
        <v>26</v>
      </c>
      <c r="F38" s="13">
        <f>306.391-25+25</f>
        <v>306.39100000000002</v>
      </c>
      <c r="G38" s="29"/>
      <c r="H38" s="14">
        <f t="shared" ref="H38:H47" si="14">I38-F38</f>
        <v>2.7399999999999523</v>
      </c>
      <c r="I38" s="14">
        <v>309.13099999999997</v>
      </c>
      <c r="J38" s="14">
        <v>1890.7629999999999</v>
      </c>
      <c r="K38" s="15" t="s">
        <v>75</v>
      </c>
      <c r="L38" s="16" t="s">
        <v>217</v>
      </c>
      <c r="M38" s="15">
        <f t="shared" ref="M38:M47" ca="1" si="15">TODAY()-B38</f>
        <v>258</v>
      </c>
      <c r="N38" s="31"/>
    </row>
    <row r="39" spans="1:14" ht="18" x14ac:dyDescent="0.35">
      <c r="A39" s="9">
        <v>46154</v>
      </c>
      <c r="B39" s="9">
        <v>45968</v>
      </c>
      <c r="C39" s="11" t="s">
        <v>76</v>
      </c>
      <c r="D39" s="11" t="s">
        <v>74</v>
      </c>
      <c r="E39" s="11" t="s">
        <v>26</v>
      </c>
      <c r="F39" s="19">
        <v>35.591999999999999</v>
      </c>
      <c r="G39" s="29"/>
      <c r="H39" s="14">
        <f t="shared" si="14"/>
        <v>7.9999999999998295E-2</v>
      </c>
      <c r="I39" s="14">
        <v>35.671999999999997</v>
      </c>
      <c r="J39" s="14">
        <v>524.80200000000002</v>
      </c>
      <c r="K39" s="15" t="s">
        <v>34</v>
      </c>
      <c r="L39" s="16" t="s">
        <v>217</v>
      </c>
      <c r="M39" s="15">
        <f t="shared" ca="1" si="15"/>
        <v>195</v>
      </c>
      <c r="N39" s="31"/>
    </row>
    <row r="40" spans="1:14" ht="18" x14ac:dyDescent="0.35">
      <c r="A40" s="9">
        <v>46154</v>
      </c>
      <c r="B40" s="9">
        <v>45975</v>
      </c>
      <c r="C40" s="11" t="s">
        <v>77</v>
      </c>
      <c r="D40" s="11" t="s">
        <v>74</v>
      </c>
      <c r="E40" s="11" t="s">
        <v>26</v>
      </c>
      <c r="F40" s="19">
        <v>0</v>
      </c>
      <c r="G40" s="29"/>
      <c r="H40" s="14">
        <f t="shared" si="14"/>
        <v>7.0000000000000001E-3</v>
      </c>
      <c r="I40" s="14">
        <v>7.0000000000000001E-3</v>
      </c>
      <c r="J40" s="14">
        <v>597.05700000000002</v>
      </c>
      <c r="K40" s="15" t="s">
        <v>34</v>
      </c>
      <c r="L40" s="16" t="s">
        <v>217</v>
      </c>
      <c r="M40" s="15">
        <f t="shared" ca="1" si="15"/>
        <v>188</v>
      </c>
      <c r="N40" s="31"/>
    </row>
    <row r="41" spans="1:14" ht="18" x14ac:dyDescent="0.35">
      <c r="A41" s="9">
        <v>46154</v>
      </c>
      <c r="B41" s="9">
        <v>46123</v>
      </c>
      <c r="C41" s="11" t="s">
        <v>78</v>
      </c>
      <c r="D41" s="11" t="s">
        <v>74</v>
      </c>
      <c r="E41" s="11" t="s">
        <v>26</v>
      </c>
      <c r="F41" s="19">
        <f>238.948-80</f>
        <v>158.94800000000001</v>
      </c>
      <c r="G41" s="29"/>
      <c r="H41" s="14">
        <f t="shared" si="14"/>
        <v>80</v>
      </c>
      <c r="I41" s="14">
        <v>238.94800000000001</v>
      </c>
      <c r="J41" s="14">
        <v>240</v>
      </c>
      <c r="K41" s="15" t="s">
        <v>34</v>
      </c>
      <c r="L41" s="16" t="s">
        <v>217</v>
      </c>
      <c r="M41" s="15">
        <f t="shared" ca="1" si="15"/>
        <v>40</v>
      </c>
      <c r="N41" s="31"/>
    </row>
    <row r="42" spans="1:14" ht="18" x14ac:dyDescent="0.35">
      <c r="A42" s="9">
        <v>46154</v>
      </c>
      <c r="B42" s="9">
        <v>46131</v>
      </c>
      <c r="C42" s="11" t="s">
        <v>79</v>
      </c>
      <c r="D42" s="11" t="s">
        <v>74</v>
      </c>
      <c r="E42" s="11" t="s">
        <v>26</v>
      </c>
      <c r="F42" s="19">
        <f>498.637-20-25</f>
        <v>453.637</v>
      </c>
      <c r="G42" s="29"/>
      <c r="H42" s="14">
        <f t="shared" si="14"/>
        <v>45</v>
      </c>
      <c r="I42" s="14">
        <v>498.637</v>
      </c>
      <c r="J42" s="14">
        <v>498.637</v>
      </c>
      <c r="K42" s="15" t="s">
        <v>34</v>
      </c>
      <c r="L42" s="16" t="s">
        <v>217</v>
      </c>
      <c r="M42" s="15">
        <f t="shared" ca="1" si="15"/>
        <v>32</v>
      </c>
      <c r="N42" s="31"/>
    </row>
    <row r="43" spans="1:14" ht="18" x14ac:dyDescent="0.35">
      <c r="A43" s="32">
        <v>46154</v>
      </c>
      <c r="B43" s="32">
        <v>46012</v>
      </c>
      <c r="C43" s="33" t="s">
        <v>80</v>
      </c>
      <c r="D43" s="33" t="s">
        <v>74</v>
      </c>
      <c r="E43" s="33" t="s">
        <v>26</v>
      </c>
      <c r="F43" s="34">
        <v>0</v>
      </c>
      <c r="G43" s="37"/>
      <c r="H43" s="36">
        <f t="shared" si="14"/>
        <v>25.105</v>
      </c>
      <c r="I43" s="37">
        <v>25.105</v>
      </c>
      <c r="J43" s="36">
        <v>952.65700000000004</v>
      </c>
      <c r="K43" s="38" t="s">
        <v>34</v>
      </c>
      <c r="L43" s="39" t="s">
        <v>50</v>
      </c>
      <c r="M43" s="15">
        <f t="shared" ca="1" si="15"/>
        <v>151</v>
      </c>
      <c r="N43" s="31"/>
    </row>
    <row r="44" spans="1:14" ht="18" x14ac:dyDescent="0.35">
      <c r="A44" s="32">
        <v>46154</v>
      </c>
      <c r="B44" s="32">
        <v>46068</v>
      </c>
      <c r="C44" s="33" t="s">
        <v>81</v>
      </c>
      <c r="D44" s="33" t="s">
        <v>74</v>
      </c>
      <c r="E44" s="33" t="s">
        <v>26</v>
      </c>
      <c r="F44" s="34">
        <f>1046.886-100-25-20-125+50-15-85-25</f>
        <v>701.88599999999997</v>
      </c>
      <c r="G44" s="37"/>
      <c r="H44" s="36">
        <f t="shared" si="14"/>
        <v>121.05899999999997</v>
      </c>
      <c r="I44" s="37">
        <f>517.161+305.784</f>
        <v>822.94499999999994</v>
      </c>
      <c r="J44" s="36">
        <v>1046.886</v>
      </c>
      <c r="K44" s="38" t="s">
        <v>34</v>
      </c>
      <c r="L44" s="39" t="s">
        <v>50</v>
      </c>
      <c r="M44" s="15">
        <f t="shared" ca="1" si="15"/>
        <v>95</v>
      </c>
      <c r="N44" s="31"/>
    </row>
    <row r="45" spans="1:14" ht="18" x14ac:dyDescent="0.35">
      <c r="A45" s="9">
        <v>46154</v>
      </c>
      <c r="B45" s="9">
        <v>46048</v>
      </c>
      <c r="C45" s="11" t="s">
        <v>82</v>
      </c>
      <c r="D45" s="11" t="s">
        <v>74</v>
      </c>
      <c r="E45" s="11" t="s">
        <v>14</v>
      </c>
      <c r="F45" s="19">
        <f>30.427-75-10</f>
        <v>-54.573</v>
      </c>
      <c r="G45" s="29"/>
      <c r="H45" s="14">
        <f t="shared" si="14"/>
        <v>75.289999999999992</v>
      </c>
      <c r="I45" s="14">
        <v>20.716999999999999</v>
      </c>
      <c r="J45" s="14">
        <v>582.77200000000005</v>
      </c>
      <c r="K45" s="15" t="s">
        <v>15</v>
      </c>
      <c r="L45" s="16" t="s">
        <v>217</v>
      </c>
      <c r="M45" s="15">
        <f t="shared" ca="1" si="15"/>
        <v>115</v>
      </c>
      <c r="N45" s="31"/>
    </row>
    <row r="46" spans="1:14" ht="18" x14ac:dyDescent="0.35">
      <c r="A46" s="9">
        <v>46154</v>
      </c>
      <c r="B46" s="9">
        <v>46098</v>
      </c>
      <c r="C46" s="11" t="s">
        <v>83</v>
      </c>
      <c r="D46" s="11" t="s">
        <v>74</v>
      </c>
      <c r="E46" s="11" t="s">
        <v>20</v>
      </c>
      <c r="F46" s="19">
        <f>186.359+40-209-20</f>
        <v>-2.6409999999999911</v>
      </c>
      <c r="G46" s="29"/>
      <c r="H46" s="14">
        <f t="shared" si="14"/>
        <v>29.669999999999991</v>
      </c>
      <c r="I46" s="14">
        <v>27.029</v>
      </c>
      <c r="J46" s="14">
        <v>475.56900000000002</v>
      </c>
      <c r="K46" s="15" t="s">
        <v>47</v>
      </c>
      <c r="L46" s="16" t="s">
        <v>217</v>
      </c>
      <c r="M46" s="15">
        <f t="shared" ca="1" si="15"/>
        <v>65</v>
      </c>
      <c r="N46" s="31"/>
    </row>
    <row r="47" spans="1:14" ht="18" x14ac:dyDescent="0.35">
      <c r="A47" s="32">
        <v>46154</v>
      </c>
      <c r="B47" s="32">
        <v>46090</v>
      </c>
      <c r="C47" s="33" t="s">
        <v>84</v>
      </c>
      <c r="D47" s="33" t="s">
        <v>74</v>
      </c>
      <c r="E47" s="33" t="s">
        <v>20</v>
      </c>
      <c r="F47" s="34">
        <v>0</v>
      </c>
      <c r="G47" s="37"/>
      <c r="H47" s="36">
        <f t="shared" si="14"/>
        <v>71.97</v>
      </c>
      <c r="I47" s="36">
        <v>71.97</v>
      </c>
      <c r="J47" s="36">
        <v>952.71100000000001</v>
      </c>
      <c r="K47" s="38" t="s">
        <v>47</v>
      </c>
      <c r="L47" s="39" t="s">
        <v>50</v>
      </c>
      <c r="M47" s="15">
        <f t="shared" ca="1" si="15"/>
        <v>73</v>
      </c>
      <c r="N47" s="31"/>
    </row>
    <row r="48" spans="1:14" ht="18" x14ac:dyDescent="0.35">
      <c r="A48" s="9">
        <v>46154</v>
      </c>
      <c r="B48" s="9">
        <v>46071</v>
      </c>
      <c r="C48" s="11" t="s">
        <v>85</v>
      </c>
      <c r="D48" s="11" t="s">
        <v>86</v>
      </c>
      <c r="E48" s="11" t="s">
        <v>26</v>
      </c>
      <c r="F48" s="14">
        <v>-42.65</v>
      </c>
      <c r="G48" s="29"/>
      <c r="H48" s="14">
        <f t="shared" ref="H48" si="16">I48-F48</f>
        <v>232.11199999999999</v>
      </c>
      <c r="I48" s="14">
        <v>189.46199999999999</v>
      </c>
      <c r="J48" s="14">
        <v>800.98800000000006</v>
      </c>
      <c r="K48" s="15" t="s">
        <v>34</v>
      </c>
      <c r="L48" s="16" t="s">
        <v>217</v>
      </c>
      <c r="M48" s="15">
        <f t="shared" ref="M48" ca="1" si="17">TODAY()-B48</f>
        <v>92</v>
      </c>
      <c r="N48" s="31"/>
    </row>
    <row r="49" spans="1:14" ht="18" x14ac:dyDescent="0.35">
      <c r="A49" s="9">
        <v>46154</v>
      </c>
      <c r="B49" s="9">
        <v>45832</v>
      </c>
      <c r="C49" s="11" t="s">
        <v>87</v>
      </c>
      <c r="D49" s="11" t="s">
        <v>88</v>
      </c>
      <c r="E49" s="11" t="s">
        <v>26</v>
      </c>
      <c r="F49" s="14">
        <v>0</v>
      </c>
      <c r="G49" s="29"/>
      <c r="H49" s="14">
        <f t="shared" ref="H49:H50" si="18">I49-F49</f>
        <v>1E-3</v>
      </c>
      <c r="I49" s="14">
        <v>1E-3</v>
      </c>
      <c r="J49" s="14">
        <v>1526.6410000000001</v>
      </c>
      <c r="K49" s="15" t="s">
        <v>34</v>
      </c>
      <c r="L49" s="16" t="s">
        <v>217</v>
      </c>
      <c r="M49" s="15">
        <f t="shared" ref="M49:M50" ca="1" si="19">TODAY()-B49</f>
        <v>331</v>
      </c>
      <c r="N49" s="31"/>
    </row>
    <row r="50" spans="1:14" ht="18" x14ac:dyDescent="0.35">
      <c r="A50" s="9">
        <v>46154</v>
      </c>
      <c r="B50" s="9">
        <v>45903</v>
      </c>
      <c r="C50" s="11" t="s">
        <v>89</v>
      </c>
      <c r="D50" s="11" t="s">
        <v>88</v>
      </c>
      <c r="E50" s="11" t="s">
        <v>26</v>
      </c>
      <c r="F50" s="14">
        <f>1.051-50</f>
        <v>-48.948999999999998</v>
      </c>
      <c r="G50" s="29"/>
      <c r="H50" s="14">
        <f t="shared" si="18"/>
        <v>49.289000000000001</v>
      </c>
      <c r="I50" s="14">
        <v>0.34</v>
      </c>
      <c r="J50" s="14">
        <v>1046.06</v>
      </c>
      <c r="K50" s="15" t="s">
        <v>54</v>
      </c>
      <c r="L50" s="16" t="s">
        <v>217</v>
      </c>
      <c r="M50" s="15">
        <f t="shared" ca="1" si="19"/>
        <v>260</v>
      </c>
      <c r="N50" s="31"/>
    </row>
    <row r="51" spans="1:14" ht="18" x14ac:dyDescent="0.35">
      <c r="A51" s="40">
        <v>46154</v>
      </c>
      <c r="B51" s="40">
        <v>45922</v>
      </c>
      <c r="C51" s="41" t="s">
        <v>90</v>
      </c>
      <c r="D51" s="41" t="s">
        <v>91</v>
      </c>
      <c r="E51" s="41" t="s">
        <v>26</v>
      </c>
      <c r="F51" s="42">
        <v>-24.72</v>
      </c>
      <c r="G51" s="43"/>
      <c r="H51" s="42">
        <f t="shared" ref="H51" si="20">I51-F51</f>
        <v>24.721</v>
      </c>
      <c r="I51" s="14">
        <v>1E-3</v>
      </c>
      <c r="J51" s="14">
        <v>795.53</v>
      </c>
      <c r="K51" s="44" t="s">
        <v>58</v>
      </c>
      <c r="L51" s="16" t="s">
        <v>217</v>
      </c>
      <c r="M51" s="15">
        <f t="shared" ref="M51" ca="1" si="21">TODAY()-B51</f>
        <v>241</v>
      </c>
      <c r="N51" s="45"/>
    </row>
    <row r="52" spans="1:14" ht="18" x14ac:dyDescent="0.35">
      <c r="A52" s="9">
        <v>46154</v>
      </c>
      <c r="B52" s="9">
        <v>46086</v>
      </c>
      <c r="C52" s="11" t="s">
        <v>92</v>
      </c>
      <c r="D52" s="11" t="s">
        <v>93</v>
      </c>
      <c r="E52" s="11" t="s">
        <v>36</v>
      </c>
      <c r="F52" s="14">
        <v>-21.986000000000001</v>
      </c>
      <c r="G52" s="29"/>
      <c r="H52" s="14">
        <f t="shared" ref="H52" si="22">I52-F52</f>
        <v>35.5</v>
      </c>
      <c r="I52" s="14">
        <v>13.513999999999999</v>
      </c>
      <c r="J52" s="14">
        <v>496.86399999999998</v>
      </c>
      <c r="K52" s="15" t="s">
        <v>37</v>
      </c>
      <c r="L52" s="16" t="s">
        <v>217</v>
      </c>
      <c r="M52" s="15">
        <f t="shared" ref="M52" ca="1" si="23">TODAY()-B52</f>
        <v>77</v>
      </c>
      <c r="N52" s="31"/>
    </row>
    <row r="53" spans="1:14" ht="18" x14ac:dyDescent="0.35">
      <c r="A53" s="32">
        <v>46154</v>
      </c>
      <c r="B53" s="32">
        <v>45607</v>
      </c>
      <c r="C53" s="33" t="s">
        <v>94</v>
      </c>
      <c r="D53" s="33" t="s">
        <v>95</v>
      </c>
      <c r="E53" s="33" t="s">
        <v>26</v>
      </c>
      <c r="F53" s="36">
        <v>0</v>
      </c>
      <c r="G53" s="37"/>
      <c r="H53" s="36">
        <f t="shared" ref="H53:H54" si="24">I53-F53</f>
        <v>178.98</v>
      </c>
      <c r="I53" s="37">
        <v>178.98</v>
      </c>
      <c r="J53" s="36"/>
      <c r="K53" s="38" t="s">
        <v>42</v>
      </c>
      <c r="L53" s="39" t="s">
        <v>50</v>
      </c>
      <c r="M53" s="15">
        <f t="shared" ref="M53:M54" ca="1" si="25">TODAY()-B53</f>
        <v>556</v>
      </c>
      <c r="N53" s="31"/>
    </row>
    <row r="54" spans="1:14" ht="18" x14ac:dyDescent="0.35">
      <c r="A54" s="32">
        <v>46154</v>
      </c>
      <c r="B54" s="32">
        <v>45809</v>
      </c>
      <c r="C54" s="33" t="s">
        <v>96</v>
      </c>
      <c r="D54" s="33" t="s">
        <v>95</v>
      </c>
      <c r="E54" s="33" t="s">
        <v>26</v>
      </c>
      <c r="F54" s="36">
        <f>663.055-54-105-12-25</f>
        <v>467.05499999999995</v>
      </c>
      <c r="G54" s="37"/>
      <c r="H54" s="36">
        <f t="shared" si="24"/>
        <v>196</v>
      </c>
      <c r="I54" s="37">
        <v>663.05499999999995</v>
      </c>
      <c r="J54" s="36"/>
      <c r="K54" s="38" t="s">
        <v>42</v>
      </c>
      <c r="L54" s="39" t="s">
        <v>50</v>
      </c>
      <c r="M54" s="15">
        <f t="shared" ca="1" si="25"/>
        <v>354</v>
      </c>
      <c r="N54" s="31"/>
    </row>
    <row r="55" spans="1:14" ht="18" x14ac:dyDescent="0.35">
      <c r="A55" s="9">
        <v>46154</v>
      </c>
      <c r="B55" s="9">
        <v>45823</v>
      </c>
      <c r="C55" s="11" t="s">
        <v>97</v>
      </c>
      <c r="D55" s="11" t="s">
        <v>98</v>
      </c>
      <c r="E55" s="11" t="s">
        <v>26</v>
      </c>
      <c r="F55" s="14">
        <v>0</v>
      </c>
      <c r="G55" s="29"/>
      <c r="H55" s="14">
        <f t="shared" ref="H55:H59" si="26">I55-F55</f>
        <v>0.24299999999999999</v>
      </c>
      <c r="I55" s="14">
        <v>0.24299999999999999</v>
      </c>
      <c r="J55" s="14">
        <v>522.51300000000003</v>
      </c>
      <c r="K55" s="15" t="s">
        <v>34</v>
      </c>
      <c r="L55" s="16" t="s">
        <v>217</v>
      </c>
      <c r="M55" s="15">
        <f t="shared" ref="M55:M59" ca="1" si="27">TODAY()-B55</f>
        <v>340</v>
      </c>
      <c r="N55" s="31"/>
    </row>
    <row r="56" spans="1:14" ht="18" x14ac:dyDescent="0.35">
      <c r="A56" s="9">
        <v>46154</v>
      </c>
      <c r="B56" s="9">
        <v>45832</v>
      </c>
      <c r="C56" s="11" t="s">
        <v>99</v>
      </c>
      <c r="D56" s="11" t="s">
        <v>98</v>
      </c>
      <c r="E56" s="11" t="s">
        <v>26</v>
      </c>
      <c r="F56" s="14">
        <f>510.073-52.143-102-175+8.143-50-21-56-40-18</f>
        <v>4.0729999999999507</v>
      </c>
      <c r="G56" s="29"/>
      <c r="H56" s="14">
        <f t="shared" si="26"/>
        <v>0.3790000000000493</v>
      </c>
      <c r="I56" s="14">
        <v>4.452</v>
      </c>
      <c r="J56" s="14">
        <v>510.07299999999998</v>
      </c>
      <c r="K56" s="15" t="s">
        <v>34</v>
      </c>
      <c r="L56" s="16" t="s">
        <v>217</v>
      </c>
      <c r="M56" s="15">
        <f t="shared" ca="1" si="27"/>
        <v>331</v>
      </c>
      <c r="N56" s="31"/>
    </row>
    <row r="57" spans="1:14" ht="18" x14ac:dyDescent="0.35">
      <c r="A57" s="20">
        <v>46154</v>
      </c>
      <c r="B57" s="20">
        <v>46147</v>
      </c>
      <c r="C57" s="21" t="s">
        <v>100</v>
      </c>
      <c r="D57" s="21" t="s">
        <v>98</v>
      </c>
      <c r="E57" s="21" t="s">
        <v>26</v>
      </c>
      <c r="F57" s="24">
        <f>1731.193-1010-30-50</f>
        <v>641.19299999999998</v>
      </c>
      <c r="G57" s="46"/>
      <c r="H57" s="24">
        <f t="shared" si="26"/>
        <v>936.91000000000008</v>
      </c>
      <c r="I57" s="24">
        <v>1578.1030000000001</v>
      </c>
      <c r="J57" s="24">
        <v>1731.193</v>
      </c>
      <c r="K57" s="25" t="s">
        <v>34</v>
      </c>
      <c r="L57" s="26" t="s">
        <v>29</v>
      </c>
      <c r="M57" s="25">
        <f t="shared" ca="1" si="27"/>
        <v>16</v>
      </c>
      <c r="N57" s="31"/>
    </row>
    <row r="58" spans="1:14" ht="18" x14ac:dyDescent="0.35">
      <c r="A58" s="9">
        <v>46154</v>
      </c>
      <c r="B58" s="9">
        <v>46127</v>
      </c>
      <c r="C58" s="11" t="s">
        <v>101</v>
      </c>
      <c r="D58" s="11" t="s">
        <v>98</v>
      </c>
      <c r="E58" s="11" t="s">
        <v>20</v>
      </c>
      <c r="F58" s="14">
        <v>0</v>
      </c>
      <c r="G58" s="29"/>
      <c r="H58" s="14">
        <f t="shared" si="26"/>
        <v>40.256999999999998</v>
      </c>
      <c r="I58" s="14">
        <v>40.256999999999998</v>
      </c>
      <c r="J58" s="14">
        <v>715.29399999999998</v>
      </c>
      <c r="K58" s="15" t="s">
        <v>45</v>
      </c>
      <c r="L58" s="16" t="s">
        <v>217</v>
      </c>
      <c r="M58" s="15">
        <f t="shared" ca="1" si="27"/>
        <v>36</v>
      </c>
      <c r="N58" s="31"/>
    </row>
    <row r="59" spans="1:14" ht="18" x14ac:dyDescent="0.35">
      <c r="A59" s="20">
        <v>46154</v>
      </c>
      <c r="B59" s="20">
        <v>46144</v>
      </c>
      <c r="C59" s="21" t="s">
        <v>102</v>
      </c>
      <c r="D59" s="21" t="s">
        <v>98</v>
      </c>
      <c r="E59" s="21" t="s">
        <v>20</v>
      </c>
      <c r="F59" s="24">
        <f>950-318.063-75-105-65-53+30-25</f>
        <v>338.93700000000001</v>
      </c>
      <c r="G59" s="46"/>
      <c r="H59" s="24">
        <f t="shared" si="26"/>
        <v>272.34699999999998</v>
      </c>
      <c r="I59" s="24">
        <v>611.28399999999999</v>
      </c>
      <c r="J59" s="24">
        <v>948.20399999999995</v>
      </c>
      <c r="K59" s="25" t="s">
        <v>45</v>
      </c>
      <c r="L59" s="26" t="s">
        <v>29</v>
      </c>
      <c r="M59" s="25">
        <f t="shared" ca="1" si="27"/>
        <v>19</v>
      </c>
      <c r="N59" s="31"/>
    </row>
    <row r="60" spans="1:14" ht="18" x14ac:dyDescent="0.35">
      <c r="A60" s="9">
        <v>46154</v>
      </c>
      <c r="B60" s="9">
        <v>45999</v>
      </c>
      <c r="C60" s="11" t="s">
        <v>103</v>
      </c>
      <c r="D60" s="11" t="s">
        <v>104</v>
      </c>
      <c r="E60" s="11" t="s">
        <v>36</v>
      </c>
      <c r="F60" s="19">
        <v>0</v>
      </c>
      <c r="G60" s="13"/>
      <c r="H60" s="14">
        <f t="shared" ref="H60:H63" si="28">I60-F60</f>
        <v>5.4459999999999997</v>
      </c>
      <c r="I60" s="14">
        <v>5.4459999999999997</v>
      </c>
      <c r="J60" s="14">
        <v>1989.6610000000001</v>
      </c>
      <c r="K60" s="15" t="s">
        <v>37</v>
      </c>
      <c r="L60" s="16" t="s">
        <v>217</v>
      </c>
      <c r="M60" s="15">
        <f t="shared" ref="M60:M63" ca="1" si="29">TODAY()-B60</f>
        <v>164</v>
      </c>
      <c r="N60" s="31"/>
    </row>
    <row r="61" spans="1:14" ht="18" x14ac:dyDescent="0.35">
      <c r="A61" s="9">
        <v>46154</v>
      </c>
      <c r="B61" s="9">
        <v>46067</v>
      </c>
      <c r="C61" s="11" t="s">
        <v>105</v>
      </c>
      <c r="D61" s="11" t="s">
        <v>104</v>
      </c>
      <c r="E61" s="11" t="s">
        <v>36</v>
      </c>
      <c r="F61" s="19">
        <v>0</v>
      </c>
      <c r="G61" s="13"/>
      <c r="H61" s="14">
        <f t="shared" si="28"/>
        <v>10.57</v>
      </c>
      <c r="I61" s="14">
        <v>10.57</v>
      </c>
      <c r="J61" s="14">
        <v>2000</v>
      </c>
      <c r="K61" s="15" t="s">
        <v>37</v>
      </c>
      <c r="L61" s="16" t="s">
        <v>217</v>
      </c>
      <c r="M61" s="15">
        <f t="shared" ca="1" si="29"/>
        <v>96</v>
      </c>
      <c r="N61" s="31"/>
    </row>
    <row r="62" spans="1:14" ht="18" x14ac:dyDescent="0.35">
      <c r="A62" s="9">
        <v>46154</v>
      </c>
      <c r="B62" s="9">
        <v>46148</v>
      </c>
      <c r="C62" s="11" t="s">
        <v>106</v>
      </c>
      <c r="D62" s="11" t="s">
        <v>104</v>
      </c>
      <c r="E62" s="11" t="s">
        <v>36</v>
      </c>
      <c r="F62" s="19">
        <f>2099.561-336-60-10</f>
        <v>1693.5610000000001</v>
      </c>
      <c r="G62" s="13"/>
      <c r="H62" s="14">
        <f t="shared" si="28"/>
        <v>369.26600000000008</v>
      </c>
      <c r="I62" s="14">
        <v>2062.8270000000002</v>
      </c>
      <c r="J62" s="14">
        <v>2099.5610000000001</v>
      </c>
      <c r="K62" s="15" t="s">
        <v>37</v>
      </c>
      <c r="L62" s="16" t="s">
        <v>217</v>
      </c>
      <c r="M62" s="15">
        <f t="shared" ca="1" si="29"/>
        <v>15</v>
      </c>
      <c r="N62" s="31"/>
    </row>
    <row r="63" spans="1:14" ht="18" x14ac:dyDescent="0.35">
      <c r="A63" s="9">
        <v>46154</v>
      </c>
      <c r="B63" s="9">
        <v>45948</v>
      </c>
      <c r="C63" s="11" t="s">
        <v>107</v>
      </c>
      <c r="D63" s="11" t="s">
        <v>104</v>
      </c>
      <c r="E63" s="11" t="s">
        <v>26</v>
      </c>
      <c r="F63" s="19">
        <f>93.71-60-25</f>
        <v>8.7099999999999937</v>
      </c>
      <c r="G63" s="13"/>
      <c r="H63" s="14">
        <f t="shared" si="28"/>
        <v>2.3520000000000056</v>
      </c>
      <c r="I63" s="14">
        <v>11.061999999999999</v>
      </c>
      <c r="J63" s="14">
        <v>4979.1419999999998</v>
      </c>
      <c r="K63" s="15" t="s">
        <v>34</v>
      </c>
      <c r="L63" s="16" t="s">
        <v>217</v>
      </c>
      <c r="M63" s="15">
        <f t="shared" ca="1" si="29"/>
        <v>215</v>
      </c>
      <c r="N63" s="31"/>
    </row>
    <row r="64" spans="1:14" ht="18" x14ac:dyDescent="0.35">
      <c r="A64" s="9">
        <v>46154</v>
      </c>
      <c r="B64" s="9">
        <v>46123</v>
      </c>
      <c r="C64" s="11" t="s">
        <v>108</v>
      </c>
      <c r="D64" s="11" t="s">
        <v>109</v>
      </c>
      <c r="E64" s="11" t="s">
        <v>26</v>
      </c>
      <c r="F64" s="19">
        <f>139.387-60+45-30-100</f>
        <v>-5.6129999999999995</v>
      </c>
      <c r="G64" s="13"/>
      <c r="H64" s="14">
        <f t="shared" ref="H64" si="30">I64-F64</f>
        <v>413.96</v>
      </c>
      <c r="I64" s="14">
        <v>408.34699999999998</v>
      </c>
      <c r="J64" s="14">
        <v>999.42700000000002</v>
      </c>
      <c r="K64" s="15" t="s">
        <v>58</v>
      </c>
      <c r="L64" s="16" t="s">
        <v>217</v>
      </c>
      <c r="M64" s="15">
        <f t="shared" ref="M64" ca="1" si="31">TODAY()-B64</f>
        <v>40</v>
      </c>
      <c r="N64" s="31"/>
    </row>
    <row r="65" spans="1:14" ht="18" x14ac:dyDescent="0.35">
      <c r="A65" s="9">
        <v>46154</v>
      </c>
      <c r="B65" s="9">
        <v>46068</v>
      </c>
      <c r="C65" s="11" t="s">
        <v>110</v>
      </c>
      <c r="D65" s="11" t="s">
        <v>111</v>
      </c>
      <c r="E65" s="11" t="s">
        <v>26</v>
      </c>
      <c r="F65" s="19">
        <f>106.651-15-25</f>
        <v>66.650999999999996</v>
      </c>
      <c r="G65" s="13"/>
      <c r="H65" s="14">
        <f t="shared" ref="H65" si="32">I65-F65</f>
        <v>49.27000000000001</v>
      </c>
      <c r="I65" s="14">
        <v>115.92100000000001</v>
      </c>
      <c r="J65" s="14">
        <v>426.50099999999998</v>
      </c>
      <c r="K65" s="15" t="s">
        <v>34</v>
      </c>
      <c r="L65" s="16" t="s">
        <v>217</v>
      </c>
      <c r="M65" s="15">
        <f t="shared" ref="M65" ca="1" si="33">TODAY()-B65</f>
        <v>95</v>
      </c>
      <c r="N65" s="31"/>
    </row>
    <row r="66" spans="1:14" ht="18" x14ac:dyDescent="0.35">
      <c r="A66" s="9">
        <v>46154</v>
      </c>
      <c r="B66" s="9">
        <v>46013</v>
      </c>
      <c r="C66" s="11" t="s">
        <v>112</v>
      </c>
      <c r="D66" s="11" t="s">
        <v>113</v>
      </c>
      <c r="E66" s="11" t="s">
        <v>26</v>
      </c>
      <c r="F66" s="14">
        <v>30.721</v>
      </c>
      <c r="G66" s="28"/>
      <c r="H66" s="14">
        <f t="shared" ref="H66:H82" si="34">I66-F66</f>
        <v>21.148999999999997</v>
      </c>
      <c r="I66" s="14">
        <v>51.87</v>
      </c>
      <c r="J66" s="14">
        <v>2838.95</v>
      </c>
      <c r="K66" s="15" t="s">
        <v>42</v>
      </c>
      <c r="L66" s="16" t="s">
        <v>217</v>
      </c>
      <c r="M66" s="15">
        <f t="shared" ref="M66:M82" ca="1" si="35">TODAY()-B66</f>
        <v>150</v>
      </c>
      <c r="N66" s="31"/>
    </row>
    <row r="67" spans="1:14" ht="18" x14ac:dyDescent="0.35">
      <c r="A67" s="9">
        <v>46154</v>
      </c>
      <c r="B67" s="9">
        <v>46091</v>
      </c>
      <c r="C67" s="11" t="s">
        <v>114</v>
      </c>
      <c r="D67" s="11" t="s">
        <v>113</v>
      </c>
      <c r="E67" s="11" t="s">
        <v>26</v>
      </c>
      <c r="F67" s="14">
        <f>1570.567-208.51</f>
        <v>1362.057</v>
      </c>
      <c r="G67" s="28"/>
      <c r="H67" s="14">
        <f t="shared" si="34"/>
        <v>105.30099999999993</v>
      </c>
      <c r="I67" s="14">
        <v>1467.3579999999999</v>
      </c>
      <c r="J67" s="14">
        <v>1575</v>
      </c>
      <c r="K67" s="15" t="s">
        <v>34</v>
      </c>
      <c r="L67" s="16" t="s">
        <v>217</v>
      </c>
      <c r="M67" s="15">
        <f t="shared" ca="1" si="35"/>
        <v>72</v>
      </c>
      <c r="N67" s="31"/>
    </row>
    <row r="68" spans="1:14" ht="18" x14ac:dyDescent="0.35">
      <c r="A68" s="9">
        <v>46154</v>
      </c>
      <c r="B68" s="9">
        <v>46095</v>
      </c>
      <c r="C68" s="11" t="s">
        <v>115</v>
      </c>
      <c r="D68" s="11" t="s">
        <v>113</v>
      </c>
      <c r="E68" s="11" t="s">
        <v>26</v>
      </c>
      <c r="F68" s="14">
        <f>1275.926-195-84-270-55-85-160-25-115</f>
        <v>286.92599999999993</v>
      </c>
      <c r="G68" s="28"/>
      <c r="H68" s="14">
        <f t="shared" si="34"/>
        <v>518.25000000000011</v>
      </c>
      <c r="I68" s="14">
        <v>805.17600000000004</v>
      </c>
      <c r="J68" s="14">
        <v>1275.9259999999999</v>
      </c>
      <c r="K68" s="15" t="s">
        <v>34</v>
      </c>
      <c r="L68" s="16" t="s">
        <v>217</v>
      </c>
      <c r="M68" s="15">
        <f t="shared" ca="1" si="35"/>
        <v>68</v>
      </c>
      <c r="N68" s="31"/>
    </row>
    <row r="69" spans="1:14" ht="18" x14ac:dyDescent="0.35">
      <c r="A69" s="9">
        <v>46154</v>
      </c>
      <c r="B69" s="9">
        <v>46095</v>
      </c>
      <c r="C69" s="11" t="s">
        <v>116</v>
      </c>
      <c r="D69" s="11" t="s">
        <v>113</v>
      </c>
      <c r="E69" s="11" t="s">
        <v>26</v>
      </c>
      <c r="F69" s="14">
        <v>0</v>
      </c>
      <c r="G69" s="28"/>
      <c r="H69" s="14">
        <f t="shared" si="34"/>
        <v>41.32</v>
      </c>
      <c r="I69" s="14">
        <v>41.32</v>
      </c>
      <c r="J69" s="14">
        <v>1000</v>
      </c>
      <c r="K69" s="15" t="s">
        <v>58</v>
      </c>
      <c r="L69" s="16" t="s">
        <v>217</v>
      </c>
      <c r="M69" s="15">
        <f t="shared" ca="1" si="35"/>
        <v>68</v>
      </c>
      <c r="N69" s="31"/>
    </row>
    <row r="70" spans="1:14" ht="18" x14ac:dyDescent="0.35">
      <c r="A70" s="9">
        <v>46154</v>
      </c>
      <c r="B70" s="9">
        <v>46136</v>
      </c>
      <c r="C70" s="11" t="s">
        <v>117</v>
      </c>
      <c r="D70" s="11" t="s">
        <v>113</v>
      </c>
      <c r="E70" s="11" t="s">
        <v>26</v>
      </c>
      <c r="F70" s="14">
        <f>1970.256</f>
        <v>1970.2560000000001</v>
      </c>
      <c r="G70" s="28"/>
      <c r="H70" s="14">
        <f t="shared" si="34"/>
        <v>0</v>
      </c>
      <c r="I70" s="14">
        <f>1960.109+10.147</f>
        <v>1970.2559999999999</v>
      </c>
      <c r="J70" s="14">
        <v>1984.7159999999999</v>
      </c>
      <c r="K70" s="15" t="s">
        <v>118</v>
      </c>
      <c r="L70" s="16" t="s">
        <v>217</v>
      </c>
      <c r="M70" s="15">
        <f t="shared" ca="1" si="35"/>
        <v>27</v>
      </c>
      <c r="N70" s="31"/>
    </row>
    <row r="71" spans="1:14" ht="18" x14ac:dyDescent="0.35">
      <c r="A71" s="32">
        <v>46154</v>
      </c>
      <c r="B71" s="32">
        <v>46045</v>
      </c>
      <c r="C71" s="33" t="s">
        <v>119</v>
      </c>
      <c r="D71" s="33" t="s">
        <v>113</v>
      </c>
      <c r="E71" s="33" t="s">
        <v>26</v>
      </c>
      <c r="F71" s="34">
        <v>251.68100000000001</v>
      </c>
      <c r="G71" s="35"/>
      <c r="H71" s="36">
        <f t="shared" si="34"/>
        <v>74.84</v>
      </c>
      <c r="I71" s="36">
        <v>326.52100000000002</v>
      </c>
      <c r="J71" s="36">
        <v>2084.1410000000001</v>
      </c>
      <c r="K71" s="38" t="s">
        <v>34</v>
      </c>
      <c r="L71" s="39" t="s">
        <v>50</v>
      </c>
      <c r="M71" s="38">
        <f t="shared" ca="1" si="35"/>
        <v>118</v>
      </c>
      <c r="N71" s="31"/>
    </row>
    <row r="72" spans="1:14" ht="18" x14ac:dyDescent="0.35">
      <c r="A72" s="32">
        <v>46154</v>
      </c>
      <c r="B72" s="32">
        <v>46085</v>
      </c>
      <c r="C72" s="33" t="s">
        <v>120</v>
      </c>
      <c r="D72" s="33" t="s">
        <v>113</v>
      </c>
      <c r="E72" s="33" t="s">
        <v>26</v>
      </c>
      <c r="F72" s="34">
        <v>3659.5459999999998</v>
      </c>
      <c r="G72" s="35"/>
      <c r="H72" s="36">
        <f t="shared" si="34"/>
        <v>333.68000000000029</v>
      </c>
      <c r="I72" s="36">
        <v>3993.2260000000001</v>
      </c>
      <c r="J72" s="36">
        <v>5700</v>
      </c>
      <c r="K72" s="38" t="s">
        <v>121</v>
      </c>
      <c r="L72" s="39" t="s">
        <v>50</v>
      </c>
      <c r="M72" s="38">
        <f t="shared" ca="1" si="35"/>
        <v>78</v>
      </c>
      <c r="N72" s="31"/>
    </row>
    <row r="73" spans="1:14" ht="18" x14ac:dyDescent="0.35">
      <c r="A73" s="9">
        <v>46154</v>
      </c>
      <c r="B73" s="9">
        <v>46009</v>
      </c>
      <c r="C73" s="11" t="s">
        <v>122</v>
      </c>
      <c r="D73" s="11" t="s">
        <v>113</v>
      </c>
      <c r="E73" s="11" t="s">
        <v>36</v>
      </c>
      <c r="F73" s="19">
        <v>0</v>
      </c>
      <c r="G73" s="13"/>
      <c r="H73" s="14">
        <f t="shared" si="34"/>
        <v>0.751</v>
      </c>
      <c r="I73" s="14">
        <v>0.751</v>
      </c>
      <c r="J73" s="14">
        <v>1416.0609999999999</v>
      </c>
      <c r="K73" s="15" t="s">
        <v>37</v>
      </c>
      <c r="L73" s="16" t="s">
        <v>217</v>
      </c>
      <c r="M73" s="15">
        <f t="shared" ca="1" si="35"/>
        <v>154</v>
      </c>
      <c r="N73" s="31"/>
    </row>
    <row r="74" spans="1:14" ht="18" x14ac:dyDescent="0.35">
      <c r="A74" s="9">
        <v>46154</v>
      </c>
      <c r="B74" s="9">
        <v>46082</v>
      </c>
      <c r="C74" s="11" t="s">
        <v>123</v>
      </c>
      <c r="D74" s="11" t="s">
        <v>113</v>
      </c>
      <c r="E74" s="11" t="s">
        <v>36</v>
      </c>
      <c r="F74" s="19">
        <v>0</v>
      </c>
      <c r="G74" s="13"/>
      <c r="H74" s="14">
        <f t="shared" si="34"/>
        <v>501.94099999999986</v>
      </c>
      <c r="I74" s="14">
        <f>1350.001-125.19-24.63-53.5-103.2-59.3-79.56-276.64-126.04</f>
        <v>501.94099999999986</v>
      </c>
      <c r="J74" s="14">
        <v>1895.021</v>
      </c>
      <c r="K74" s="15" t="s">
        <v>37</v>
      </c>
      <c r="L74" s="16" t="s">
        <v>217</v>
      </c>
      <c r="M74" s="15">
        <f t="shared" ca="1" si="35"/>
        <v>81</v>
      </c>
      <c r="N74" s="31"/>
    </row>
    <row r="75" spans="1:14" ht="18" x14ac:dyDescent="0.35">
      <c r="A75" s="9">
        <v>46154</v>
      </c>
      <c r="B75" s="9">
        <v>46082</v>
      </c>
      <c r="C75" s="11" t="s">
        <v>124</v>
      </c>
      <c r="D75" s="11" t="s">
        <v>113</v>
      </c>
      <c r="E75" s="11" t="s">
        <v>36</v>
      </c>
      <c r="F75" s="19">
        <f>1904.769-118-700-160</f>
        <v>926.76900000000001</v>
      </c>
      <c r="G75" s="13"/>
      <c r="H75" s="14">
        <f t="shared" si="34"/>
        <v>978</v>
      </c>
      <c r="I75" s="14">
        <v>1904.769</v>
      </c>
      <c r="J75" s="14">
        <v>1904.769</v>
      </c>
      <c r="K75" s="15" t="s">
        <v>37</v>
      </c>
      <c r="L75" s="16" t="s">
        <v>217</v>
      </c>
      <c r="M75" s="15">
        <f t="shared" ca="1" si="35"/>
        <v>81</v>
      </c>
      <c r="N75" s="31"/>
    </row>
    <row r="76" spans="1:14" ht="18" x14ac:dyDescent="0.35">
      <c r="A76" s="32">
        <v>46154</v>
      </c>
      <c r="B76" s="32">
        <v>46041</v>
      </c>
      <c r="C76" s="33" t="s">
        <v>125</v>
      </c>
      <c r="D76" s="33" t="s">
        <v>113</v>
      </c>
      <c r="E76" s="33" t="s">
        <v>36</v>
      </c>
      <c r="F76" s="34">
        <v>0</v>
      </c>
      <c r="G76" s="35"/>
      <c r="H76" s="36">
        <f t="shared" si="34"/>
        <v>4.9580000000000002</v>
      </c>
      <c r="I76" s="36">
        <v>4.9580000000000002</v>
      </c>
      <c r="J76" s="36">
        <v>1007.468</v>
      </c>
      <c r="K76" s="38" t="s">
        <v>37</v>
      </c>
      <c r="L76" s="39" t="s">
        <v>50</v>
      </c>
      <c r="M76" s="38">
        <f t="shared" ca="1" si="35"/>
        <v>122</v>
      </c>
      <c r="N76" s="31"/>
    </row>
    <row r="77" spans="1:14" ht="18" x14ac:dyDescent="0.35">
      <c r="A77" s="32">
        <v>46154</v>
      </c>
      <c r="B77" s="32">
        <v>46041</v>
      </c>
      <c r="C77" s="33" t="s">
        <v>126</v>
      </c>
      <c r="D77" s="33" t="s">
        <v>113</v>
      </c>
      <c r="E77" s="33" t="s">
        <v>36</v>
      </c>
      <c r="F77" s="34">
        <v>0</v>
      </c>
      <c r="G77" s="35"/>
      <c r="H77" s="36">
        <f t="shared" si="34"/>
        <v>0.30399999999999999</v>
      </c>
      <c r="I77" s="36">
        <v>0.30399999999999999</v>
      </c>
      <c r="J77" s="36">
        <v>2999.3339999999998</v>
      </c>
      <c r="K77" s="38" t="s">
        <v>37</v>
      </c>
      <c r="L77" s="39" t="s">
        <v>50</v>
      </c>
      <c r="M77" s="38">
        <f t="shared" ca="1" si="35"/>
        <v>122</v>
      </c>
      <c r="N77" s="31"/>
    </row>
    <row r="78" spans="1:14" ht="18" x14ac:dyDescent="0.35">
      <c r="A78" s="32">
        <v>46154</v>
      </c>
      <c r="B78" s="32">
        <v>46078</v>
      </c>
      <c r="C78" s="33" t="s">
        <v>127</v>
      </c>
      <c r="D78" s="33" t="s">
        <v>113</v>
      </c>
      <c r="E78" s="33" t="s">
        <v>36</v>
      </c>
      <c r="F78" s="34">
        <v>-77.524000000000001</v>
      </c>
      <c r="G78" s="35"/>
      <c r="H78" s="36">
        <f t="shared" si="34"/>
        <v>84.308000000000007</v>
      </c>
      <c r="I78" s="36">
        <v>6.7839999999999998</v>
      </c>
      <c r="J78" s="36">
        <v>1010.135</v>
      </c>
      <c r="K78" s="38" t="s">
        <v>37</v>
      </c>
      <c r="L78" s="39" t="s">
        <v>50</v>
      </c>
      <c r="M78" s="38">
        <f t="shared" ca="1" si="35"/>
        <v>85</v>
      </c>
      <c r="N78" s="31"/>
    </row>
    <row r="79" spans="1:14" ht="18" x14ac:dyDescent="0.35">
      <c r="A79" s="32">
        <v>46154</v>
      </c>
      <c r="B79" s="32">
        <v>46078</v>
      </c>
      <c r="C79" s="33" t="s">
        <v>128</v>
      </c>
      <c r="D79" s="33" t="s">
        <v>113</v>
      </c>
      <c r="E79" s="33" t="s">
        <v>36</v>
      </c>
      <c r="F79" s="34">
        <v>0</v>
      </c>
      <c r="G79" s="35"/>
      <c r="H79" s="36">
        <f t="shared" si="34"/>
        <v>3.202</v>
      </c>
      <c r="I79" s="36">
        <v>3.202</v>
      </c>
      <c r="J79" s="36">
        <v>1992.1869999999999</v>
      </c>
      <c r="K79" s="38" t="s">
        <v>37</v>
      </c>
      <c r="L79" s="39" t="s">
        <v>50</v>
      </c>
      <c r="M79" s="38">
        <f t="shared" ca="1" si="35"/>
        <v>85</v>
      </c>
      <c r="N79" s="31"/>
    </row>
    <row r="80" spans="1:14" ht="18" x14ac:dyDescent="0.35">
      <c r="A80" s="9">
        <v>46154</v>
      </c>
      <c r="B80" s="9">
        <v>46060</v>
      </c>
      <c r="C80" s="11" t="s">
        <v>129</v>
      </c>
      <c r="D80" s="11" t="s">
        <v>113</v>
      </c>
      <c r="E80" s="11" t="s">
        <v>20</v>
      </c>
      <c r="F80" s="19">
        <v>0</v>
      </c>
      <c r="G80" s="13"/>
      <c r="H80" s="14">
        <f t="shared" si="34"/>
        <v>61.905999999999999</v>
      </c>
      <c r="I80" s="14">
        <v>61.905999999999999</v>
      </c>
      <c r="J80" s="14">
        <v>1911.7260000000001</v>
      </c>
      <c r="K80" s="15" t="s">
        <v>45</v>
      </c>
      <c r="L80" s="16" t="s">
        <v>217</v>
      </c>
      <c r="M80" s="15">
        <f t="shared" ca="1" si="35"/>
        <v>103</v>
      </c>
      <c r="N80" s="31"/>
    </row>
    <row r="81" spans="1:14" ht="18" x14ac:dyDescent="0.35">
      <c r="A81" s="9">
        <v>46154</v>
      </c>
      <c r="B81" s="9">
        <v>46131</v>
      </c>
      <c r="C81" s="11" t="s">
        <v>130</v>
      </c>
      <c r="D81" s="11" t="s">
        <v>113</v>
      </c>
      <c r="E81" s="11" t="s">
        <v>20</v>
      </c>
      <c r="F81" s="19">
        <f>1048.539-178-216-510-50-73-16-250</f>
        <v>-244.46100000000001</v>
      </c>
      <c r="G81" s="13"/>
      <c r="H81" s="14">
        <f t="shared" si="34"/>
        <v>457.12599999999998</v>
      </c>
      <c r="I81" s="14">
        <v>212.66499999999999</v>
      </c>
      <c r="J81" s="14">
        <v>1048.539</v>
      </c>
      <c r="K81" s="15" t="s">
        <v>45</v>
      </c>
      <c r="L81" s="16" t="s">
        <v>217</v>
      </c>
      <c r="M81" s="15">
        <f t="shared" ca="1" si="35"/>
        <v>32</v>
      </c>
      <c r="N81" s="31"/>
    </row>
    <row r="82" spans="1:14" ht="18" x14ac:dyDescent="0.35">
      <c r="A82" s="9">
        <v>46154</v>
      </c>
      <c r="B82" s="9">
        <v>46086</v>
      </c>
      <c r="C82" s="11" t="s">
        <v>131</v>
      </c>
      <c r="D82" s="11" t="s">
        <v>113</v>
      </c>
      <c r="E82" s="11" t="s">
        <v>132</v>
      </c>
      <c r="F82" s="19">
        <f>93.713-120</f>
        <v>-26.287000000000006</v>
      </c>
      <c r="G82" s="13"/>
      <c r="H82" s="14">
        <f t="shared" si="34"/>
        <v>619.56500000000005</v>
      </c>
      <c r="I82" s="14">
        <v>593.27800000000002</v>
      </c>
      <c r="J82" s="14">
        <v>2100</v>
      </c>
      <c r="K82" s="15" t="s">
        <v>133</v>
      </c>
      <c r="L82" s="16" t="s">
        <v>217</v>
      </c>
      <c r="M82" s="15">
        <f t="shared" ca="1" si="35"/>
        <v>77</v>
      </c>
      <c r="N82" s="31"/>
    </row>
    <row r="83" spans="1:14" ht="19.5" customHeight="1" x14ac:dyDescent="0.35">
      <c r="A83" s="9">
        <v>46154</v>
      </c>
      <c r="B83" s="9">
        <v>46107</v>
      </c>
      <c r="C83" s="30" t="s">
        <v>134</v>
      </c>
      <c r="D83" s="11" t="s">
        <v>135</v>
      </c>
      <c r="E83" s="11" t="s">
        <v>36</v>
      </c>
      <c r="F83" s="19">
        <f>500-156-100-155+120+60+30+40-110-100-75-100-30-50+30</f>
        <v>-96</v>
      </c>
      <c r="G83" s="29"/>
      <c r="H83" s="14">
        <f t="shared" ref="H83:H84" si="36">I83-F83</f>
        <v>201.03800000000001</v>
      </c>
      <c r="I83" s="14">
        <v>105.038</v>
      </c>
      <c r="J83" s="14">
        <v>500</v>
      </c>
      <c r="K83" s="15" t="s">
        <v>37</v>
      </c>
      <c r="L83" s="16" t="s">
        <v>217</v>
      </c>
      <c r="M83" s="15">
        <f t="shared" ref="M83:M84" ca="1" si="37">TODAY()-B83</f>
        <v>56</v>
      </c>
      <c r="N83" s="31"/>
    </row>
    <row r="84" spans="1:14" ht="19.5" customHeight="1" x14ac:dyDescent="0.35">
      <c r="A84" s="20">
        <v>46154</v>
      </c>
      <c r="B84" s="20">
        <v>46140</v>
      </c>
      <c r="C84" s="21" t="s">
        <v>136</v>
      </c>
      <c r="D84" s="21" t="s">
        <v>135</v>
      </c>
      <c r="E84" s="21" t="s">
        <v>36</v>
      </c>
      <c r="F84" s="22">
        <f>1494.536-60-175-30-23-200+32.4-20-152</f>
        <v>866.93600000000015</v>
      </c>
      <c r="G84" s="46"/>
      <c r="H84" s="24">
        <f t="shared" si="36"/>
        <v>499.2199999999998</v>
      </c>
      <c r="I84" s="24">
        <v>1366.1559999999999</v>
      </c>
      <c r="J84" s="24">
        <v>1494.5360000000001</v>
      </c>
      <c r="K84" s="25" t="s">
        <v>37</v>
      </c>
      <c r="L84" s="26" t="s">
        <v>29</v>
      </c>
      <c r="M84" s="25">
        <f t="shared" ca="1" si="37"/>
        <v>23</v>
      </c>
      <c r="N84" s="31"/>
    </row>
    <row r="85" spans="1:14" ht="18" x14ac:dyDescent="0.35">
      <c r="A85" s="9">
        <v>46154</v>
      </c>
      <c r="B85" s="9">
        <v>45989</v>
      </c>
      <c r="C85" s="11" t="s">
        <v>137</v>
      </c>
      <c r="D85" s="11" t="s">
        <v>138</v>
      </c>
      <c r="E85" s="11" t="s">
        <v>26</v>
      </c>
      <c r="F85" s="19">
        <v>0</v>
      </c>
      <c r="G85" s="13"/>
      <c r="H85" s="14">
        <f t="shared" ref="H85:H86" si="38">I85-F85</f>
        <v>0.49399999999999999</v>
      </c>
      <c r="I85" s="14">
        <v>0.49399999999999999</v>
      </c>
      <c r="J85" s="14">
        <v>487.03500000000003</v>
      </c>
      <c r="K85" s="15" t="s">
        <v>34</v>
      </c>
      <c r="L85" s="16" t="s">
        <v>217</v>
      </c>
      <c r="M85" s="15">
        <f t="shared" ref="M85:M86" ca="1" si="39">TODAY()-B85</f>
        <v>174</v>
      </c>
      <c r="N85" s="31"/>
    </row>
    <row r="86" spans="1:14" ht="18" x14ac:dyDescent="0.35">
      <c r="A86" s="9">
        <v>46154</v>
      </c>
      <c r="B86" s="9">
        <v>46069</v>
      </c>
      <c r="C86" s="11" t="s">
        <v>139</v>
      </c>
      <c r="D86" s="11" t="s">
        <v>138</v>
      </c>
      <c r="E86" s="11" t="s">
        <v>36</v>
      </c>
      <c r="F86" s="19">
        <v>-2.8660000000000001</v>
      </c>
      <c r="G86" s="13"/>
      <c r="H86" s="14">
        <f t="shared" si="38"/>
        <v>4.149</v>
      </c>
      <c r="I86" s="14">
        <v>1.2829999999999999</v>
      </c>
      <c r="J86" s="14">
        <v>300</v>
      </c>
      <c r="K86" s="15" t="s">
        <v>37</v>
      </c>
      <c r="L86" s="16" t="s">
        <v>217</v>
      </c>
      <c r="M86" s="15">
        <f t="shared" ca="1" si="39"/>
        <v>94</v>
      </c>
      <c r="N86" s="31"/>
    </row>
    <row r="87" spans="1:14" ht="18" x14ac:dyDescent="0.35">
      <c r="A87" s="9">
        <v>46154</v>
      </c>
      <c r="B87" s="9">
        <v>46075</v>
      </c>
      <c r="C87" s="11" t="s">
        <v>140</v>
      </c>
      <c r="D87" s="11" t="s">
        <v>141</v>
      </c>
      <c r="E87" s="11" t="s">
        <v>36</v>
      </c>
      <c r="F87" s="19">
        <v>0</v>
      </c>
      <c r="G87" s="13"/>
      <c r="H87" s="14">
        <f t="shared" ref="H87:H89" si="40">I87-F87</f>
        <v>12.398</v>
      </c>
      <c r="I87" s="14">
        <v>12.398</v>
      </c>
      <c r="J87" s="14">
        <v>1045.711</v>
      </c>
      <c r="K87" s="15" t="s">
        <v>37</v>
      </c>
      <c r="L87" s="16" t="s">
        <v>217</v>
      </c>
      <c r="M87" s="15">
        <f t="shared" ref="M87:M89" ca="1" si="41">TODAY()-B87</f>
        <v>88</v>
      </c>
      <c r="N87" s="31"/>
    </row>
    <row r="88" spans="1:14" ht="18" x14ac:dyDescent="0.35">
      <c r="A88" s="9">
        <v>46154</v>
      </c>
      <c r="B88" s="9">
        <v>46131</v>
      </c>
      <c r="C88" s="11" t="s">
        <v>142</v>
      </c>
      <c r="D88" s="11" t="s">
        <v>141</v>
      </c>
      <c r="E88" s="11" t="s">
        <v>36</v>
      </c>
      <c r="F88" s="19">
        <f>472.89-100-22+22-25-45-20-128</f>
        <v>154.88999999999999</v>
      </c>
      <c r="G88" s="13"/>
      <c r="H88" s="14">
        <f t="shared" si="40"/>
        <v>256.05</v>
      </c>
      <c r="I88" s="14">
        <v>410.94</v>
      </c>
      <c r="J88" s="14">
        <v>472.89</v>
      </c>
      <c r="K88" s="15" t="s">
        <v>37</v>
      </c>
      <c r="L88" s="16" t="s">
        <v>217</v>
      </c>
      <c r="M88" s="15">
        <f t="shared" ca="1" si="41"/>
        <v>32</v>
      </c>
      <c r="N88" s="31"/>
    </row>
    <row r="89" spans="1:14" ht="18" x14ac:dyDescent="0.35">
      <c r="A89" s="9">
        <v>46154</v>
      </c>
      <c r="B89" s="9">
        <v>46128</v>
      </c>
      <c r="C89" s="11" t="s">
        <v>143</v>
      </c>
      <c r="D89" s="11" t="s">
        <v>141</v>
      </c>
      <c r="E89" s="11" t="s">
        <v>14</v>
      </c>
      <c r="F89" s="19">
        <f>948.442-200-27-21-14.5-46-25-35-12-10</f>
        <v>557.94200000000001</v>
      </c>
      <c r="G89" s="13"/>
      <c r="H89" s="14">
        <f t="shared" si="40"/>
        <v>211.31999999999994</v>
      </c>
      <c r="I89" s="14">
        <v>769.26199999999994</v>
      </c>
      <c r="J89" s="14">
        <v>948.44200000000001</v>
      </c>
      <c r="K89" s="15" t="s">
        <v>45</v>
      </c>
      <c r="L89" s="16" t="s">
        <v>217</v>
      </c>
      <c r="M89" s="15">
        <f t="shared" ca="1" si="41"/>
        <v>35</v>
      </c>
      <c r="N89" s="31"/>
    </row>
    <row r="90" spans="1:14" ht="18" x14ac:dyDescent="0.35">
      <c r="A90" s="9">
        <v>46154</v>
      </c>
      <c r="B90" s="9">
        <v>45937</v>
      </c>
      <c r="C90" s="11" t="s">
        <v>144</v>
      </c>
      <c r="D90" s="11" t="s">
        <v>145</v>
      </c>
      <c r="E90" s="11" t="s">
        <v>26</v>
      </c>
      <c r="F90" s="19">
        <v>19.943999999999999</v>
      </c>
      <c r="G90" s="13"/>
      <c r="H90" s="14">
        <f t="shared" ref="H90:H99" si="42">I90-F90</f>
        <v>0</v>
      </c>
      <c r="I90" s="14">
        <v>19.943999999999999</v>
      </c>
      <c r="J90" s="14">
        <v>3136.0839999999998</v>
      </c>
      <c r="K90" s="15" t="s">
        <v>34</v>
      </c>
      <c r="L90" s="16" t="s">
        <v>217</v>
      </c>
      <c r="M90" s="15">
        <f t="shared" ref="M90:M100" ca="1" si="43">TODAY()-B90</f>
        <v>226</v>
      </c>
      <c r="N90" s="31"/>
    </row>
    <row r="91" spans="1:14" ht="18" x14ac:dyDescent="0.35">
      <c r="A91" s="9">
        <v>46154</v>
      </c>
      <c r="B91" s="9">
        <v>46054</v>
      </c>
      <c r="C91" s="11" t="s">
        <v>146</v>
      </c>
      <c r="D91" s="11" t="s">
        <v>145</v>
      </c>
      <c r="E91" s="11" t="s">
        <v>26</v>
      </c>
      <c r="F91" s="19">
        <f>45.47-21</f>
        <v>24.47</v>
      </c>
      <c r="G91" s="13"/>
      <c r="H91" s="14">
        <f t="shared" si="42"/>
        <v>21</v>
      </c>
      <c r="I91" s="14">
        <v>45.47</v>
      </c>
      <c r="J91" s="14">
        <v>199.7</v>
      </c>
      <c r="K91" s="15" t="s">
        <v>42</v>
      </c>
      <c r="L91" s="16" t="s">
        <v>217</v>
      </c>
      <c r="M91" s="15">
        <f t="shared" ca="1" si="43"/>
        <v>109</v>
      </c>
      <c r="N91" s="31"/>
    </row>
    <row r="92" spans="1:14" ht="18" x14ac:dyDescent="0.35">
      <c r="A92" s="9">
        <v>46154</v>
      </c>
      <c r="B92" s="9">
        <v>46131</v>
      </c>
      <c r="C92" s="11" t="s">
        <v>147</v>
      </c>
      <c r="D92" s="11" t="s">
        <v>145</v>
      </c>
      <c r="E92" s="11" t="s">
        <v>26</v>
      </c>
      <c r="F92" s="19">
        <f>1725-700-120+296.593-100-71-5+21+30</f>
        <v>1076.5930000000001</v>
      </c>
      <c r="G92" s="13"/>
      <c r="H92" s="14">
        <f t="shared" si="42"/>
        <v>622.77699999999982</v>
      </c>
      <c r="I92" s="14">
        <v>1699.37</v>
      </c>
      <c r="J92" s="14">
        <v>1725</v>
      </c>
      <c r="K92" s="15" t="s">
        <v>34</v>
      </c>
      <c r="L92" s="16" t="s">
        <v>217</v>
      </c>
      <c r="M92" s="15">
        <f t="shared" ca="1" si="43"/>
        <v>32</v>
      </c>
      <c r="N92" s="31"/>
    </row>
    <row r="93" spans="1:14" ht="18" x14ac:dyDescent="0.35">
      <c r="A93" s="9">
        <v>46154</v>
      </c>
      <c r="B93" s="9">
        <v>46131</v>
      </c>
      <c r="C93" s="11" t="s">
        <v>148</v>
      </c>
      <c r="D93" s="11" t="s">
        <v>145</v>
      </c>
      <c r="E93" s="11" t="s">
        <v>26</v>
      </c>
      <c r="F93" s="19">
        <f>947.179-30-325</f>
        <v>592.17899999999997</v>
      </c>
      <c r="G93" s="13"/>
      <c r="H93" s="14">
        <f t="shared" si="42"/>
        <v>262.61099999999999</v>
      </c>
      <c r="I93" s="14">
        <v>854.79</v>
      </c>
      <c r="J93" s="14">
        <v>947.17899999999997</v>
      </c>
      <c r="K93" s="15" t="s">
        <v>42</v>
      </c>
      <c r="L93" s="16" t="s">
        <v>217</v>
      </c>
      <c r="M93" s="15">
        <f t="shared" ca="1" si="43"/>
        <v>32</v>
      </c>
      <c r="N93" s="31"/>
    </row>
    <row r="94" spans="1:14" ht="18" x14ac:dyDescent="0.35">
      <c r="A94" s="9">
        <v>46154</v>
      </c>
      <c r="B94" s="9">
        <v>46136</v>
      </c>
      <c r="C94" s="11" t="s">
        <v>149</v>
      </c>
      <c r="D94" s="11" t="s">
        <v>145</v>
      </c>
      <c r="E94" s="11" t="s">
        <v>26</v>
      </c>
      <c r="F94" s="19">
        <v>313.59300000000002</v>
      </c>
      <c r="G94" s="13"/>
      <c r="H94" s="14">
        <f t="shared" si="42"/>
        <v>0</v>
      </c>
      <c r="I94" s="14">
        <v>313.59300000000002</v>
      </c>
      <c r="J94" s="14">
        <v>313.59300000000002</v>
      </c>
      <c r="K94" s="15" t="s">
        <v>34</v>
      </c>
      <c r="L94" s="16" t="s">
        <v>217</v>
      </c>
      <c r="M94" s="16">
        <f t="shared" ca="1" si="43"/>
        <v>27</v>
      </c>
      <c r="N94" s="31"/>
    </row>
    <row r="95" spans="1:14" ht="18" x14ac:dyDescent="0.35">
      <c r="A95" s="9">
        <v>46154</v>
      </c>
      <c r="B95" s="9">
        <v>46144</v>
      </c>
      <c r="C95" s="11" t="s">
        <v>150</v>
      </c>
      <c r="D95" s="11" t="s">
        <v>145</v>
      </c>
      <c r="E95" s="11" t="s">
        <v>26</v>
      </c>
      <c r="F95" s="19">
        <v>2871.8339999999998</v>
      </c>
      <c r="G95" s="13"/>
      <c r="H95" s="14">
        <f t="shared" si="42"/>
        <v>3.0000000001564331E-3</v>
      </c>
      <c r="I95" s="14">
        <v>2871.837</v>
      </c>
      <c r="J95" s="14">
        <v>2871.837</v>
      </c>
      <c r="K95" s="15" t="s">
        <v>32</v>
      </c>
      <c r="L95" s="16" t="s">
        <v>217</v>
      </c>
      <c r="M95" s="16">
        <f t="shared" ca="1" si="43"/>
        <v>19</v>
      </c>
      <c r="N95" s="31"/>
    </row>
    <row r="96" spans="1:14" ht="18" x14ac:dyDescent="0.35">
      <c r="A96" s="9">
        <v>46154</v>
      </c>
      <c r="B96" s="9">
        <v>46144</v>
      </c>
      <c r="C96" s="11" t="s">
        <v>151</v>
      </c>
      <c r="D96" s="11" t="s">
        <v>145</v>
      </c>
      <c r="E96" s="11" t="s">
        <v>26</v>
      </c>
      <c r="F96" s="19">
        <v>969.38099999999997</v>
      </c>
      <c r="G96" s="13"/>
      <c r="H96" s="14">
        <f t="shared" si="42"/>
        <v>0</v>
      </c>
      <c r="I96" s="14">
        <v>969.38099999999997</v>
      </c>
      <c r="J96" s="14">
        <v>969.38099999999997</v>
      </c>
      <c r="K96" s="15" t="s">
        <v>32</v>
      </c>
      <c r="L96" s="16" t="s">
        <v>217</v>
      </c>
      <c r="M96" s="16">
        <f t="shared" ca="1" si="43"/>
        <v>19</v>
      </c>
      <c r="N96" s="31"/>
    </row>
    <row r="97" spans="1:14" ht="18" x14ac:dyDescent="0.35">
      <c r="A97" s="32">
        <v>46154</v>
      </c>
      <c r="B97" s="32">
        <v>45980</v>
      </c>
      <c r="C97" s="33" t="s">
        <v>152</v>
      </c>
      <c r="D97" s="33" t="s">
        <v>145</v>
      </c>
      <c r="E97" s="33" t="s">
        <v>26</v>
      </c>
      <c r="F97" s="34">
        <v>0</v>
      </c>
      <c r="G97" s="35"/>
      <c r="H97" s="36">
        <f t="shared" si="42"/>
        <v>1.885</v>
      </c>
      <c r="I97" s="36">
        <v>1.885</v>
      </c>
      <c r="J97" s="36"/>
      <c r="K97" s="38" t="s">
        <v>58</v>
      </c>
      <c r="L97" s="39" t="s">
        <v>50</v>
      </c>
      <c r="M97" s="16">
        <f t="shared" ca="1" si="43"/>
        <v>183</v>
      </c>
      <c r="N97" s="31"/>
    </row>
    <row r="98" spans="1:14" ht="18" x14ac:dyDescent="0.35">
      <c r="A98" s="32">
        <v>46154</v>
      </c>
      <c r="B98" s="32">
        <v>46037</v>
      </c>
      <c r="C98" s="33" t="s">
        <v>153</v>
      </c>
      <c r="D98" s="33" t="s">
        <v>145</v>
      </c>
      <c r="E98" s="33" t="s">
        <v>26</v>
      </c>
      <c r="F98" s="34">
        <v>0</v>
      </c>
      <c r="G98" s="35"/>
      <c r="H98" s="36">
        <f t="shared" si="42"/>
        <v>0.216</v>
      </c>
      <c r="I98" s="36">
        <v>0.216</v>
      </c>
      <c r="J98" s="36">
        <v>2002.7950000000001</v>
      </c>
      <c r="K98" s="38" t="s">
        <v>34</v>
      </c>
      <c r="L98" s="39" t="s">
        <v>50</v>
      </c>
      <c r="M98" s="16">
        <f t="shared" ca="1" si="43"/>
        <v>126</v>
      </c>
      <c r="N98" s="31"/>
    </row>
    <row r="99" spans="1:14" ht="18" x14ac:dyDescent="0.35">
      <c r="A99" s="32">
        <v>46154</v>
      </c>
      <c r="B99" s="32">
        <v>46084</v>
      </c>
      <c r="C99" s="33" t="s">
        <v>154</v>
      </c>
      <c r="D99" s="33" t="s">
        <v>145</v>
      </c>
      <c r="E99" s="33" t="s">
        <v>26</v>
      </c>
      <c r="F99" s="34">
        <v>0</v>
      </c>
      <c r="G99" s="35"/>
      <c r="H99" s="36">
        <f t="shared" si="42"/>
        <v>56.956000000000003</v>
      </c>
      <c r="I99" s="36">
        <v>56.956000000000003</v>
      </c>
      <c r="J99" s="36">
        <v>2850</v>
      </c>
      <c r="K99" s="38" t="s">
        <v>32</v>
      </c>
      <c r="L99" s="39" t="s">
        <v>50</v>
      </c>
      <c r="M99" s="16">
        <f t="shared" ca="1" si="43"/>
        <v>79</v>
      </c>
      <c r="N99" s="31"/>
    </row>
    <row r="100" spans="1:14" ht="18" x14ac:dyDescent="0.35">
      <c r="A100" s="32">
        <v>46154</v>
      </c>
      <c r="B100" s="32">
        <v>46106</v>
      </c>
      <c r="C100" s="33" t="s">
        <v>155</v>
      </c>
      <c r="D100" s="33" t="s">
        <v>145</v>
      </c>
      <c r="E100" s="33" t="s">
        <v>26</v>
      </c>
      <c r="F100" s="34">
        <v>239.851</v>
      </c>
      <c r="G100" s="35"/>
      <c r="H100" s="36">
        <f>I100-F100</f>
        <v>860.0100000000001</v>
      </c>
      <c r="I100" s="36">
        <v>1099.8610000000001</v>
      </c>
      <c r="J100" s="36">
        <v>2850</v>
      </c>
      <c r="K100" s="38" t="s">
        <v>34</v>
      </c>
      <c r="L100" s="39" t="s">
        <v>50</v>
      </c>
      <c r="M100" s="16">
        <f t="shared" ca="1" si="43"/>
        <v>57</v>
      </c>
      <c r="N100" s="31"/>
    </row>
    <row r="101" spans="1:14" ht="18" x14ac:dyDescent="0.35">
      <c r="A101" s="9">
        <v>46154</v>
      </c>
      <c r="B101" s="9">
        <v>46005</v>
      </c>
      <c r="C101" s="11" t="s">
        <v>156</v>
      </c>
      <c r="D101" s="11" t="s">
        <v>157</v>
      </c>
      <c r="E101" s="11" t="s">
        <v>20</v>
      </c>
      <c r="F101" s="19">
        <v>0</v>
      </c>
      <c r="G101" s="13"/>
      <c r="H101" s="14">
        <f t="shared" ref="H101:H121" si="44">I101-F101</f>
        <v>141.57499999999999</v>
      </c>
      <c r="I101" s="14">
        <v>141.57499999999999</v>
      </c>
      <c r="J101" s="14">
        <v>2859.0250000000001</v>
      </c>
      <c r="K101" s="15" t="s">
        <v>45</v>
      </c>
      <c r="L101" s="16" t="s">
        <v>217</v>
      </c>
      <c r="M101" s="16">
        <f t="shared" ref="M101:M121" ca="1" si="45">TODAY()-B101</f>
        <v>158</v>
      </c>
      <c r="N101" s="31"/>
    </row>
    <row r="102" spans="1:14" ht="18" x14ac:dyDescent="0.35">
      <c r="A102" s="9">
        <v>46154</v>
      </c>
      <c r="B102" s="9">
        <v>46111</v>
      </c>
      <c r="C102" s="11" t="s">
        <v>158</v>
      </c>
      <c r="D102" s="11" t="s">
        <v>157</v>
      </c>
      <c r="E102" s="11" t="s">
        <v>20</v>
      </c>
      <c r="F102" s="19">
        <v>0</v>
      </c>
      <c r="G102" s="13"/>
      <c r="H102" s="14">
        <f t="shared" si="44"/>
        <v>185.69099999999992</v>
      </c>
      <c r="I102" s="14">
        <f>997.822-24.931-24.47-78.79-54.36-63.5-330.57-130.9-24.16-80.45</f>
        <v>185.69099999999992</v>
      </c>
      <c r="J102" s="14">
        <v>997.822</v>
      </c>
      <c r="K102" s="15" t="s">
        <v>45</v>
      </c>
      <c r="L102" s="16" t="s">
        <v>217</v>
      </c>
      <c r="M102" s="16">
        <f t="shared" ca="1" si="45"/>
        <v>52</v>
      </c>
      <c r="N102" s="31"/>
    </row>
    <row r="103" spans="1:14" ht="18" x14ac:dyDescent="0.35">
      <c r="A103" s="9">
        <v>46154</v>
      </c>
      <c r="B103" s="9">
        <v>46111</v>
      </c>
      <c r="C103" s="11" t="s">
        <v>159</v>
      </c>
      <c r="D103" s="11" t="s">
        <v>157</v>
      </c>
      <c r="E103" s="11" t="s">
        <v>20</v>
      </c>
      <c r="F103" s="19">
        <f>997.822-258.413-10+21-75-21-18-31</f>
        <v>605.40899999999999</v>
      </c>
      <c r="G103" s="13"/>
      <c r="H103" s="14">
        <f t="shared" si="44"/>
        <v>392.41300000000001</v>
      </c>
      <c r="I103" s="14">
        <v>997.822</v>
      </c>
      <c r="J103" s="14">
        <v>997.822</v>
      </c>
      <c r="K103" s="15" t="s">
        <v>45</v>
      </c>
      <c r="L103" s="16" t="s">
        <v>217</v>
      </c>
      <c r="M103" s="16">
        <f t="shared" ca="1" si="45"/>
        <v>52</v>
      </c>
      <c r="N103" s="31"/>
    </row>
    <row r="104" spans="1:14" ht="18" x14ac:dyDescent="0.35">
      <c r="A104" s="9">
        <v>46154</v>
      </c>
      <c r="B104" s="9">
        <v>46131</v>
      </c>
      <c r="C104" s="11" t="s">
        <v>160</v>
      </c>
      <c r="D104" s="11" t="s">
        <v>157</v>
      </c>
      <c r="E104" s="11" t="s">
        <v>20</v>
      </c>
      <c r="F104" s="19">
        <v>953.67100000000005</v>
      </c>
      <c r="G104" s="13"/>
      <c r="H104" s="14">
        <f t="shared" si="44"/>
        <v>0</v>
      </c>
      <c r="I104" s="14">
        <v>953.67100000000005</v>
      </c>
      <c r="J104" s="14">
        <v>953.67100000000005</v>
      </c>
      <c r="K104" s="15" t="s">
        <v>45</v>
      </c>
      <c r="L104" s="16" t="s">
        <v>217</v>
      </c>
      <c r="M104" s="16">
        <f t="shared" ca="1" si="45"/>
        <v>32</v>
      </c>
      <c r="N104" s="31"/>
    </row>
    <row r="105" spans="1:14" ht="18" x14ac:dyDescent="0.35">
      <c r="A105" s="9">
        <v>46154</v>
      </c>
      <c r="B105" s="9">
        <v>46093</v>
      </c>
      <c r="C105" s="11" t="s">
        <v>161</v>
      </c>
      <c r="D105" s="11" t="s">
        <v>162</v>
      </c>
      <c r="E105" s="11" t="s">
        <v>163</v>
      </c>
      <c r="F105" s="19">
        <f>1553.833-150</f>
        <v>1403.8330000000001</v>
      </c>
      <c r="G105" s="13"/>
      <c r="H105" s="14">
        <f t="shared" si="44"/>
        <v>150</v>
      </c>
      <c r="I105" s="14">
        <v>1553.8330000000001</v>
      </c>
      <c r="J105" s="14">
        <v>1553.837</v>
      </c>
      <c r="K105" s="15" t="s">
        <v>15</v>
      </c>
      <c r="L105" s="16" t="s">
        <v>217</v>
      </c>
      <c r="M105" s="16">
        <f t="shared" ca="1" si="45"/>
        <v>70</v>
      </c>
      <c r="N105" s="31"/>
    </row>
    <row r="106" spans="1:14" ht="18" x14ac:dyDescent="0.35">
      <c r="A106" s="9">
        <v>46154</v>
      </c>
      <c r="B106" s="9">
        <v>46085</v>
      </c>
      <c r="C106" s="11" t="s">
        <v>164</v>
      </c>
      <c r="D106" s="11" t="s">
        <v>157</v>
      </c>
      <c r="E106" s="11" t="s">
        <v>36</v>
      </c>
      <c r="F106" s="19">
        <f>616.995-50</f>
        <v>566.995</v>
      </c>
      <c r="G106" s="13"/>
      <c r="H106" s="14">
        <f t="shared" si="44"/>
        <v>51.840000000000032</v>
      </c>
      <c r="I106" s="14">
        <v>618.83500000000004</v>
      </c>
      <c r="J106" s="14">
        <v>947.53499999999997</v>
      </c>
      <c r="K106" s="15" t="s">
        <v>37</v>
      </c>
      <c r="L106" s="16" t="s">
        <v>217</v>
      </c>
      <c r="M106" s="16">
        <f t="shared" ca="1" si="45"/>
        <v>78</v>
      </c>
      <c r="N106" s="31"/>
    </row>
    <row r="107" spans="1:14" ht="18" x14ac:dyDescent="0.35">
      <c r="A107" s="9">
        <v>46154</v>
      </c>
      <c r="B107" s="9">
        <v>45927</v>
      </c>
      <c r="C107" s="11" t="s">
        <v>165</v>
      </c>
      <c r="D107" s="11" t="s">
        <v>157</v>
      </c>
      <c r="E107" s="11" t="s">
        <v>26</v>
      </c>
      <c r="F107" s="19">
        <v>0</v>
      </c>
      <c r="G107" s="13"/>
      <c r="H107" s="14">
        <f t="shared" si="44"/>
        <v>2.5</v>
      </c>
      <c r="I107" s="14">
        <v>2.5</v>
      </c>
      <c r="J107" s="14">
        <v>2836.84</v>
      </c>
      <c r="K107" s="15" t="s">
        <v>166</v>
      </c>
      <c r="L107" s="16" t="s">
        <v>217</v>
      </c>
      <c r="M107" s="16">
        <f t="shared" ca="1" si="45"/>
        <v>236</v>
      </c>
      <c r="N107" s="31"/>
    </row>
    <row r="108" spans="1:14" ht="18" x14ac:dyDescent="0.35">
      <c r="A108" s="9">
        <v>46154</v>
      </c>
      <c r="B108" s="9">
        <v>45965</v>
      </c>
      <c r="C108" s="11" t="s">
        <v>167</v>
      </c>
      <c r="D108" s="11" t="s">
        <v>157</v>
      </c>
      <c r="E108" s="11" t="s">
        <v>26</v>
      </c>
      <c r="F108" s="19">
        <v>0</v>
      </c>
      <c r="G108" s="13"/>
      <c r="H108" s="14">
        <f t="shared" si="44"/>
        <v>7.7329999999999997</v>
      </c>
      <c r="I108" s="14">
        <v>7.7329999999999997</v>
      </c>
      <c r="J108" s="14">
        <v>2995.4349999999999</v>
      </c>
      <c r="K108" s="15" t="s">
        <v>166</v>
      </c>
      <c r="L108" s="16" t="s">
        <v>217</v>
      </c>
      <c r="M108" s="16">
        <f t="shared" ca="1" si="45"/>
        <v>198</v>
      </c>
      <c r="N108" s="31"/>
    </row>
    <row r="109" spans="1:14" ht="18" x14ac:dyDescent="0.35">
      <c r="A109" s="9">
        <v>46154</v>
      </c>
      <c r="B109" s="9">
        <v>45980</v>
      </c>
      <c r="C109" s="11" t="s">
        <v>168</v>
      </c>
      <c r="D109" s="11" t="s">
        <v>157</v>
      </c>
      <c r="E109" s="11" t="s">
        <v>26</v>
      </c>
      <c r="F109" s="19">
        <v>0</v>
      </c>
      <c r="G109" s="13"/>
      <c r="H109" s="14">
        <f t="shared" si="44"/>
        <v>1.173</v>
      </c>
      <c r="I109" s="14">
        <v>1.173</v>
      </c>
      <c r="J109" s="14">
        <v>474.95299999999997</v>
      </c>
      <c r="K109" s="15" t="s">
        <v>34</v>
      </c>
      <c r="L109" s="16" t="s">
        <v>217</v>
      </c>
      <c r="M109" s="16">
        <f t="shared" ca="1" si="45"/>
        <v>183</v>
      </c>
      <c r="N109" s="31"/>
    </row>
    <row r="110" spans="1:14" ht="18" x14ac:dyDescent="0.35">
      <c r="A110" s="9">
        <v>46154</v>
      </c>
      <c r="B110" s="9">
        <v>46018</v>
      </c>
      <c r="C110" s="11" t="s">
        <v>169</v>
      </c>
      <c r="D110" s="11" t="s">
        <v>157</v>
      </c>
      <c r="E110" s="11" t="s">
        <v>26</v>
      </c>
      <c r="F110" s="19">
        <v>0</v>
      </c>
      <c r="G110" s="13"/>
      <c r="H110" s="14">
        <f t="shared" si="44"/>
        <v>14.218</v>
      </c>
      <c r="I110" s="14">
        <v>14.218</v>
      </c>
      <c r="J110" s="14">
        <v>2086.8789999999999</v>
      </c>
      <c r="K110" s="15" t="s">
        <v>170</v>
      </c>
      <c r="L110" s="16" t="s">
        <v>217</v>
      </c>
      <c r="M110" s="16">
        <f t="shared" ca="1" si="45"/>
        <v>145</v>
      </c>
      <c r="N110" s="31"/>
    </row>
    <row r="111" spans="1:14" ht="18" x14ac:dyDescent="0.35">
      <c r="A111" s="9">
        <v>46154</v>
      </c>
      <c r="B111" s="9">
        <v>46095</v>
      </c>
      <c r="C111" s="11" t="s">
        <v>171</v>
      </c>
      <c r="D111" s="11" t="s">
        <v>162</v>
      </c>
      <c r="E111" s="11" t="s">
        <v>26</v>
      </c>
      <c r="F111" s="19">
        <v>0</v>
      </c>
      <c r="G111" s="13"/>
      <c r="H111" s="14">
        <f t="shared" si="44"/>
        <v>310.86</v>
      </c>
      <c r="I111" s="14">
        <v>310.86</v>
      </c>
      <c r="J111" s="14">
        <v>1425</v>
      </c>
      <c r="K111" s="15" t="s">
        <v>58</v>
      </c>
      <c r="L111" s="16" t="s">
        <v>217</v>
      </c>
      <c r="M111" s="16">
        <f t="shared" ca="1" si="45"/>
        <v>68</v>
      </c>
      <c r="N111" s="31"/>
    </row>
    <row r="112" spans="1:14" ht="18" x14ac:dyDescent="0.35">
      <c r="A112" s="9">
        <v>46154</v>
      </c>
      <c r="B112" s="9">
        <v>46095</v>
      </c>
      <c r="C112" s="11" t="s">
        <v>172</v>
      </c>
      <c r="D112" s="11" t="s">
        <v>162</v>
      </c>
      <c r="E112" s="11" t="s">
        <v>26</v>
      </c>
      <c r="F112" s="19">
        <f>476.893-160-21-60-75-21+115-85-80+18</f>
        <v>107.89299999999997</v>
      </c>
      <c r="G112" s="13"/>
      <c r="H112" s="14">
        <f t="shared" si="44"/>
        <v>369</v>
      </c>
      <c r="I112" s="14">
        <v>476.89299999999997</v>
      </c>
      <c r="J112" s="14">
        <v>476.89299999999997</v>
      </c>
      <c r="K112" s="15" t="s">
        <v>58</v>
      </c>
      <c r="L112" s="16" t="s">
        <v>217</v>
      </c>
      <c r="M112" s="16">
        <f t="shared" ca="1" si="45"/>
        <v>68</v>
      </c>
      <c r="N112" s="31"/>
    </row>
    <row r="113" spans="1:14" ht="18" x14ac:dyDescent="0.35">
      <c r="A113" s="9">
        <v>46154</v>
      </c>
      <c r="B113" s="9">
        <v>46095</v>
      </c>
      <c r="C113" s="11" t="s">
        <v>173</v>
      </c>
      <c r="D113" s="11" t="s">
        <v>157</v>
      </c>
      <c r="E113" s="11" t="s">
        <v>26</v>
      </c>
      <c r="F113" s="19">
        <v>0</v>
      </c>
      <c r="G113" s="13"/>
      <c r="H113" s="14">
        <f t="shared" si="44"/>
        <v>12.977</v>
      </c>
      <c r="I113" s="14">
        <v>12.977</v>
      </c>
      <c r="J113" s="14">
        <v>523.10699999999997</v>
      </c>
      <c r="K113" s="15" t="s">
        <v>15</v>
      </c>
      <c r="L113" s="16" t="s">
        <v>217</v>
      </c>
      <c r="M113" s="16">
        <f t="shared" ca="1" si="45"/>
        <v>68</v>
      </c>
      <c r="N113" s="31"/>
    </row>
    <row r="114" spans="1:14" ht="18" x14ac:dyDescent="0.35">
      <c r="A114" s="9">
        <v>46154</v>
      </c>
      <c r="B114" s="9">
        <v>46144</v>
      </c>
      <c r="C114" s="11" t="s">
        <v>174</v>
      </c>
      <c r="D114" s="11" t="s">
        <v>157</v>
      </c>
      <c r="E114" s="11" t="s">
        <v>26</v>
      </c>
      <c r="F114" s="19">
        <f>2001.998-100-120-70-200+221</f>
        <v>1732.998</v>
      </c>
      <c r="G114" s="13"/>
      <c r="H114" s="14">
        <f t="shared" si="44"/>
        <v>262.59299999999985</v>
      </c>
      <c r="I114" s="14">
        <v>1995.5909999999999</v>
      </c>
      <c r="J114" s="14">
        <v>2001.998</v>
      </c>
      <c r="K114" s="15" t="s">
        <v>175</v>
      </c>
      <c r="L114" s="16" t="s">
        <v>217</v>
      </c>
      <c r="M114" s="16">
        <f t="shared" ca="1" si="45"/>
        <v>19</v>
      </c>
      <c r="N114" s="31"/>
    </row>
    <row r="115" spans="1:14" ht="18" x14ac:dyDescent="0.35">
      <c r="A115" s="9">
        <v>46154</v>
      </c>
      <c r="B115" s="9">
        <v>46151</v>
      </c>
      <c r="C115" s="47" t="s">
        <v>176</v>
      </c>
      <c r="D115" s="11" t="s">
        <v>157</v>
      </c>
      <c r="E115" s="11" t="s">
        <v>26</v>
      </c>
      <c r="F115" s="19">
        <f>1500-221</f>
        <v>1279</v>
      </c>
      <c r="G115" s="13"/>
      <c r="H115" s="14">
        <f t="shared" si="44"/>
        <v>221</v>
      </c>
      <c r="I115" s="14">
        <v>1500</v>
      </c>
      <c r="J115" s="14">
        <v>1500</v>
      </c>
      <c r="K115" s="15" t="s">
        <v>42</v>
      </c>
      <c r="L115" s="16" t="s">
        <v>217</v>
      </c>
      <c r="M115" s="16">
        <f t="shared" ca="1" si="45"/>
        <v>12</v>
      </c>
      <c r="N115" s="31"/>
    </row>
    <row r="116" spans="1:14" ht="18" x14ac:dyDescent="0.35">
      <c r="A116" s="32">
        <v>46154</v>
      </c>
      <c r="B116" s="32">
        <v>45981</v>
      </c>
      <c r="C116" s="33" t="s">
        <v>152</v>
      </c>
      <c r="D116" s="33" t="s">
        <v>162</v>
      </c>
      <c r="E116" s="33" t="s">
        <v>26</v>
      </c>
      <c r="F116" s="34">
        <v>0</v>
      </c>
      <c r="G116" s="35"/>
      <c r="H116" s="36">
        <f t="shared" si="44"/>
        <v>0.91400000000000003</v>
      </c>
      <c r="I116" s="36">
        <v>0.91400000000000003</v>
      </c>
      <c r="J116" s="36"/>
      <c r="K116" s="38" t="s">
        <v>42</v>
      </c>
      <c r="L116" s="39" t="s">
        <v>50</v>
      </c>
      <c r="M116" s="16">
        <f t="shared" ca="1" si="45"/>
        <v>182</v>
      </c>
      <c r="N116" s="31"/>
    </row>
    <row r="117" spans="1:14" ht="18" x14ac:dyDescent="0.35">
      <c r="A117" s="32">
        <v>46154</v>
      </c>
      <c r="B117" s="32">
        <v>46045</v>
      </c>
      <c r="C117" s="33" t="s">
        <v>177</v>
      </c>
      <c r="D117" s="33" t="s">
        <v>157</v>
      </c>
      <c r="E117" s="33" t="s">
        <v>26</v>
      </c>
      <c r="F117" s="34">
        <v>132.858</v>
      </c>
      <c r="G117" s="35"/>
      <c r="H117" s="36">
        <f t="shared" si="44"/>
        <v>542.51</v>
      </c>
      <c r="I117" s="36">
        <v>675.36800000000005</v>
      </c>
      <c r="J117" s="36">
        <v>4809.5529999999999</v>
      </c>
      <c r="K117" s="38" t="s">
        <v>178</v>
      </c>
      <c r="L117" s="39" t="s">
        <v>50</v>
      </c>
      <c r="M117" s="16">
        <f t="shared" ca="1" si="45"/>
        <v>118</v>
      </c>
      <c r="N117" s="31"/>
    </row>
    <row r="118" spans="1:14" ht="18" x14ac:dyDescent="0.35">
      <c r="A118" s="32">
        <v>46154</v>
      </c>
      <c r="B118" s="32">
        <v>46045</v>
      </c>
      <c r="C118" s="33" t="s">
        <v>179</v>
      </c>
      <c r="D118" s="33" t="s">
        <v>162</v>
      </c>
      <c r="E118" s="33" t="s">
        <v>26</v>
      </c>
      <c r="F118" s="34">
        <f>196.584-12-50</f>
        <v>134.584</v>
      </c>
      <c r="G118" s="35"/>
      <c r="H118" s="36">
        <f t="shared" si="44"/>
        <v>55.47399999999999</v>
      </c>
      <c r="I118" s="36">
        <v>190.05799999999999</v>
      </c>
      <c r="J118" s="36">
        <v>961.16800000000001</v>
      </c>
      <c r="K118" s="38" t="s">
        <v>42</v>
      </c>
      <c r="L118" s="39" t="s">
        <v>50</v>
      </c>
      <c r="M118" s="16">
        <f t="shared" ca="1" si="45"/>
        <v>118</v>
      </c>
      <c r="N118" s="31"/>
    </row>
    <row r="119" spans="1:14" ht="18" x14ac:dyDescent="0.35">
      <c r="A119" s="20">
        <v>46154</v>
      </c>
      <c r="B119" s="20">
        <v>46085</v>
      </c>
      <c r="C119" s="21" t="s">
        <v>180</v>
      </c>
      <c r="D119" s="21" t="s">
        <v>157</v>
      </c>
      <c r="E119" s="21" t="s">
        <v>26</v>
      </c>
      <c r="F119" s="22">
        <f>422.192</f>
        <v>422.19200000000001</v>
      </c>
      <c r="G119" s="23"/>
      <c r="H119" s="24">
        <f t="shared" si="44"/>
        <v>2795.66</v>
      </c>
      <c r="I119" s="24">
        <v>3217.8519999999999</v>
      </c>
      <c r="J119" s="24">
        <v>3981.2449999999999</v>
      </c>
      <c r="K119" s="25" t="s">
        <v>42</v>
      </c>
      <c r="L119" s="26" t="s">
        <v>29</v>
      </c>
      <c r="M119" s="25">
        <f t="shared" ca="1" si="45"/>
        <v>78</v>
      </c>
      <c r="N119" s="31"/>
    </row>
    <row r="120" spans="1:14" ht="18" x14ac:dyDescent="0.35">
      <c r="A120" s="20">
        <v>46154</v>
      </c>
      <c r="B120" s="20">
        <v>46106</v>
      </c>
      <c r="C120" s="21" t="s">
        <v>181</v>
      </c>
      <c r="D120" s="21" t="s">
        <v>162</v>
      </c>
      <c r="E120" s="21" t="s">
        <v>26</v>
      </c>
      <c r="F120" s="22">
        <f>1973.616-80</f>
        <v>1893.616</v>
      </c>
      <c r="G120" s="23"/>
      <c r="H120" s="24">
        <f t="shared" si="44"/>
        <v>80</v>
      </c>
      <c r="I120" s="24">
        <v>1973.616</v>
      </c>
      <c r="J120" s="24">
        <v>2000</v>
      </c>
      <c r="K120" s="25" t="s">
        <v>42</v>
      </c>
      <c r="L120" s="26" t="s">
        <v>29</v>
      </c>
      <c r="M120" s="25">
        <f t="shared" ca="1" si="45"/>
        <v>57</v>
      </c>
      <c r="N120" s="31"/>
    </row>
    <row r="121" spans="1:14" ht="18" x14ac:dyDescent="0.35">
      <c r="A121" s="20">
        <v>46154</v>
      </c>
      <c r="B121" s="20">
        <v>46106</v>
      </c>
      <c r="C121" s="21" t="s">
        <v>182</v>
      </c>
      <c r="D121" s="21" t="s">
        <v>157</v>
      </c>
      <c r="E121" s="21" t="s">
        <v>26</v>
      </c>
      <c r="F121" s="23">
        <f>469.936-84.5</f>
        <v>385.43599999999998</v>
      </c>
      <c r="G121" s="23"/>
      <c r="H121" s="24">
        <f t="shared" si="44"/>
        <v>1584.5</v>
      </c>
      <c r="I121" s="24">
        <v>1969.9359999999999</v>
      </c>
      <c r="J121" s="24">
        <v>1996.271</v>
      </c>
      <c r="K121" s="25" t="s">
        <v>42</v>
      </c>
      <c r="L121" s="26" t="s">
        <v>29</v>
      </c>
      <c r="M121" s="25">
        <f t="shared" ca="1" si="45"/>
        <v>57</v>
      </c>
      <c r="N121" s="31"/>
    </row>
    <row r="122" spans="1:14" ht="18" x14ac:dyDescent="0.35">
      <c r="A122" s="9">
        <v>46154</v>
      </c>
      <c r="B122" s="9">
        <v>46125</v>
      </c>
      <c r="C122" s="11" t="s">
        <v>183</v>
      </c>
      <c r="D122" s="11" t="s">
        <v>184</v>
      </c>
      <c r="E122" s="11" t="s">
        <v>26</v>
      </c>
      <c r="F122" s="19">
        <f>100-100</f>
        <v>0</v>
      </c>
      <c r="G122" s="29"/>
      <c r="H122" s="14">
        <f t="shared" ref="H122" si="46">I122-F122</f>
        <v>65.27</v>
      </c>
      <c r="I122" s="14">
        <v>65.27</v>
      </c>
      <c r="J122" s="14">
        <v>100</v>
      </c>
      <c r="K122" s="15" t="s">
        <v>42</v>
      </c>
      <c r="L122" s="16" t="s">
        <v>217</v>
      </c>
      <c r="M122" s="15">
        <f t="shared" ref="M122" ca="1" si="47">TODAY()-B122</f>
        <v>38</v>
      </c>
      <c r="N122" s="31"/>
    </row>
    <row r="123" spans="1:14" ht="18" x14ac:dyDescent="0.35">
      <c r="A123" s="9">
        <v>46154</v>
      </c>
      <c r="B123" s="9">
        <v>46069</v>
      </c>
      <c r="C123" s="11" t="s">
        <v>185</v>
      </c>
      <c r="D123" s="11" t="s">
        <v>186</v>
      </c>
      <c r="E123" s="11" t="s">
        <v>36</v>
      </c>
      <c r="F123" s="19">
        <v>0</v>
      </c>
      <c r="G123" s="28"/>
      <c r="H123" s="14">
        <f t="shared" ref="H123:H126" si="48">I123-F123</f>
        <v>0.38200000000000001</v>
      </c>
      <c r="I123" s="14">
        <v>0.38200000000000001</v>
      </c>
      <c r="J123" s="14">
        <v>800.42899999999997</v>
      </c>
      <c r="K123" s="15" t="s">
        <v>37</v>
      </c>
      <c r="L123" s="16" t="s">
        <v>217</v>
      </c>
      <c r="M123" s="15">
        <f t="shared" ref="M123:M126" ca="1" si="49">TODAY()-B123</f>
        <v>94</v>
      </c>
      <c r="N123" s="31"/>
    </row>
    <row r="124" spans="1:14" ht="18" x14ac:dyDescent="0.35">
      <c r="A124" s="9">
        <v>46154</v>
      </c>
      <c r="B124" s="9">
        <v>46080</v>
      </c>
      <c r="C124" s="11" t="s">
        <v>187</v>
      </c>
      <c r="D124" s="11" t="s">
        <v>186</v>
      </c>
      <c r="E124" s="11" t="s">
        <v>36</v>
      </c>
      <c r="F124" s="19">
        <v>21.053000000000001</v>
      </c>
      <c r="G124" s="28"/>
      <c r="H124" s="14">
        <f t="shared" si="48"/>
        <v>11.27</v>
      </c>
      <c r="I124" s="14">
        <v>32.323</v>
      </c>
      <c r="J124" s="14">
        <v>1047.319</v>
      </c>
      <c r="K124" s="15" t="s">
        <v>37</v>
      </c>
      <c r="L124" s="16" t="s">
        <v>217</v>
      </c>
      <c r="M124" s="15">
        <f t="shared" ca="1" si="49"/>
        <v>83</v>
      </c>
      <c r="N124" s="31"/>
    </row>
    <row r="125" spans="1:14" ht="18" x14ac:dyDescent="0.35">
      <c r="A125" s="9">
        <v>46154</v>
      </c>
      <c r="B125" s="9">
        <v>46139</v>
      </c>
      <c r="C125" s="11" t="s">
        <v>188</v>
      </c>
      <c r="D125" s="11" t="s">
        <v>186</v>
      </c>
      <c r="E125" s="11" t="s">
        <v>26</v>
      </c>
      <c r="F125" s="19">
        <f>518.059-95-7-36-35-35-247-21</f>
        <v>42.058999999999969</v>
      </c>
      <c r="G125" s="28"/>
      <c r="H125" s="14">
        <f t="shared" si="48"/>
        <v>650.06900000000007</v>
      </c>
      <c r="I125" s="14">
        <v>692.12800000000004</v>
      </c>
      <c r="J125" s="14">
        <v>1998.7049999999999</v>
      </c>
      <c r="K125" s="15" t="s">
        <v>15</v>
      </c>
      <c r="L125" s="16" t="s">
        <v>217</v>
      </c>
      <c r="M125" s="15">
        <f t="shared" ca="1" si="49"/>
        <v>24</v>
      </c>
      <c r="N125" s="31"/>
    </row>
    <row r="126" spans="1:14" ht="18" x14ac:dyDescent="0.35">
      <c r="A126" s="20">
        <v>46154</v>
      </c>
      <c r="B126" s="20">
        <v>46131</v>
      </c>
      <c r="C126" s="21" t="s">
        <v>189</v>
      </c>
      <c r="D126" s="21" t="s">
        <v>186</v>
      </c>
      <c r="E126" s="21" t="s">
        <v>26</v>
      </c>
      <c r="F126" s="22">
        <v>0</v>
      </c>
      <c r="G126" s="23"/>
      <c r="H126" s="24">
        <f t="shared" si="48"/>
        <v>93.870999999999995</v>
      </c>
      <c r="I126" s="24">
        <v>93.870999999999995</v>
      </c>
      <c r="J126" s="24">
        <v>2850</v>
      </c>
      <c r="K126" s="25" t="s">
        <v>15</v>
      </c>
      <c r="L126" s="26" t="s">
        <v>29</v>
      </c>
      <c r="M126" s="25">
        <f t="shared" ca="1" si="49"/>
        <v>32</v>
      </c>
      <c r="N126" s="31"/>
    </row>
    <row r="127" spans="1:14" ht="18" x14ac:dyDescent="0.35">
      <c r="A127" s="9">
        <v>46154</v>
      </c>
      <c r="B127" s="9">
        <v>46045</v>
      </c>
      <c r="C127" s="11" t="s">
        <v>190</v>
      </c>
      <c r="D127" s="11" t="s">
        <v>191</v>
      </c>
      <c r="E127" s="11" t="s">
        <v>36</v>
      </c>
      <c r="F127" s="19">
        <f>508.045-60-20-16-10-50-60-25-30+30-241+60+24-26-20-52+1.29</f>
        <v>13.335000000000015</v>
      </c>
      <c r="G127" s="28"/>
      <c r="H127" s="14">
        <f t="shared" ref="H127:H128" si="50">I127-F127</f>
        <v>19.999999999999986</v>
      </c>
      <c r="I127" s="14">
        <v>33.335000000000001</v>
      </c>
      <c r="J127" s="14">
        <v>508.04500000000002</v>
      </c>
      <c r="K127" s="15" t="s">
        <v>37</v>
      </c>
      <c r="L127" s="16" t="s">
        <v>217</v>
      </c>
      <c r="M127" s="15">
        <f t="shared" ref="M127:M128" ca="1" si="51">TODAY()-B127</f>
        <v>118</v>
      </c>
      <c r="N127" s="31"/>
    </row>
    <row r="128" spans="1:14" ht="18" x14ac:dyDescent="0.35">
      <c r="A128" s="48">
        <v>46154</v>
      </c>
      <c r="B128" s="48">
        <v>46104</v>
      </c>
      <c r="C128" s="49" t="s">
        <v>192</v>
      </c>
      <c r="D128" s="50" t="s">
        <v>191</v>
      </c>
      <c r="E128" s="50" t="s">
        <v>26</v>
      </c>
      <c r="F128" s="51">
        <f>500-192-20-24-100-25-5-16</f>
        <v>118</v>
      </c>
      <c r="G128" s="52"/>
      <c r="H128" s="53">
        <f t="shared" si="50"/>
        <v>175.97000000000003</v>
      </c>
      <c r="I128" s="53">
        <v>293.97000000000003</v>
      </c>
      <c r="J128" s="53">
        <v>500</v>
      </c>
      <c r="K128" s="54" t="s">
        <v>34</v>
      </c>
      <c r="L128" s="55" t="s">
        <v>193</v>
      </c>
      <c r="M128" s="15">
        <f t="shared" ca="1" si="51"/>
        <v>59</v>
      </c>
      <c r="N128" s="56"/>
    </row>
    <row r="129" spans="1:14" ht="18" x14ac:dyDescent="0.35">
      <c r="A129" s="9">
        <v>46154</v>
      </c>
      <c r="B129" s="9">
        <v>46071</v>
      </c>
      <c r="C129" s="11" t="s">
        <v>194</v>
      </c>
      <c r="D129" s="11" t="s">
        <v>195</v>
      </c>
      <c r="E129" s="11" t="s">
        <v>26</v>
      </c>
      <c r="F129" s="19">
        <f>1047.84-828-600-100-50-90</f>
        <v>-620.16000000000008</v>
      </c>
      <c r="G129" s="29"/>
      <c r="H129" s="14">
        <f t="shared" ref="H129:H132" si="52">I129-F129</f>
        <v>675.39600000000007</v>
      </c>
      <c r="I129" s="14">
        <v>55.235999999999997</v>
      </c>
      <c r="J129" s="14">
        <v>1047.8399999999999</v>
      </c>
      <c r="K129" s="15" t="s">
        <v>34</v>
      </c>
      <c r="L129" s="16" t="s">
        <v>217</v>
      </c>
      <c r="M129" s="15">
        <f t="shared" ref="M129:M132" ca="1" si="53">TODAY()-B129</f>
        <v>92</v>
      </c>
      <c r="N129" s="31"/>
    </row>
    <row r="130" spans="1:14" ht="18" x14ac:dyDescent="0.35">
      <c r="A130" s="9">
        <v>46154</v>
      </c>
      <c r="B130" s="9">
        <v>46071</v>
      </c>
      <c r="C130" s="11" t="s">
        <v>196</v>
      </c>
      <c r="D130" s="11" t="s">
        <v>197</v>
      </c>
      <c r="E130" s="11" t="s">
        <v>26</v>
      </c>
      <c r="F130" s="19">
        <v>-18.913</v>
      </c>
      <c r="G130" s="29"/>
      <c r="H130" s="14">
        <f t="shared" si="52"/>
        <v>18.916</v>
      </c>
      <c r="I130" s="14">
        <v>3.0000000000000001E-3</v>
      </c>
      <c r="J130" s="14">
        <v>522.73299999999995</v>
      </c>
      <c r="K130" s="15" t="s">
        <v>34</v>
      </c>
      <c r="L130" s="16" t="s">
        <v>217</v>
      </c>
      <c r="M130" s="15">
        <f t="shared" ca="1" si="53"/>
        <v>92</v>
      </c>
      <c r="N130" s="31"/>
    </row>
    <row r="131" spans="1:14" ht="18" x14ac:dyDescent="0.35">
      <c r="A131" s="9">
        <v>46154</v>
      </c>
      <c r="B131" s="9">
        <v>46063</v>
      </c>
      <c r="C131" s="11" t="s">
        <v>198</v>
      </c>
      <c r="D131" s="11" t="s">
        <v>199</v>
      </c>
      <c r="E131" s="11" t="s">
        <v>26</v>
      </c>
      <c r="F131" s="19">
        <f>1125.224-200</f>
        <v>925.22399999999993</v>
      </c>
      <c r="G131" s="29"/>
      <c r="H131" s="14">
        <f t="shared" si="52"/>
        <v>199.94000000000005</v>
      </c>
      <c r="I131" s="14">
        <v>1125.164</v>
      </c>
      <c r="J131" s="14">
        <v>1869.5719999999999</v>
      </c>
      <c r="K131" s="15" t="s">
        <v>34</v>
      </c>
      <c r="L131" s="16" t="s">
        <v>217</v>
      </c>
      <c r="M131" s="15">
        <f t="shared" ca="1" si="53"/>
        <v>100</v>
      </c>
      <c r="N131" s="31"/>
    </row>
    <row r="132" spans="1:14" ht="18" x14ac:dyDescent="0.35">
      <c r="A132" s="9">
        <v>46154</v>
      </c>
      <c r="B132" s="9">
        <v>45996</v>
      </c>
      <c r="C132" s="11" t="s">
        <v>200</v>
      </c>
      <c r="D132" s="11" t="s">
        <v>199</v>
      </c>
      <c r="E132" s="11" t="s">
        <v>201</v>
      </c>
      <c r="F132" s="19">
        <v>-39.645000000000003</v>
      </c>
      <c r="G132" s="29"/>
      <c r="H132" s="14">
        <f t="shared" si="52"/>
        <v>40.25</v>
      </c>
      <c r="I132" s="14">
        <v>0.60499999999999998</v>
      </c>
      <c r="J132" s="14">
        <v>1451.973</v>
      </c>
      <c r="K132" s="15" t="s">
        <v>202</v>
      </c>
      <c r="L132" s="16" t="s">
        <v>217</v>
      </c>
      <c r="M132" s="15">
        <f t="shared" ca="1" si="53"/>
        <v>167</v>
      </c>
      <c r="N132" s="31"/>
    </row>
    <row r="133" spans="1:14" ht="18" x14ac:dyDescent="0.35">
      <c r="A133" s="9">
        <v>46154</v>
      </c>
      <c r="B133" s="9">
        <v>46037</v>
      </c>
      <c r="C133" s="11" t="s">
        <v>203</v>
      </c>
      <c r="D133" s="11" t="s">
        <v>204</v>
      </c>
      <c r="E133" s="11" t="s">
        <v>132</v>
      </c>
      <c r="F133" s="19">
        <v>0.29299999999999998</v>
      </c>
      <c r="G133" s="13"/>
      <c r="H133" s="14">
        <f t="shared" ref="H133:H143" si="54">I133-F133</f>
        <v>135.04999999999998</v>
      </c>
      <c r="I133" s="14">
        <v>135.34299999999999</v>
      </c>
      <c r="J133" s="14">
        <v>4023.86</v>
      </c>
      <c r="K133" s="15" t="s">
        <v>133</v>
      </c>
      <c r="L133" s="16" t="s">
        <v>217</v>
      </c>
      <c r="M133" s="15">
        <f t="shared" ref="M133:M143" ca="1" si="55">TODAY()-B133</f>
        <v>126</v>
      </c>
      <c r="N133" s="57"/>
    </row>
    <row r="134" spans="1:14" ht="18" x14ac:dyDescent="0.35">
      <c r="A134" s="9">
        <v>46154</v>
      </c>
      <c r="B134" s="9">
        <v>46111</v>
      </c>
      <c r="C134" s="11" t="s">
        <v>205</v>
      </c>
      <c r="D134" s="11" t="s">
        <v>204</v>
      </c>
      <c r="E134" s="11" t="s">
        <v>132</v>
      </c>
      <c r="F134" s="19">
        <f>4454.687-516-1873-486.68-244-26-30-370-30+500-48-73-263-162-425-19-500-24</f>
        <v>-134.99300000000017</v>
      </c>
      <c r="G134" s="13"/>
      <c r="H134" s="14">
        <f t="shared" si="54"/>
        <v>1704.2870000000003</v>
      </c>
      <c r="I134" s="14">
        <v>1569.2940000000001</v>
      </c>
      <c r="J134" s="14">
        <v>4454.6869999999999</v>
      </c>
      <c r="K134" s="15" t="s">
        <v>133</v>
      </c>
      <c r="L134" s="16" t="s">
        <v>217</v>
      </c>
      <c r="M134" s="15">
        <f t="shared" ca="1" si="55"/>
        <v>52</v>
      </c>
      <c r="N134" s="57"/>
    </row>
    <row r="135" spans="1:14" ht="18" x14ac:dyDescent="0.35">
      <c r="A135" s="9">
        <v>46154</v>
      </c>
      <c r="B135" s="9">
        <v>46027</v>
      </c>
      <c r="C135" s="11" t="s">
        <v>206</v>
      </c>
      <c r="D135" s="11" t="s">
        <v>204</v>
      </c>
      <c r="E135" s="11" t="s">
        <v>36</v>
      </c>
      <c r="F135" s="19">
        <v>0</v>
      </c>
      <c r="G135" s="13"/>
      <c r="H135" s="14">
        <f t="shared" si="54"/>
        <v>66.602000000000004</v>
      </c>
      <c r="I135" s="14">
        <v>66.602000000000004</v>
      </c>
      <c r="J135" s="14">
        <v>10459.857</v>
      </c>
      <c r="K135" s="15" t="s">
        <v>37</v>
      </c>
      <c r="L135" s="16" t="s">
        <v>217</v>
      </c>
      <c r="M135" s="15">
        <f t="shared" ca="1" si="55"/>
        <v>136</v>
      </c>
      <c r="N135" s="57"/>
    </row>
    <row r="136" spans="1:14" ht="18" x14ac:dyDescent="0.35">
      <c r="A136" s="9">
        <v>46154</v>
      </c>
      <c r="B136" s="9">
        <v>46067</v>
      </c>
      <c r="C136" s="11" t="s">
        <v>207</v>
      </c>
      <c r="D136" s="11" t="s">
        <v>204</v>
      </c>
      <c r="E136" s="11" t="s">
        <v>36</v>
      </c>
      <c r="F136" s="19">
        <v>0</v>
      </c>
      <c r="G136" s="13"/>
      <c r="H136" s="14">
        <f t="shared" si="54"/>
        <v>1.9E-2</v>
      </c>
      <c r="I136" s="14">
        <v>1.9E-2</v>
      </c>
      <c r="J136" s="14">
        <v>20118.866999999998</v>
      </c>
      <c r="K136" s="15" t="s">
        <v>37</v>
      </c>
      <c r="L136" s="16" t="s">
        <v>217</v>
      </c>
      <c r="M136" s="15">
        <f t="shared" ca="1" si="55"/>
        <v>96</v>
      </c>
      <c r="N136" s="57"/>
    </row>
    <row r="137" spans="1:14" ht="18" x14ac:dyDescent="0.35">
      <c r="A137" s="9">
        <v>46154</v>
      </c>
      <c r="B137" s="9">
        <v>46121</v>
      </c>
      <c r="C137" s="11" t="s">
        <v>208</v>
      </c>
      <c r="D137" s="11" t="s">
        <v>204</v>
      </c>
      <c r="E137" s="11" t="s">
        <v>36</v>
      </c>
      <c r="F137" s="19">
        <f>2991.197-167.506-62-600-23-825-483-40-200-64-25</f>
        <v>501.69100000000026</v>
      </c>
      <c r="G137" s="13"/>
      <c r="H137" s="14">
        <f t="shared" si="54"/>
        <v>296.31399999999974</v>
      </c>
      <c r="I137" s="14">
        <v>798.005</v>
      </c>
      <c r="J137" s="14">
        <v>2991.1970000000001</v>
      </c>
      <c r="K137" s="15" t="s">
        <v>37</v>
      </c>
      <c r="L137" s="16" t="s">
        <v>217</v>
      </c>
      <c r="M137" s="15">
        <f t="shared" ca="1" si="55"/>
        <v>42</v>
      </c>
      <c r="N137" s="57"/>
    </row>
    <row r="138" spans="1:14" s="61" customFormat="1" ht="18" x14ac:dyDescent="0.35">
      <c r="A138" s="58">
        <v>46154</v>
      </c>
      <c r="B138" s="58">
        <v>46032</v>
      </c>
      <c r="C138" s="30" t="s">
        <v>209</v>
      </c>
      <c r="D138" s="30" t="s">
        <v>204</v>
      </c>
      <c r="E138" s="30" t="s">
        <v>26</v>
      </c>
      <c r="F138" s="13">
        <v>0</v>
      </c>
      <c r="G138" s="13"/>
      <c r="H138" s="29">
        <f t="shared" si="54"/>
        <v>37.921999999999997</v>
      </c>
      <c r="I138" s="29">
        <v>37.921999999999997</v>
      </c>
      <c r="J138" s="29">
        <v>4981.598</v>
      </c>
      <c r="K138" s="59" t="s">
        <v>210</v>
      </c>
      <c r="L138" s="16" t="s">
        <v>217</v>
      </c>
      <c r="M138" s="59">
        <f t="shared" ca="1" si="55"/>
        <v>131</v>
      </c>
      <c r="N138" s="60"/>
    </row>
    <row r="139" spans="1:14" s="61" customFormat="1" ht="18" x14ac:dyDescent="0.35">
      <c r="A139" s="58">
        <v>46154</v>
      </c>
      <c r="B139" s="58">
        <v>46073</v>
      </c>
      <c r="C139" s="30" t="s">
        <v>211</v>
      </c>
      <c r="D139" s="30" t="s">
        <v>204</v>
      </c>
      <c r="E139" s="30" t="s">
        <v>26</v>
      </c>
      <c r="F139" s="13">
        <f>5879.747-846-650-615-3319+1000-914+25-488+64-260</f>
        <v>-123.2529999999997</v>
      </c>
      <c r="G139" s="13"/>
      <c r="H139" s="29">
        <f t="shared" si="54"/>
        <v>1779.5799999999997</v>
      </c>
      <c r="I139" s="29">
        <v>1656.327</v>
      </c>
      <c r="J139" s="29">
        <v>5879.7470000000003</v>
      </c>
      <c r="K139" s="59" t="s">
        <v>212</v>
      </c>
      <c r="L139" s="16" t="s">
        <v>217</v>
      </c>
      <c r="M139" s="59">
        <f t="shared" ca="1" si="55"/>
        <v>90</v>
      </c>
      <c r="N139" s="60"/>
    </row>
    <row r="140" spans="1:14" s="61" customFormat="1" ht="18" x14ac:dyDescent="0.35">
      <c r="A140" s="58">
        <v>46154</v>
      </c>
      <c r="B140" s="58">
        <v>46136</v>
      </c>
      <c r="C140" s="30" t="s">
        <v>213</v>
      </c>
      <c r="D140" s="30" t="s">
        <v>204</v>
      </c>
      <c r="E140" s="30" t="s">
        <v>26</v>
      </c>
      <c r="F140" s="13">
        <v>0</v>
      </c>
      <c r="G140" s="13"/>
      <c r="H140" s="29">
        <f t="shared" si="54"/>
        <v>28.79</v>
      </c>
      <c r="I140" s="29">
        <v>28.79</v>
      </c>
      <c r="J140" s="29">
        <v>1000</v>
      </c>
      <c r="K140" s="59" t="s">
        <v>34</v>
      </c>
      <c r="L140" s="16" t="s">
        <v>217</v>
      </c>
      <c r="M140" s="59">
        <f t="shared" ca="1" si="55"/>
        <v>27</v>
      </c>
      <c r="N140" s="60"/>
    </row>
    <row r="141" spans="1:14" ht="18" x14ac:dyDescent="0.35">
      <c r="A141" s="9">
        <v>46154</v>
      </c>
      <c r="B141" s="9">
        <v>46010</v>
      </c>
      <c r="C141" s="11" t="s">
        <v>214</v>
      </c>
      <c r="D141" s="11" t="s">
        <v>204</v>
      </c>
      <c r="E141" s="11" t="s">
        <v>14</v>
      </c>
      <c r="F141" s="19">
        <v>0</v>
      </c>
      <c r="G141" s="13"/>
      <c r="H141" s="14">
        <f t="shared" si="54"/>
        <v>24.128</v>
      </c>
      <c r="I141" s="14">
        <v>24.128</v>
      </c>
      <c r="J141" s="14">
        <v>5242.9709999999995</v>
      </c>
      <c r="K141" s="15" t="s">
        <v>15</v>
      </c>
      <c r="L141" s="16" t="s">
        <v>217</v>
      </c>
      <c r="M141" s="15">
        <f t="shared" ca="1" si="55"/>
        <v>153</v>
      </c>
      <c r="N141" s="57"/>
    </row>
    <row r="142" spans="1:14" ht="18" x14ac:dyDescent="0.35">
      <c r="A142" s="9">
        <v>46154</v>
      </c>
      <c r="B142" s="9">
        <v>46009</v>
      </c>
      <c r="C142" s="11" t="s">
        <v>215</v>
      </c>
      <c r="D142" s="11" t="s">
        <v>204</v>
      </c>
      <c r="E142" s="11" t="s">
        <v>14</v>
      </c>
      <c r="F142" s="19">
        <v>0</v>
      </c>
      <c r="G142" s="13"/>
      <c r="H142" s="14">
        <f t="shared" si="54"/>
        <v>8.0000000000000002E-3</v>
      </c>
      <c r="I142" s="14">
        <v>8.0000000000000002E-3</v>
      </c>
      <c r="J142" s="14">
        <v>5185.6229999999996</v>
      </c>
      <c r="K142" s="15" t="s">
        <v>15</v>
      </c>
      <c r="L142" s="16" t="s">
        <v>217</v>
      </c>
      <c r="M142" s="15">
        <f t="shared" ca="1" si="55"/>
        <v>154</v>
      </c>
      <c r="N142" s="57"/>
    </row>
    <row r="143" spans="1:14" ht="18" x14ac:dyDescent="0.35">
      <c r="A143" s="9">
        <v>46154</v>
      </c>
      <c r="B143" s="9">
        <v>46099</v>
      </c>
      <c r="C143" s="11" t="s">
        <v>216</v>
      </c>
      <c r="D143" s="11" t="s">
        <v>204</v>
      </c>
      <c r="E143" s="11" t="s">
        <v>14</v>
      </c>
      <c r="F143" s="19">
        <f>8521.987-80-3922-500-1461-50-22-150-170-16.102-1542-358-500-25+25</f>
        <v>-249.11500000000069</v>
      </c>
      <c r="G143" s="13"/>
      <c r="H143" s="14">
        <f t="shared" si="54"/>
        <v>1639.7400000000007</v>
      </c>
      <c r="I143" s="14">
        <v>1390.625</v>
      </c>
      <c r="J143" s="14">
        <v>8521.9869999999992</v>
      </c>
      <c r="K143" s="15" t="s">
        <v>15</v>
      </c>
      <c r="L143" s="16" t="s">
        <v>217</v>
      </c>
      <c r="M143" s="15">
        <f t="shared" ca="1" si="55"/>
        <v>64</v>
      </c>
      <c r="N143" s="57"/>
    </row>
    <row r="145" spans="3:14" ht="18" x14ac:dyDescent="0.35">
      <c r="I145" s="64"/>
    </row>
    <row r="146" spans="3:14" ht="18" x14ac:dyDescent="0.35">
      <c r="I146" s="64"/>
      <c r="J146" s="64"/>
    </row>
    <row r="147" spans="3:14" ht="18" x14ac:dyDescent="0.35">
      <c r="I147" s="64"/>
      <c r="J147" s="64"/>
      <c r="K147" s="66"/>
    </row>
    <row r="148" spans="3:14" ht="18" x14ac:dyDescent="0.35">
      <c r="H148" s="67"/>
      <c r="I148" s="64"/>
      <c r="J148" s="67"/>
      <c r="K148" s="66"/>
    </row>
    <row r="149" spans="3:14" x14ac:dyDescent="0.35">
      <c r="H149" s="67"/>
      <c r="I149" s="67"/>
      <c r="J149" s="67"/>
    </row>
    <row r="150" spans="3:14" x14ac:dyDescent="0.35">
      <c r="H150" s="67"/>
      <c r="I150" s="67"/>
      <c r="J150" s="67"/>
    </row>
    <row r="151" spans="3:14" x14ac:dyDescent="0.35">
      <c r="H151" s="67"/>
      <c r="I151" s="67"/>
      <c r="J151" s="67"/>
    </row>
    <row r="152" spans="3:14" x14ac:dyDescent="0.35">
      <c r="H152" s="67"/>
      <c r="I152" s="67"/>
      <c r="J152" s="67"/>
    </row>
    <row r="153" spans="3:14" s="62" customFormat="1" x14ac:dyDescent="0.35">
      <c r="C153"/>
      <c r="D153"/>
      <c r="E153"/>
      <c r="G153" s="63"/>
      <c r="H153" s="67"/>
      <c r="I153" s="67"/>
      <c r="J153" s="67"/>
      <c r="N153" s="65"/>
    </row>
    <row r="154" spans="3:14" s="62" customFormat="1" x14ac:dyDescent="0.35">
      <c r="C154"/>
      <c r="D154"/>
      <c r="E154"/>
      <c r="G154" s="63"/>
      <c r="H154" s="67"/>
      <c r="I154" s="67"/>
      <c r="J154" s="67"/>
      <c r="N154" s="65"/>
    </row>
    <row r="155" spans="3:14" s="62" customFormat="1" x14ac:dyDescent="0.35">
      <c r="C155"/>
      <c r="D155"/>
      <c r="E155"/>
      <c r="G155" s="63"/>
      <c r="H155" s="67"/>
      <c r="I155" s="67"/>
      <c r="J155" s="67"/>
      <c r="N155" s="65"/>
    </row>
  </sheetData>
  <autoFilter ref="B2:M143" xr:uid="{00000000-0009-0000-0000-000001000000}">
    <sortState xmlns:xlrd2="http://schemas.microsoft.com/office/spreadsheetml/2017/richdata2" ref="B76:M87">
      <sortCondition ref="D2:D146"/>
    </sortState>
  </autoFilter>
  <mergeCells count="1">
    <mergeCell ref="B1:M1"/>
  </mergeCells>
  <conditionalFormatting sqref="I1:J47 F1:F1048576 I49:J132">
    <cfRule type="cellIs" dxfId="2" priority="22" operator="lessThan">
      <formula>0</formula>
    </cfRule>
  </conditionalFormatting>
  <conditionalFormatting sqref="I135:J143">
    <cfRule type="cellIs" dxfId="1" priority="5" operator="lessThan">
      <formula>0</formula>
    </cfRule>
  </conditionalFormatting>
  <conditionalFormatting sqref="K22:L22 I145 I146:J147 I148">
    <cfRule type="cellIs" dxfId="0" priority="36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12-05-2026</vt:lpstr>
      <vt:lpstr>'12-05-2026'!Print_Area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Dugar</dc:creator>
  <cp:lastModifiedBy>Amit Gupta</cp:lastModifiedBy>
  <dcterms:created xsi:type="dcterms:W3CDTF">2026-05-19T10:53:54Z</dcterms:created>
  <dcterms:modified xsi:type="dcterms:W3CDTF">2026-05-21T04:40:06Z</dcterms:modified>
</cp:coreProperties>
</file>