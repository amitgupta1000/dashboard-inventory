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600" windowHeight="7500" firstSheet="1" activeTab="1"/>
  </bookViews>
  <sheets>
    <sheet name="17-05-23" sheetId="1" state="hidden" r:id="rId1"/>
    <sheet name="13-05-2026" sheetId="2" r:id="rId2"/>
    <sheet name="17-05-23 (3)" sheetId="3" state="hidden" r:id="rId3"/>
    <sheet name="NEW VESSEL BOOKING" sheetId="4" r:id="rId4"/>
    <sheet name="CONTRACT SALES" sheetId="5" r:id="rId5"/>
    <sheet name="Sheet1" sheetId="6" r:id="rId6"/>
  </sheets>
  <definedNames>
    <definedName name="_xlnm._FilterDatabase" localSheetId="1" hidden="1">'13-05-2026'!$A$2:$L$199</definedName>
    <definedName name="_xlnm._FilterDatabase" localSheetId="0" hidden="1">'17-05-23'!$A$6:$N$208</definedName>
    <definedName name="_xlnm._FilterDatabase" localSheetId="2" hidden="1">'17-05-23 (3)'!$A$6:$N$208</definedName>
    <definedName name="_xlnm._FilterDatabase" localSheetId="4" hidden="1">'CONTRACT SALES'!$B$1:$G$2</definedName>
    <definedName name="_xlnm._FilterDatabase" localSheetId="3" hidden="1">'NEW VESSEL BOOKING'!$A$1:$G$13</definedName>
    <definedName name="_xlnm.Print_Area" localSheetId="1">'13-05-2026'!$A$1:$L$199</definedName>
    <definedName name="_xlnm.Print_Area" localSheetId="3">'NEW VESSEL BOOKING'!$A$1:$G$1</definedName>
  </definedNames>
  <calcPr calcId="145621"/>
</workbook>
</file>

<file path=xl/calcChain.xml><?xml version="1.0" encoding="utf-8"?>
<calcChain xmlns="http://schemas.openxmlformats.org/spreadsheetml/2006/main">
  <c r="E158" i="2" l="1"/>
  <c r="E159" i="2"/>
  <c r="E164" i="2" l="1"/>
  <c r="E165" i="2"/>
  <c r="E173" i="2" l="1"/>
  <c r="E129" i="2"/>
  <c r="E48" i="2" l="1"/>
  <c r="E193" i="2"/>
  <c r="E90" i="2"/>
  <c r="E85" i="2"/>
  <c r="E78" i="2"/>
  <c r="E120" i="2"/>
  <c r="E34" i="2"/>
  <c r="E6" i="2"/>
  <c r="E15" i="2"/>
  <c r="E119" i="2" l="1"/>
  <c r="E156" i="2" l="1"/>
  <c r="E135" i="2"/>
  <c r="E52" i="2" l="1"/>
  <c r="E56" i="2"/>
  <c r="E22" i="2" l="1"/>
  <c r="E27" i="2"/>
  <c r="E21" i="2" l="1"/>
  <c r="H146" i="2" l="1"/>
  <c r="E25" i="2" l="1"/>
  <c r="H108" i="2" l="1"/>
  <c r="E109" i="2" l="1"/>
  <c r="E102" i="2"/>
  <c r="E128" i="2"/>
  <c r="E42" i="2"/>
  <c r="E163" i="2"/>
  <c r="E150" i="2"/>
  <c r="E147" i="2"/>
  <c r="E97" i="2"/>
  <c r="E83" i="2"/>
  <c r="E134" i="2" l="1"/>
  <c r="E133" i="2" l="1"/>
  <c r="E26" i="2" l="1"/>
  <c r="G159" i="2" l="1"/>
  <c r="L159" i="2"/>
  <c r="E177" i="2" l="1"/>
  <c r="E181" i="2" l="1"/>
  <c r="E49" i="2" l="1"/>
  <c r="L83" i="2" l="1"/>
  <c r="G83" i="2"/>
  <c r="L23" i="2" l="1"/>
  <c r="G23" i="2"/>
  <c r="L90" i="2" l="1"/>
  <c r="L89" i="2"/>
  <c r="G90" i="2"/>
  <c r="E178" i="2" l="1"/>
  <c r="H58" i="2" l="1"/>
  <c r="E55" i="2" l="1"/>
  <c r="E94" i="2" l="1"/>
  <c r="E188" i="2" l="1"/>
  <c r="E58" i="2"/>
  <c r="E11" i="2"/>
  <c r="E191" i="2" l="1"/>
  <c r="E197" i="2"/>
  <c r="E101" i="2" l="1"/>
  <c r="E104" i="2" l="1"/>
  <c r="E162" i="2" l="1"/>
  <c r="E31" i="2" l="1"/>
  <c r="E86" i="2" l="1"/>
  <c r="L85" i="2"/>
  <c r="H86" i="2"/>
  <c r="G85" i="2"/>
  <c r="E115" i="2" l="1"/>
  <c r="E91" i="2"/>
  <c r="H104" i="2" l="1"/>
  <c r="L194" i="2" l="1"/>
  <c r="G194" i="2"/>
  <c r="E183" i="2" l="1"/>
  <c r="E59" i="2" l="1"/>
  <c r="H13" i="2" l="1"/>
  <c r="G12" i="2"/>
  <c r="E13" i="2"/>
  <c r="L12" i="2"/>
  <c r="H121" i="2" l="1"/>
  <c r="G120" i="2"/>
  <c r="E121" i="2"/>
  <c r="L120" i="2"/>
  <c r="G158" i="2" l="1"/>
  <c r="L158" i="2"/>
  <c r="G138" i="2" l="1"/>
  <c r="L138" i="2"/>
  <c r="G137" i="2"/>
  <c r="L137" i="2" l="1"/>
  <c r="L16" i="2"/>
  <c r="G16" i="2"/>
  <c r="L173" i="2" l="1"/>
  <c r="G173" i="2"/>
  <c r="G136" i="2" l="1"/>
  <c r="L136" i="2"/>
  <c r="E17" i="2"/>
  <c r="G11" i="2" l="1"/>
  <c r="L11" i="2"/>
  <c r="H18" i="2"/>
  <c r="E18" i="2"/>
  <c r="L15" i="2" l="1"/>
  <c r="G15" i="2"/>
  <c r="G22" i="2" l="1"/>
  <c r="L22" i="2"/>
  <c r="G104" i="2" l="1"/>
  <c r="L104" i="2"/>
  <c r="H169" i="2" l="1"/>
  <c r="E169" i="2"/>
  <c r="E45" i="2" l="1"/>
  <c r="E68" i="2" l="1"/>
  <c r="E60" i="2"/>
  <c r="G171" i="2" l="1"/>
  <c r="L171" i="2"/>
  <c r="L174" i="2" l="1"/>
  <c r="H175" i="2"/>
  <c r="G174" i="2"/>
  <c r="G135" i="2" l="1"/>
  <c r="L135" i="2"/>
  <c r="L134" i="2"/>
  <c r="G134" i="2"/>
  <c r="G56" i="2" l="1"/>
  <c r="L56" i="2"/>
  <c r="G115" i="2" l="1"/>
  <c r="L115" i="2"/>
  <c r="L148" i="2"/>
  <c r="G148" i="2"/>
  <c r="E116" i="2"/>
  <c r="G128" i="2" l="1"/>
  <c r="L128" i="2"/>
  <c r="E175" i="2" l="1"/>
  <c r="E149" i="2" l="1"/>
  <c r="G142" i="2" l="1"/>
  <c r="H130" i="2" l="1"/>
  <c r="L129" i="2"/>
  <c r="G129" i="2"/>
  <c r="E130" i="2" l="1"/>
  <c r="G84" i="2" l="1"/>
  <c r="L84" i="2"/>
  <c r="L21" i="2" l="1"/>
  <c r="G21" i="2"/>
  <c r="G46" i="2" l="1"/>
  <c r="L46" i="2"/>
  <c r="L168" i="2" l="1"/>
  <c r="E168" i="2" l="1"/>
  <c r="G168" i="2" s="1"/>
  <c r="G169" i="2" s="1"/>
  <c r="L55" i="2" l="1"/>
  <c r="G55" i="2"/>
  <c r="L94" i="2" l="1"/>
  <c r="G94" i="2"/>
  <c r="G191" i="2" l="1"/>
  <c r="L191" i="2"/>
  <c r="G178" i="2" l="1"/>
  <c r="L178" i="2"/>
  <c r="G119" i="2" l="1"/>
  <c r="L119" i="2"/>
  <c r="L165" i="2" l="1"/>
  <c r="G10" i="2" l="1"/>
  <c r="L10" i="2"/>
  <c r="G17" i="2" l="1"/>
  <c r="L17" i="2" l="1"/>
  <c r="E143" i="2" l="1"/>
  <c r="H143" i="2"/>
  <c r="L142" i="2"/>
  <c r="E166" i="2" l="1"/>
  <c r="H166" i="2"/>
  <c r="G165" i="2"/>
  <c r="G164" i="2" l="1"/>
  <c r="L164" i="2"/>
  <c r="H95" i="2" l="1"/>
  <c r="L188" i="2" l="1"/>
  <c r="G188" i="2"/>
  <c r="G147" i="2" l="1"/>
  <c r="L147" i="2"/>
  <c r="L146" i="2"/>
  <c r="G146" i="2"/>
  <c r="H198" i="2" l="1"/>
  <c r="G197" i="2"/>
  <c r="E198" i="2"/>
  <c r="L197" i="2"/>
  <c r="G60" i="2" l="1"/>
  <c r="L60" i="2"/>
  <c r="G25" i="2" l="1"/>
  <c r="L25" i="2" l="1"/>
  <c r="G48" i="2" l="1"/>
  <c r="L48" i="2"/>
  <c r="L106" i="2" l="1"/>
  <c r="G106" i="2"/>
  <c r="L105" i="2"/>
  <c r="G105" i="2"/>
  <c r="L103" i="2"/>
  <c r="L102" i="2"/>
  <c r="G103" i="2" l="1"/>
  <c r="G102" i="2"/>
  <c r="G157" i="2" l="1"/>
  <c r="L157" i="2"/>
  <c r="G156" i="2" l="1"/>
  <c r="L156" i="2"/>
  <c r="G155" i="2"/>
  <c r="L155" i="2"/>
  <c r="L149" i="2" l="1"/>
  <c r="G149" i="2"/>
  <c r="L101" i="2" l="1"/>
  <c r="G101" i="2"/>
  <c r="G109" i="2" l="1"/>
  <c r="L109" i="2"/>
  <c r="G61" i="2" l="1"/>
  <c r="L61" i="2"/>
  <c r="G26" i="2" l="1"/>
  <c r="L26" i="2"/>
  <c r="G49" i="2" l="1"/>
  <c r="L49" i="2"/>
  <c r="G6" i="2" l="1"/>
  <c r="L6" i="2"/>
  <c r="H62" i="2" l="1"/>
  <c r="G163" i="2" l="1"/>
  <c r="L163" i="2"/>
  <c r="G116" i="2" l="1"/>
  <c r="L116" i="2"/>
  <c r="E75" i="2" l="1"/>
  <c r="L74" i="2"/>
  <c r="H75" i="2"/>
  <c r="G74" i="2"/>
  <c r="H117" i="2" l="1"/>
  <c r="E62" i="2" l="1"/>
  <c r="G141" i="2" l="1"/>
  <c r="L141" i="2"/>
  <c r="L150" i="2" l="1"/>
  <c r="G150" i="2"/>
  <c r="G151" i="2"/>
  <c r="L151" i="2"/>
  <c r="L108" i="2" l="1"/>
  <c r="G108" i="2"/>
  <c r="G172" i="2" l="1"/>
  <c r="L172" i="2"/>
  <c r="G193" i="2" l="1"/>
  <c r="L193" i="2"/>
  <c r="G113" i="2" l="1"/>
  <c r="L113" i="2"/>
  <c r="G112" i="2"/>
  <c r="L112" i="2"/>
  <c r="L127" i="2" l="1"/>
  <c r="G127" i="2"/>
  <c r="G130" i="2" s="1"/>
  <c r="G5" i="2" l="1"/>
  <c r="L5" i="2"/>
  <c r="G58" i="2" l="1"/>
  <c r="L58" i="2"/>
  <c r="L181" i="2" l="1"/>
  <c r="G181" i="2"/>
  <c r="G182" i="2" l="1"/>
  <c r="L182" i="2"/>
  <c r="H65" i="2" l="1"/>
  <c r="E65" i="2"/>
  <c r="L64" i="2"/>
  <c r="G64" i="2"/>
  <c r="E95" i="2" l="1"/>
  <c r="H98" i="2" l="1"/>
  <c r="E98" i="2"/>
  <c r="F98" i="2" s="1"/>
  <c r="L97" i="2"/>
  <c r="G97" i="2"/>
  <c r="G98" i="2" s="1"/>
  <c r="G175" i="2" l="1"/>
  <c r="H125" i="2" l="1"/>
  <c r="G124" i="2"/>
  <c r="L124" i="2"/>
  <c r="G133" i="2" l="1"/>
  <c r="L133" i="2"/>
  <c r="G9" i="2" l="1"/>
  <c r="L9" i="2"/>
  <c r="G190" i="2" l="1"/>
  <c r="L190" i="2"/>
  <c r="G89" i="2" l="1"/>
  <c r="G183" i="2" l="1"/>
  <c r="L183" i="2" l="1"/>
  <c r="G114" i="2" l="1"/>
  <c r="L114" i="2"/>
  <c r="G4" i="2" l="1"/>
  <c r="L4" i="2"/>
  <c r="L20" i="2" l="1"/>
  <c r="G20" i="2"/>
  <c r="G121" i="2" l="1"/>
  <c r="G162" i="2" l="1"/>
  <c r="L162" i="2"/>
  <c r="G161" i="2"/>
  <c r="L161" i="2"/>
  <c r="G59" i="2" l="1"/>
  <c r="L59" i="2"/>
  <c r="H179" i="2" l="1"/>
  <c r="E179" i="2"/>
  <c r="L177" i="2"/>
  <c r="G177" i="2"/>
  <c r="G179" i="2" l="1"/>
  <c r="G111" i="2" l="1"/>
  <c r="L111" i="2"/>
  <c r="L110" i="2"/>
  <c r="G110" i="2"/>
  <c r="G140" i="2" l="1"/>
  <c r="L140" i="2"/>
  <c r="L187" i="2" l="1"/>
  <c r="G187" i="2"/>
  <c r="G192" i="2" l="1"/>
  <c r="L192" i="2"/>
  <c r="G39" i="2" l="1"/>
  <c r="H40" i="2"/>
  <c r="L39" i="2"/>
  <c r="E125" i="2" l="1"/>
  <c r="G189" i="2" l="1"/>
  <c r="L189" i="2"/>
  <c r="F65" i="2" l="1"/>
  <c r="G65" i="2"/>
  <c r="G75" i="2" l="1"/>
  <c r="E40" i="2" l="1"/>
  <c r="G154" i="2" l="1"/>
  <c r="L154" i="2"/>
  <c r="L100" i="2" l="1"/>
  <c r="G100" i="2"/>
  <c r="G196" i="2" l="1"/>
  <c r="L196" i="2"/>
  <c r="G195" i="2" l="1"/>
  <c r="L195" i="2"/>
  <c r="G57" i="2" l="1"/>
  <c r="L57" i="2"/>
  <c r="H28" i="2"/>
  <c r="G27" i="2"/>
  <c r="L27" i="2"/>
  <c r="E50" i="2" l="1"/>
  <c r="G107" i="2" l="1"/>
  <c r="L107" i="2"/>
  <c r="G88" i="2" l="1"/>
  <c r="L88" i="2"/>
  <c r="G184" i="2" l="1"/>
  <c r="H185" i="2"/>
  <c r="L184" i="2"/>
  <c r="L38" i="2" l="1"/>
  <c r="G38" i="2"/>
  <c r="E28" i="2" l="1"/>
  <c r="G198" i="2" l="1"/>
  <c r="G123" i="2"/>
  <c r="L123" i="2"/>
  <c r="E185" i="2" l="1"/>
  <c r="G3" i="2" l="1"/>
  <c r="L3" i="2"/>
  <c r="L139" i="2" l="1"/>
  <c r="G139" i="2"/>
  <c r="L160" i="2"/>
  <c r="G160" i="2"/>
  <c r="L153" i="2" l="1"/>
  <c r="G153" i="2"/>
  <c r="E82" i="2" l="1"/>
  <c r="G45" i="2" l="1"/>
  <c r="L45" i="2"/>
  <c r="G54" i="2" l="1"/>
  <c r="L54" i="2"/>
  <c r="L44" i="2" l="1"/>
  <c r="G44" i="2"/>
  <c r="F75" i="2" l="1"/>
  <c r="G53" i="2" l="1"/>
  <c r="L53" i="2"/>
  <c r="L152" i="2" l="1"/>
  <c r="G152" i="2"/>
  <c r="H92" i="2" l="1"/>
  <c r="H79" i="2"/>
  <c r="H72" i="2" l="1"/>
  <c r="H69" i="2"/>
  <c r="H50" i="2" l="1"/>
  <c r="H35" i="2"/>
  <c r="H32" i="2" l="1"/>
  <c r="H199" i="2" l="1"/>
  <c r="E117" i="2"/>
  <c r="G125" i="2" l="1"/>
  <c r="G37" i="2"/>
  <c r="G40" i="2" s="1"/>
  <c r="L37" i="2"/>
  <c r="L24" i="2" l="1"/>
  <c r="G24" i="2"/>
  <c r="L91" i="2" l="1"/>
  <c r="G91" i="2"/>
  <c r="G47" i="2" l="1"/>
  <c r="L47" i="2"/>
  <c r="E79" i="2" l="1"/>
  <c r="L43" i="2" l="1"/>
  <c r="G43" i="2"/>
  <c r="E92" i="2" l="1"/>
  <c r="L42" i="2" l="1"/>
  <c r="G42" i="2"/>
  <c r="G50" i="2" s="1"/>
  <c r="L132" i="2"/>
  <c r="G132" i="2"/>
  <c r="G185" i="2" l="1"/>
  <c r="G8" i="2" l="1"/>
  <c r="L8" i="2"/>
  <c r="L145" i="2" l="1"/>
  <c r="G145" i="2"/>
  <c r="G166" i="2" s="1"/>
  <c r="L71" i="2" l="1"/>
  <c r="G71" i="2"/>
  <c r="L7" i="2" l="1"/>
  <c r="G7" i="2"/>
  <c r="G13" i="2" s="1"/>
  <c r="G143" i="2" l="1"/>
  <c r="G18" i="2" l="1"/>
  <c r="G68" i="2" l="1"/>
  <c r="L68" i="2"/>
  <c r="L30" i="2" l="1"/>
  <c r="G30" i="2"/>
  <c r="L52" i="2"/>
  <c r="G52" i="2"/>
  <c r="G62" i="2" s="1"/>
  <c r="G95" i="2" l="1"/>
  <c r="E35" i="2" l="1"/>
  <c r="F35" i="2" s="1"/>
  <c r="L34" i="2"/>
  <c r="G34" i="2"/>
  <c r="G35" i="2" s="1"/>
  <c r="E32" i="2" l="1"/>
  <c r="E69" i="2" l="1"/>
  <c r="F18" i="2" l="1"/>
  <c r="E72" i="2" l="1"/>
  <c r="L82" i="2" l="1"/>
  <c r="G82" i="2"/>
  <c r="L67" i="2"/>
  <c r="G67" i="2"/>
  <c r="L31" i="2"/>
  <c r="G31" i="2"/>
  <c r="L81" i="2" l="1"/>
  <c r="G81" i="2"/>
  <c r="G86" i="2" s="1"/>
  <c r="G32" i="2" l="1"/>
  <c r="L78" i="2" l="1"/>
  <c r="G78" i="2" l="1"/>
  <c r="F92" i="2" l="1"/>
  <c r="F125" i="2" l="1"/>
  <c r="F69" i="2" l="1"/>
  <c r="G69" i="2" l="1"/>
  <c r="G28" i="2" l="1"/>
  <c r="G92" i="2" l="1"/>
  <c r="G72" i="2" l="1"/>
  <c r="G117" i="2" l="1"/>
  <c r="L77" i="2" l="1"/>
  <c r="G77" i="2"/>
  <c r="G79" i="2" s="1"/>
  <c r="F32" i="2" l="1"/>
  <c r="F130" i="2" l="1"/>
  <c r="F79" i="2" l="1"/>
  <c r="F86" i="2" l="1"/>
  <c r="F175" i="2" l="1"/>
  <c r="F117" i="2" l="1"/>
  <c r="F95" i="2" l="1"/>
  <c r="F121" i="2" l="1"/>
  <c r="F28" i="2" l="1"/>
  <c r="H204" i="3" l="1"/>
  <c r="G204" i="3"/>
  <c r="H203" i="3"/>
  <c r="G203" i="3"/>
  <c r="E203" i="3" s="1"/>
  <c r="H202" i="3"/>
  <c r="G202" i="3"/>
  <c r="E202" i="3" s="1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E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160" i="3" l="1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83" i="3" s="1"/>
  <c r="F83" i="3" s="1"/>
  <c r="E92" i="3"/>
  <c r="E96" i="3" s="1"/>
  <c r="F96" i="3" s="1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57" i="3" s="1"/>
  <c r="F57" i="3" s="1"/>
  <c r="E89" i="3"/>
  <c r="E90" i="3" s="1"/>
  <c r="F90" i="3" s="1"/>
  <c r="E98" i="3"/>
  <c r="E124" i="3"/>
  <c r="E101" i="3" l="1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G160" i="1"/>
  <c r="E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G203" i="1"/>
  <c r="E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82" i="1" s="1"/>
  <c r="F182" i="1" s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39" i="1" l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F13" i="2" l="1"/>
  <c r="F62" i="2" l="1"/>
  <c r="F179" i="2"/>
  <c r="F143" i="2"/>
  <c r="F198" i="2" l="1"/>
  <c r="F169" i="2" l="1"/>
  <c r="F50" i="2"/>
  <c r="F166" i="2"/>
  <c r="F185" i="2"/>
  <c r="G199" i="2" l="1"/>
  <c r="F72" i="2" l="1"/>
  <c r="F40" i="2"/>
  <c r="F199" i="2" l="1"/>
</calcChain>
</file>

<file path=xl/sharedStrings.xml><?xml version="1.0" encoding="utf-8"?>
<sst xmlns="http://schemas.openxmlformats.org/spreadsheetml/2006/main" count="1963" uniqueCount="451">
  <si>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</si>
  <si>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</si>
  <si>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</si>
  <si>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</si>
  <si>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</si>
  <si>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</si>
  <si>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</si>
  <si>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</si>
  <si>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</si>
  <si>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</si>
  <si>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</si>
  <si>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</si>
  <si>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</si>
  <si>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</si>
  <si>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</si>
  <si>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</si>
  <si>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</si>
  <si>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</si>
  <si>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</si>
  <si>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</si>
  <si>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</si>
  <si>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</si>
  <si>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</si>
  <si>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</si>
  <si>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</si>
  <si>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</si>
  <si>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</si>
  <si>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</si>
  <si>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</si>
  <si>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</si>
  <si>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</si>
  <si>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</si>
  <si>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</si>
  <si>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</si>
  <si>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</si>
  <si>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</si>
  <si>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</si>
  <si>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</si>
  <si>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</si>
  <si>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</si>
  <si>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</si>
  <si>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</si>
  <si>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</si>
  <si>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</si>
  <si>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</si>
  <si>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</si>
  <si>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</si>
  <si>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</si>
  <si>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</si>
  <si>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</si>
  <si>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</si>
  <si>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</si>
  <si>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</si>
  <si>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</si>
  <si>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</si>
  <si>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</si>
  <si>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</si>
  <si>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</si>
  <si>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</si>
  <si>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</si>
  <si>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</si>
  <si>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</si>
  <si>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</si>
  <si>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</si>
  <si>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</si>
  <si>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</si>
  <si>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</si>
  <si>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</si>
  <si>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</si>
  <si>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</si>
  <si>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</si>
  <si>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</si>
  <si>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</si>
  <si>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</si>
  <si>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</si>
  <si>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</si>
  <si>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</si>
  <si>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</si>
  <si>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</si>
  <si>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</si>
  <si>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</si>
  <si>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</si>
  <si>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</si>
  <si>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</si>
  <si>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</si>
  <si>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</si>
  <si>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</si>
  <si>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</si>
  <si>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</si>
  <si>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</si>
  <si>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</si>
  <si>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</si>
  <si>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</si>
  <si>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</si>
  <si>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</si>
  <si>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</si>
  <si>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</si>
  <si>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</si>
  <si>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</si>
  <si>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</si>
  <si>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</si>
  <si>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</si>
  <si>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</si>
  <si>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</si>
  <si>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</si>
  <si>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</si>
  <si>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</si>
  <si>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</si>
  <si>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</si>
  <si>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</si>
  <si>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</si>
  <si>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</si>
  <si>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</si>
  <si>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</si>
  <si>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</si>
  <si>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</si>
  <si>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</si>
  <si>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</si>
  <si>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</si>
  <si>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</si>
  <si>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</si>
  <si>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</si>
  <si>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</si>
  <si>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</si>
  <si>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</si>
  <si>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</si>
  <si>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</si>
  <si>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</si>
  <si>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</si>
  <si>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</si>
  <si>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</si>
  <si>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</si>
  <si>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</si>
  <si>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</si>
  <si>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</si>
  <si>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</si>
  <si>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</si>
  <si>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</si>
  <si>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</si>
  <si>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</si>
  <si>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</si>
  <si>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</si>
  <si>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</si>
  <si>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</si>
  <si>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</si>
  <si>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</si>
  <si>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</si>
  <si>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</si>
  <si>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</si>
  <si>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</si>
  <si>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</si>
  <si>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</si>
  <si>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</si>
  <si>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</si>
  <si>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</si>
  <si>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</si>
  <si>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</si>
  <si>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</si>
  <si>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</si>
  <si>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</si>
  <si>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</si>
  <si>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</si>
  <si>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</si>
  <si>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</si>
  <si>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</si>
  <si>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</si>
  <si>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</si>
  <si>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</si>
  <si>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</si>
  <si>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</si>
  <si>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</si>
  <si>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</si>
  <si>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</si>
  <si>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</si>
  <si>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</si>
  <si>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</si>
  <si>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</si>
  <si>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</si>
  <si>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</si>
  <si>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</si>
  <si>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</si>
  <si>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</si>
  <si>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</si>
  <si>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</si>
  <si>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</si>
  <si>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</si>
  <si>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</si>
  <si>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</si>
  <si>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</si>
  <si>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</si>
  <si>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</si>
  <si>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</si>
  <si>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</si>
  <si>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</si>
  <si>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</si>
  <si>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</si>
  <si>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</si>
  <si>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</si>
  <si>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</si>
  <si>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</si>
  <si>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</si>
  <si>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</si>
  <si>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</si>
  <si>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</si>
  <si>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</si>
  <si>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</si>
  <si>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</si>
  <si>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</si>
  <si>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</si>
  <si>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</si>
  <si>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</si>
  <si>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</si>
  <si>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</si>
  <si>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</si>
  <si>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</si>
  <si>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</si>
  <si>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</si>
  <si>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</si>
  <si>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</si>
  <si>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</si>
  <si>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</si>
  <si>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</si>
  <si>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</si>
  <si>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</si>
  <si>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</si>
  <si>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</si>
  <si>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</si>
  <si>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</si>
  <si>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</si>
  <si>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</si>
  <si>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</si>
  <si>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</si>
  <si>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</si>
  <si>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OBR DATE</t>
  </si>
  <si>
    <t>PARTY NAME</t>
  </si>
  <si>
    <t>PRODUCT</t>
  </si>
  <si>
    <t>QTY.</t>
  </si>
  <si>
    <t>REMARKS</t>
  </si>
  <si>
    <t>IBAC</t>
  </si>
  <si>
    <t>BUTYL DI  GLYCOL</t>
  </si>
  <si>
    <t>SIDHE</t>
  </si>
  <si>
    <t>SIDHE PETROCHEMICAL - SC PETREL</t>
  </si>
  <si>
    <t>ORTHO</t>
  </si>
  <si>
    <t>SRF LTD</t>
  </si>
  <si>
    <t>SIDHE PETROCHEMICAL - STOLT NORLAND</t>
  </si>
  <si>
    <t>AHIR + FSWAI</t>
  </si>
  <si>
    <t>F-5971 BOW ELM</t>
  </si>
  <si>
    <t>SIDHE PETRO STOLT INTEGRITY</t>
  </si>
  <si>
    <t>F-5933 STOLT INTEGRITY</t>
  </si>
  <si>
    <t>F-5994 STOLT INTEGRITY</t>
  </si>
  <si>
    <t>2-ETHYLHEXANOL</t>
  </si>
  <si>
    <t>F-6070 BOW TRAJECTORY</t>
  </si>
  <si>
    <t>CYCLOHEXANE</t>
  </si>
  <si>
    <t>F-6072 STOLT ENDURANCE</t>
  </si>
  <si>
    <t>F-6074 STOLT ENDURANCE</t>
  </si>
  <si>
    <t>F-6073 STOLT ENDURANCE</t>
  </si>
  <si>
    <t>CONTRACT 140 MT PER MONTH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</si>
  <si>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</si>
  <si>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</si>
  <si>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</si>
  <si>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</si>
  <si>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</si>
  <si>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</si>
  <si>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</si>
  <si>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F-6177 SINAR MENDAWAI</t>
  </si>
  <si>
    <t>F-6143A SEA HARVEST</t>
  </si>
  <si>
    <t>F-6177A SINAR MENDAWAI</t>
  </si>
  <si>
    <t>F-6146 BOW ODYSSEY</t>
  </si>
  <si>
    <t>F-6181 CNC RICH</t>
  </si>
  <si>
    <t>F-6150 BOW CHEETAH</t>
  </si>
  <si>
    <t>F-6126 NO. 03 OCEAN PIONEER</t>
  </si>
  <si>
    <t>F-6145 MARITIME VALOR</t>
  </si>
  <si>
    <t>F-6176 NO.6 OCEAN PIONEER</t>
  </si>
  <si>
    <t>F-6207 GINGA PUMA</t>
  </si>
  <si>
    <t>F-6209 GINGA PUMA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</si>
  <si>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</si>
  <si>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</si>
  <si>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</si>
  <si>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</si>
  <si>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</si>
  <si>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</si>
  <si>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F-6229 CNC BULL</t>
  </si>
  <si>
    <t>F-6196 ASIAN PIONEER</t>
  </si>
  <si>
    <t>APR25 TO MARCH26 QTY REVISED 140 MT PER MONTH, QTY REVISED 90 MT FROM 140 08.12.25</t>
  </si>
  <si>
    <t>F-6238 DM JADE</t>
  </si>
  <si>
    <t>F-6225 DS OCEAN</t>
  </si>
  <si>
    <t>F-6231 BOW COUGAR</t>
  </si>
  <si>
    <t>SPL-301A DS COUGAR</t>
  </si>
  <si>
    <t>SPL-302 DS COUGAR</t>
  </si>
  <si>
    <t>F-6263 MC GAEA</t>
  </si>
  <si>
    <t>F-6251 EASTERLY EAGLE</t>
  </si>
  <si>
    <t>F-6230 BOW COUGAR</t>
  </si>
  <si>
    <t>F-6226 PRABHU PARVATI</t>
  </si>
  <si>
    <t>F-6252 AL AMERAT</t>
  </si>
  <si>
    <t>F-6232 AURELIAN</t>
  </si>
  <si>
    <t xml:space="preserve">F-6267 SOLAR AILENE </t>
  </si>
  <si>
    <t>KESAR+FSWAI</t>
  </si>
  <si>
    <t>F-6280 WOOJIN ELVIS</t>
  </si>
  <si>
    <t>AHIR+KESAR</t>
  </si>
  <si>
    <t>SPL-319 CHEMROAD SIRIUS</t>
  </si>
  <si>
    <t>SPL-319A CHEMROAD SIRIUS</t>
  </si>
  <si>
    <t>F-6254 ORIENTAL COSMOS</t>
  </si>
  <si>
    <t>F-6277 AL SHAFFIAH</t>
  </si>
  <si>
    <t>OTR QTY</t>
  </si>
  <si>
    <t>SPL-320 CHEMROAD SIRIUS</t>
  </si>
  <si>
    <t>SPL-321 CHEMROAD SIRIUS SOLVENT</t>
  </si>
  <si>
    <t>SPL-322 CHEMROAD SIRIUS</t>
  </si>
  <si>
    <t>NEW VESSEL (1ST HLF MARCH)</t>
  </si>
  <si>
    <t>F-6259 CT BRIGHT</t>
  </si>
  <si>
    <t>AHIR+KESAR+FSWAI</t>
  </si>
  <si>
    <t>F-6316 TG CRAB</t>
  </si>
  <si>
    <t>F-6273 DM CONDOR</t>
  </si>
  <si>
    <t>F-6271 SONGA NEPTUNE</t>
  </si>
  <si>
    <t>2 KT MEG SWAP FILATEX</t>
  </si>
  <si>
    <t>F-6291 GLEN COVE</t>
  </si>
  <si>
    <t>F-6320A KAMUI GALAXY</t>
  </si>
  <si>
    <t>GBL (SELORD)</t>
  </si>
  <si>
    <t>F-6301 OSHAIRIJ</t>
  </si>
  <si>
    <t>F-6290 SONGA NEPTUNE</t>
  </si>
  <si>
    <t>F-6284 SONGA NEPTUNE</t>
  </si>
  <si>
    <t>F-6270 BRAVONEA</t>
  </si>
  <si>
    <t>MIXED HEPTANE</t>
  </si>
  <si>
    <t>F-6279 LISBON</t>
  </si>
  <si>
    <t>F-6276 LISBON</t>
  </si>
  <si>
    <t>F-6272 LISBON</t>
  </si>
  <si>
    <t>SPL-334 DM CONDOR</t>
  </si>
  <si>
    <t>F-6302 YONG CHANG SHUN HANG</t>
  </si>
  <si>
    <t>F-6303 STOLT MAPLE</t>
  </si>
  <si>
    <t>STYLAM INDUSTRIES</t>
  </si>
  <si>
    <t>SPL-318A CHEMOCEAN LEO</t>
  </si>
  <si>
    <t>SPL-318 CHEMOCEAN LEO</t>
  </si>
  <si>
    <t>F-6329 SOUTHERN CETACEA</t>
  </si>
  <si>
    <t>F-6310 DAMSGAARD</t>
  </si>
  <si>
    <t>FSWAI+AEGIS+CRL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</si>
  <si>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</si>
  <si>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</si>
  <si>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</si>
  <si>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</si>
  <si>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</si>
  <si>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</si>
  <si>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</si>
  <si>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</si>
  <si>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</si>
  <si>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</si>
  <si>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</si>
  <si>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</si>
  <si>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</si>
  <si>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</si>
  <si>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</si>
  <si>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KANDLA / HAZIRA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</si>
  <si>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</si>
  <si>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</si>
  <si>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</si>
  <si>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</si>
  <si>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</si>
  <si>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</si>
  <si>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</si>
  <si>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</si>
  <si>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</si>
  <si>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DATE</t>
  </si>
  <si>
    <t>RCF</t>
  </si>
  <si>
    <t>CONTRACT 500 PER MONTH FOR 3 YEARS</t>
  </si>
  <si>
    <t>NEW VESSEL (END MAY BLADE GALAXY)</t>
  </si>
  <si>
    <t>SIEGWERK INDIA</t>
  </si>
  <si>
    <t>LANXESS INDIA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</si>
  <si>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</si>
  <si>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</si>
  <si>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</si>
  <si>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</si>
  <si>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</si>
  <si>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</si>
  <si>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</si>
  <si>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</si>
  <si>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</si>
  <si>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</si>
  <si>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</si>
  <si>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</si>
  <si>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CONTRACT 100 MT PER MONTH (APR26 TO JUNE26</t>
  </si>
  <si>
    <t>F-6377 SOUTHERN QUOKKA</t>
  </si>
  <si>
    <t>T- 500MT PARAS CHEIRLIFE 18-03-2026</t>
  </si>
  <si>
    <t>NEW VESSEL (2ND HLF MAY)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</si>
  <si>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</si>
  <si>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</si>
  <si>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</si>
  <si>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</si>
  <si>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</si>
  <si>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</si>
  <si>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</si>
  <si>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T-238 YONG CHANG SHUN HANG</t>
  </si>
  <si>
    <t>F-6382 CT BRIGHT</t>
  </si>
  <si>
    <t>F-6370 SFL ARUBA</t>
  </si>
  <si>
    <t>F-6374 CNC RICH</t>
  </si>
  <si>
    <t>F-6338 STOLT BETULA</t>
  </si>
  <si>
    <t>NEW VESSEL (BLADE GALAXY)</t>
  </si>
  <si>
    <t>PRATISHTHA CHEM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</si>
  <si>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</si>
  <si>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</si>
  <si>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</si>
  <si>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</si>
  <si>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</si>
  <si>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</si>
  <si>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SIGNATURE SOLVOCHEM</t>
  </si>
  <si>
    <t>PRAGATI TRADELINK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</si>
  <si>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</si>
  <si>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</si>
  <si>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</si>
  <si>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</si>
  <si>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</si>
  <si>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</si>
  <si>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</si>
  <si>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</si>
  <si>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F-6341 MARITIME GRACIOUS</t>
  </si>
  <si>
    <t>F-6351 MARITIME GRACIOUS</t>
  </si>
  <si>
    <t>F-6342 MARITIME GRACIOUS</t>
  </si>
  <si>
    <t>STPL-13 BOW NEON</t>
  </si>
  <si>
    <t>STPL-10 GC BERYL</t>
  </si>
  <si>
    <t>APR25 TO MARCH28 500 PER MONTH</t>
  </si>
  <si>
    <t>T-239 MT LOYAL</t>
  </si>
  <si>
    <t>AHIR+CRL</t>
  </si>
  <si>
    <t>STPL-11 CHEMROAD ZENITH</t>
  </si>
  <si>
    <t>NEW VESSEL (MAY 2ND HLF)</t>
  </si>
  <si>
    <t>HUBER GROUP</t>
  </si>
  <si>
    <t>HP ADHESIVES</t>
  </si>
  <si>
    <t>NEW VESSEL (FAIRCHEM MAKO)</t>
  </si>
  <si>
    <t>NEW VESSEL (1ST WEEK JUNE)</t>
  </si>
  <si>
    <t>NEW VESSEL (JK MIRACLE)</t>
  </si>
  <si>
    <t>NEW VESSEL (MAY)</t>
  </si>
  <si>
    <t>SUPERFOAM CHEMISTRIES</t>
  </si>
  <si>
    <t>PI INDUSTRIES</t>
  </si>
  <si>
    <t>ALKYL AMINES</t>
  </si>
  <si>
    <t>JUBILANT INGREVIA</t>
  </si>
  <si>
    <t>AHIR+AEGIS</t>
  </si>
  <si>
    <t>F-6383 CHEMROAD ZENITH</t>
  </si>
  <si>
    <t>F-6349 YONG CHANG SHUN HANG</t>
  </si>
  <si>
    <t>STPL-8 BOW TRIBUTE</t>
  </si>
  <si>
    <t>IPCA LABORATORIES</t>
  </si>
  <si>
    <t>L-4461 KRLGUJGST2627-004 PRATISTHA FY26-27- 100000090</t>
  </si>
  <si>
    <t>NEW VESSEL (8TH JUNE)</t>
  </si>
  <si>
    <t>SHRI RAM KRIPA</t>
  </si>
  <si>
    <t>SAI LIFE SCIENCE</t>
  </si>
  <si>
    <t>350 TO 410 QTY</t>
  </si>
  <si>
    <t>STOCK REPORT 13-05-2026</t>
  </si>
  <si>
    <t>NEW VESSEL ( 20-25 MAY)</t>
  </si>
  <si>
    <t>NEW VESSEL</t>
  </si>
  <si>
    <t>NEW VESSEL (SLOGEN)</t>
  </si>
  <si>
    <t>UJIN PHARMA</t>
  </si>
  <si>
    <t>DEE BEE ORGANIC</t>
  </si>
  <si>
    <t>INNOVATIVE RESIN</t>
  </si>
  <si>
    <t>STYRENE</t>
  </si>
  <si>
    <t>PUMAX</t>
  </si>
  <si>
    <t>(SIDHGUN)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</si>
</sst>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_(* #,##0.00_);_(* \(#,##0.00\);_(* &quot;-&quot;??_);_(@_)"/>
  </numFmts>
  <fonts count="2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165" fontId="11" fillId="0" borderId="0" applyFont="0" applyFill="0" applyBorder="0" applyAlignment="0" applyProtection="0"/>
    <xf numFmtId="0" fontId="16" fillId="0" borderId="0"/>
    <xf numFmtId="165" fontId="10" fillId="0" borderId="0" applyFont="0" applyFill="0" applyBorder="0" applyAlignment="0" applyProtection="0"/>
    <xf numFmtId="0" fontId="17" fillId="0" borderId="0"/>
    <xf numFmtId="165" fontId="10" fillId="0" borderId="0" applyFont="0" applyFill="0" applyBorder="0" applyAlignment="0" applyProtection="0"/>
    <xf numFmtId="0" fontId="18" fillId="0" borderId="0"/>
  </cellStyleXfs>
  <cellXfs count="146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2" fontId="8" fillId="0" borderId="10" xfId="0" applyNumberFormat="1" applyFont="1" applyFill="1" applyBorder="1" applyAlignment="1">
      <alignment horizontal="center"/>
    </xf>
    <xf numFmtId="2" fontId="8" fillId="0" borderId="11" xfId="0" applyNumberFormat="1" applyFont="1" applyFill="1" applyBorder="1" applyAlignment="1">
      <alignment horizontal="center"/>
    </xf>
    <xf numFmtId="14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0" fillId="0" borderId="0" xfId="0" applyFont="1"/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5" fillId="0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164" fontId="5" fillId="0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2" fontId="8" fillId="0" borderId="12" xfId="0" applyNumberFormat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0" fontId="7" fillId="0" borderId="9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Fill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0" fontId="7" fillId="0" borderId="18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164" fontId="12" fillId="2" borderId="22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0" xfId="0" applyFont="1"/>
    <xf numFmtId="14" fontId="14" fillId="0" borderId="8" xfId="0" applyNumberFormat="1" applyFont="1" applyBorder="1"/>
    <xf numFmtId="0" fontId="15" fillId="0" borderId="8" xfId="0" applyFont="1" applyBorder="1"/>
    <xf numFmtId="0" fontId="14" fillId="0" borderId="8" xfId="0" applyFont="1" applyBorder="1"/>
    <xf numFmtId="164" fontId="15" fillId="0" borderId="8" xfId="0" applyNumberFormat="1" applyFont="1" applyBorder="1"/>
    <xf numFmtId="164" fontId="4" fillId="0" borderId="8" xfId="0" applyNumberFormat="1" applyFont="1" applyFill="1" applyBorder="1" applyAlignment="1">
      <alignment horizontal="center" wrapText="1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2" fontId="8" fillId="0" borderId="23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2" fontId="8" fillId="6" borderId="20" xfId="0" applyNumberFormat="1" applyFont="1" applyFill="1" applyBorder="1" applyAlignment="1">
      <alignment horizontal="center"/>
    </xf>
    <xf numFmtId="0" fontId="0" fillId="6" borderId="0" xfId="0" applyFill="1"/>
    <xf numFmtId="164" fontId="12" fillId="2" borderId="8" xfId="0" applyNumberFormat="1" applyFont="1" applyFill="1" applyBorder="1" applyAlignment="1">
      <alignment horizontal="center" vertical="center"/>
    </xf>
    <xf numFmtId="164" fontId="20" fillId="0" borderId="8" xfId="0" applyNumberFormat="1" applyFont="1" applyBorder="1"/>
    <xf numFmtId="0" fontId="7" fillId="4" borderId="8" xfId="0" applyNumberFormat="1" applyFont="1" applyFill="1" applyBorder="1" applyAlignment="1">
      <alignment horizontal="center"/>
    </xf>
    <xf numFmtId="164" fontId="4" fillId="0" borderId="8" xfId="0" applyNumberFormat="1" applyFont="1" applyFill="1" applyBorder="1" applyAlignment="1">
      <alignment horizontal="center"/>
    </xf>
    <xf numFmtId="164" fontId="19" fillId="0" borderId="8" xfId="0" applyNumberFormat="1" applyFont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0" fontId="0" fillId="6" borderId="0" xfId="0" applyFont="1" applyFill="1"/>
    <xf numFmtId="0" fontId="0" fillId="6" borderId="0" xfId="0" applyFill="1" applyBorder="1"/>
    <xf numFmtId="0" fontId="1" fillId="6" borderId="0" xfId="0" applyFont="1" applyFill="1"/>
    <xf numFmtId="164" fontId="21" fillId="0" borderId="8" xfId="0" applyNumberFormat="1" applyFont="1" applyBorder="1"/>
    <xf numFmtId="164" fontId="7" fillId="0" borderId="0" xfId="0" applyNumberFormat="1" applyFont="1" applyFill="1" applyBorder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7" fillId="7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/>
    <xf numFmtId="164" fontId="0" fillId="0" borderId="0" xfId="0" applyNumberFormat="1" applyFon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NumberFormat="1" applyFont="1" applyFill="1" applyBorder="1" applyAlignment="1">
      <alignment horizontal="center"/>
    </xf>
    <xf numFmtId="17" fontId="0" fillId="0" borderId="0" xfId="0" applyNumberFormat="1"/>
    <xf numFmtId="0" fontId="6" fillId="0" borderId="8" xfId="0" applyFont="1" applyBorder="1" applyAlignment="1">
      <alignment horizontal="left"/>
    </xf>
    <xf numFmtId="0" fontId="13" fillId="0" borderId="8" xfId="0" applyFont="1" applyBorder="1"/>
    <xf numFmtId="14" fontId="13" fillId="0" borderId="8" xfId="0" applyNumberFormat="1" applyFont="1" applyBorder="1"/>
    <xf numFmtId="0" fontId="21" fillId="0" borderId="8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8">
    <cellStyle name="Comma 10" xfId="6"/>
    <cellStyle name="Comma 2" xfId="2"/>
    <cellStyle name="Comma 3" xfId="4"/>
    <cellStyle name="Normal" xfId="0" builtinId="0"/>
    <cellStyle name="Normal 2" xfId="1"/>
    <cellStyle name="Normal 3" xfId="3"/>
    <cellStyle name="Normal 4" xfId="5"/>
    <cellStyle name="Normal 5" xfId="7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3" t="s">
        <v>172</v>
      </c>
      <c r="B5" s="144"/>
      <c r="C5" s="144"/>
      <c r="D5" s="144"/>
      <c r="E5" s="144"/>
      <c r="F5" s="144"/>
      <c r="G5" s="144"/>
      <c r="H5" s="144"/>
      <c r="I5" s="144"/>
      <c r="J5" s="145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ref="E19" si="2">H19-G19</f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3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3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3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4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4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4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4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ref="E31" si="5">H31-G31</f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4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4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4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4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4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6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ref="E40" si="7">H40-G40</f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6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6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6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ref="E44" si="8">H44-G44</f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6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6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ref="E47" si="9">H47-G47</f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6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10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10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10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10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10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10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11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ref="E60" si="12">H60-G60</f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11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11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ref="E63" si="13">H63-G63</f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11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14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14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14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14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14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14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14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ref="E81" si="15">H81-G81</f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14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09" si="16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16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16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16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16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16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ref="E110:E115" si="17">H110-G110</f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17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17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17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17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17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" si="18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ref="E119" si="19">H119-G119</f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ref="E120" si="20">H120-G120</f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21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21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21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ref="E149" si="22">H149-G149</f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21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21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23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ref="E155" si="24">H155-G155</f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23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23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23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23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ref="E160" si="25">H160-G160</f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23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26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26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26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27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27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ref="E171" si="28">H171-G171</f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27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27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ref="E174" si="29">H174-G174</f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27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30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30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30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30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30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30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30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30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1"/>
  <sheetViews>
    <sheetView tabSelected="1" zoomScale="90" zoomScaleNormal="90" workbookViewId="0">
      <pane ySplit="2" topLeftCell="A3" activePane="bottomLeft" state="frozen"/>
      <selection pane="bottomLeft" activeCell="C14" sqref="C14"/>
    </sheetView>
  </sheetViews>
  <sheetFormatPr defaultColWidth="0" defaultRowHeight="17.25" x14ac:dyDescent="0.3"/>
  <cols>
    <col min="1" max="1" width="16.140625" style="1" customWidth="1"/>
    <col min="2" max="2" width="34" customWidth="1"/>
    <col min="3" max="3" width="25.7109375" customWidth="1"/>
    <col min="4" max="4" width="14.28515625" customWidth="1"/>
    <col min="5" max="5" width="17.7109375" style="2" customWidth="1"/>
    <col min="6" max="6" width="14.140625" style="3" customWidth="1"/>
    <col min="7" max="7" width="22.7109375" customWidth="1"/>
    <col min="8" max="9" width="20.28515625" customWidth="1"/>
    <col min="10" max="10" width="26.7109375" style="4" customWidth="1"/>
    <col min="11" max="11" width="14.42578125" style="4" customWidth="1"/>
    <col min="12" max="12" width="24.7109375" style="4" bestFit="1" customWidth="1"/>
    <col min="13" max="13" width="29.7109375" style="5" hidden="1" customWidth="1"/>
    <col min="14" max="16384" width="9.140625" style="111" hidden="1"/>
  </cols>
  <sheetData>
    <row r="1" spans="1:13" ht="33" customHeight="1" thickBot="1" x14ac:dyDescent="0.3">
      <c r="A1" s="143" t="s">
        <v>441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5"/>
      <c r="M1" s="74"/>
    </row>
    <row r="2" spans="1:13" ht="38.25" thickBot="1" x14ac:dyDescent="0.35">
      <c r="A2" s="7" t="s">
        <v>232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</v>
      </c>
      <c r="G2" s="9" t="s">
        <v>5</v>
      </c>
      <c r="H2" s="9" t="s">
        <v>6</v>
      </c>
      <c r="I2" s="9" t="s">
        <v>303</v>
      </c>
      <c r="J2" s="9" t="s">
        <v>7</v>
      </c>
      <c r="K2" s="75"/>
      <c r="L2" s="72" t="s">
        <v>231</v>
      </c>
      <c r="M2" s="11" t="s">
        <v>8</v>
      </c>
    </row>
    <row r="3" spans="1:13" ht="18.75" x14ac:dyDescent="0.3">
      <c r="A3" s="21">
        <v>45983</v>
      </c>
      <c r="B3" s="102" t="s">
        <v>279</v>
      </c>
      <c r="C3" s="13" t="s">
        <v>11</v>
      </c>
      <c r="D3" s="13" t="s">
        <v>16</v>
      </c>
      <c r="E3" s="116">
        <v>0</v>
      </c>
      <c r="F3" s="15"/>
      <c r="G3" s="16">
        <f t="shared" ref="G3:G10" si="0">H3-E3</f>
        <v>0.14000000000000001</v>
      </c>
      <c r="H3" s="16">
        <v>0.14000000000000001</v>
      </c>
      <c r="I3" s="16">
        <v>1573.43</v>
      </c>
      <c r="J3" s="17" t="s">
        <v>23</v>
      </c>
      <c r="K3" s="76"/>
      <c r="L3" s="73">
        <f t="shared" ref="L3:L8" ca="1" si="1">TODAY()-A3</f>
        <v>172</v>
      </c>
      <c r="M3" s="20"/>
    </row>
    <row r="4" spans="1:13" ht="18.75" x14ac:dyDescent="0.3">
      <c r="A4" s="21">
        <v>46058</v>
      </c>
      <c r="B4" s="13" t="s">
        <v>310</v>
      </c>
      <c r="C4" s="13" t="s">
        <v>11</v>
      </c>
      <c r="D4" s="13" t="s">
        <v>16</v>
      </c>
      <c r="E4" s="14">
        <v>0</v>
      </c>
      <c r="F4" s="15"/>
      <c r="G4" s="16">
        <f t="shared" si="0"/>
        <v>2.87</v>
      </c>
      <c r="H4" s="16">
        <v>2.87</v>
      </c>
      <c r="I4" s="16">
        <v>1425</v>
      </c>
      <c r="J4" s="17" t="s">
        <v>23</v>
      </c>
      <c r="K4" s="76"/>
      <c r="L4" s="73">
        <f t="shared" ca="1" si="1"/>
        <v>97</v>
      </c>
      <c r="M4" s="20"/>
    </row>
    <row r="5" spans="1:13" ht="18.75" x14ac:dyDescent="0.3">
      <c r="A5" s="21">
        <v>46074</v>
      </c>
      <c r="B5" s="13" t="s">
        <v>326</v>
      </c>
      <c r="C5" s="13" t="s">
        <v>11</v>
      </c>
      <c r="D5" s="13" t="s">
        <v>16</v>
      </c>
      <c r="E5" s="14">
        <v>0</v>
      </c>
      <c r="F5" s="15"/>
      <c r="G5" s="16">
        <f t="shared" si="0"/>
        <v>46.576999999999998</v>
      </c>
      <c r="H5" s="16">
        <v>46.576999999999998</v>
      </c>
      <c r="I5" s="16">
        <v>1362.808</v>
      </c>
      <c r="J5" s="17" t="s">
        <v>23</v>
      </c>
      <c r="K5" s="76"/>
      <c r="L5" s="73">
        <f t="shared" ca="1" si="1"/>
        <v>81</v>
      </c>
      <c r="M5" s="20"/>
    </row>
    <row r="6" spans="1:13" ht="18.75" x14ac:dyDescent="0.3">
      <c r="A6" s="21">
        <v>46089</v>
      </c>
      <c r="B6" s="13" t="s">
        <v>342</v>
      </c>
      <c r="C6" s="13" t="s">
        <v>11</v>
      </c>
      <c r="D6" s="13" t="s">
        <v>16</v>
      </c>
      <c r="E6" s="14">
        <f>2002.368-50-21-100-100-50-417-120-25-170-50+245-20-20-875-20+484-45-10-25-30</f>
        <v>583.36799999999994</v>
      </c>
      <c r="F6" s="15"/>
      <c r="G6" s="16">
        <f t="shared" si="0"/>
        <v>588.71100000000001</v>
      </c>
      <c r="H6" s="16">
        <v>1172.079</v>
      </c>
      <c r="I6" s="16">
        <v>2002.3679999999999</v>
      </c>
      <c r="J6" s="17" t="s">
        <v>23</v>
      </c>
      <c r="K6" s="76"/>
      <c r="L6" s="73">
        <f t="shared" ca="1" si="1"/>
        <v>66</v>
      </c>
      <c r="M6" s="20"/>
    </row>
    <row r="7" spans="1:13" ht="18.75" x14ac:dyDescent="0.3">
      <c r="A7" s="21">
        <v>46281</v>
      </c>
      <c r="B7" s="13" t="s">
        <v>258</v>
      </c>
      <c r="C7" s="13" t="s">
        <v>11</v>
      </c>
      <c r="D7" s="13" t="s">
        <v>19</v>
      </c>
      <c r="E7" s="14">
        <v>0</v>
      </c>
      <c r="F7" s="15"/>
      <c r="G7" s="16">
        <f t="shared" si="0"/>
        <v>4.0000000000000001E-3</v>
      </c>
      <c r="H7" s="16">
        <v>4.0000000000000001E-3</v>
      </c>
      <c r="I7" s="16">
        <v>3902.732</v>
      </c>
      <c r="J7" s="17" t="s">
        <v>316</v>
      </c>
      <c r="K7" s="76"/>
      <c r="L7" s="73">
        <f t="shared" ca="1" si="1"/>
        <v>-126</v>
      </c>
      <c r="M7" s="20"/>
    </row>
    <row r="8" spans="1:13" ht="18.75" x14ac:dyDescent="0.3">
      <c r="A8" s="21">
        <v>45929</v>
      </c>
      <c r="B8" s="13" t="s">
        <v>265</v>
      </c>
      <c r="C8" s="13" t="s">
        <v>11</v>
      </c>
      <c r="D8" s="13" t="s">
        <v>19</v>
      </c>
      <c r="E8" s="14">
        <v>0</v>
      </c>
      <c r="F8" s="15"/>
      <c r="G8" s="16">
        <f t="shared" si="0"/>
        <v>0.54</v>
      </c>
      <c r="H8" s="16">
        <v>0.54</v>
      </c>
      <c r="I8" s="16">
        <v>995.53300000000002</v>
      </c>
      <c r="J8" s="17" t="s">
        <v>316</v>
      </c>
      <c r="K8" s="76"/>
      <c r="L8" s="73">
        <f t="shared" ca="1" si="1"/>
        <v>226</v>
      </c>
      <c r="M8" s="20"/>
    </row>
    <row r="9" spans="1:13" ht="18.75" x14ac:dyDescent="0.3">
      <c r="A9" s="21">
        <v>46066</v>
      </c>
      <c r="B9" s="13" t="s">
        <v>315</v>
      </c>
      <c r="C9" s="13" t="s">
        <v>11</v>
      </c>
      <c r="D9" s="13" t="s">
        <v>19</v>
      </c>
      <c r="E9" s="14">
        <v>0</v>
      </c>
      <c r="F9" s="15"/>
      <c r="G9" s="16">
        <f t="shared" si="0"/>
        <v>22.387</v>
      </c>
      <c r="H9" s="16">
        <v>22.387</v>
      </c>
      <c r="I9" s="16">
        <v>950.01199999999994</v>
      </c>
      <c r="J9" s="17" t="s">
        <v>316</v>
      </c>
      <c r="K9" s="76"/>
      <c r="L9" s="73">
        <f t="shared" ref="L9:L10" ca="1" si="2">TODAY()-A9</f>
        <v>89</v>
      </c>
      <c r="M9" s="20"/>
    </row>
    <row r="10" spans="1:13" ht="18.75" x14ac:dyDescent="0.3">
      <c r="A10" s="21">
        <v>46118</v>
      </c>
      <c r="B10" s="13" t="s">
        <v>378</v>
      </c>
      <c r="C10" s="13" t="s">
        <v>11</v>
      </c>
      <c r="D10" s="13" t="s">
        <v>19</v>
      </c>
      <c r="E10" s="14">
        <v>1891.307</v>
      </c>
      <c r="F10" s="15"/>
      <c r="G10" s="16">
        <f t="shared" si="0"/>
        <v>0</v>
      </c>
      <c r="H10" s="16">
        <v>1891.307</v>
      </c>
      <c r="I10" s="16">
        <v>1891.307</v>
      </c>
      <c r="J10" s="17" t="s">
        <v>316</v>
      </c>
      <c r="K10" s="76"/>
      <c r="L10" s="73">
        <f t="shared" ca="1" si="2"/>
        <v>37</v>
      </c>
      <c r="M10" s="20"/>
    </row>
    <row r="11" spans="1:13" ht="18.75" x14ac:dyDescent="0.3">
      <c r="A11" s="21">
        <v>46136</v>
      </c>
      <c r="B11" s="13" t="s">
        <v>406</v>
      </c>
      <c r="C11" s="13" t="s">
        <v>11</v>
      </c>
      <c r="D11" s="13" t="s">
        <v>9</v>
      </c>
      <c r="E11" s="14">
        <f>1900-509.505-262-530-484</f>
        <v>114.49499999999989</v>
      </c>
      <c r="F11" s="15"/>
      <c r="G11" s="16">
        <f t="shared" ref="G11:G12" si="3">H11-E11</f>
        <v>1006.0440000000001</v>
      </c>
      <c r="H11" s="16">
        <v>1120.539</v>
      </c>
      <c r="I11" s="16">
        <v>1890.9590000000001</v>
      </c>
      <c r="J11" s="17" t="s">
        <v>407</v>
      </c>
      <c r="K11" s="76"/>
      <c r="L11" s="73">
        <f t="shared" ref="L11:L12" ca="1" si="4">TODAY()-A11</f>
        <v>19</v>
      </c>
      <c r="M11" s="20"/>
    </row>
    <row r="12" spans="1:13" ht="18.75" x14ac:dyDescent="0.3">
      <c r="A12" s="126">
        <v>46141</v>
      </c>
      <c r="B12" s="127" t="s">
        <v>415</v>
      </c>
      <c r="C12" s="127" t="s">
        <v>11</v>
      </c>
      <c r="D12" s="127" t="s">
        <v>9</v>
      </c>
      <c r="E12" s="128">
        <v>1886.4469999999999</v>
      </c>
      <c r="F12" s="129"/>
      <c r="G12" s="130">
        <f t="shared" si="3"/>
        <v>0</v>
      </c>
      <c r="H12" s="130">
        <v>1886.4469999999999</v>
      </c>
      <c r="I12" s="130">
        <v>1886.4469999999999</v>
      </c>
      <c r="J12" s="131" t="s">
        <v>407</v>
      </c>
      <c r="K12" s="132" t="s">
        <v>341</v>
      </c>
      <c r="L12" s="137">
        <f t="shared" ca="1" si="4"/>
        <v>14</v>
      </c>
      <c r="M12" s="20"/>
    </row>
    <row r="13" spans="1:13" ht="18.75" x14ac:dyDescent="0.3">
      <c r="A13" s="22"/>
      <c r="B13" s="15" t="s">
        <v>27</v>
      </c>
      <c r="C13" s="15"/>
      <c r="D13" s="15"/>
      <c r="E13" s="23">
        <f>SUBTOTAL(9,E3:E12)</f>
        <v>4475.6170000000002</v>
      </c>
      <c r="F13" s="24">
        <f>E13</f>
        <v>4475.6170000000002</v>
      </c>
      <c r="G13" s="23">
        <f>SUBTOTAL(9,G3:G12)</f>
        <v>1667.2730000000001</v>
      </c>
      <c r="H13" s="23">
        <f>SUBTOTAL(9,H3:H12)</f>
        <v>6142.8899999999994</v>
      </c>
      <c r="I13" s="23"/>
      <c r="J13" s="17"/>
      <c r="K13" s="76"/>
      <c r="L13" s="18"/>
      <c r="M13" s="20"/>
    </row>
    <row r="14" spans="1:13" ht="18.75" x14ac:dyDescent="0.3">
      <c r="A14" s="22"/>
      <c r="B14" s="15"/>
      <c r="C14" s="15"/>
      <c r="D14" s="15"/>
      <c r="E14" s="23"/>
      <c r="F14" s="24"/>
      <c r="G14" s="23"/>
      <c r="H14" s="23"/>
      <c r="I14" s="23"/>
      <c r="J14" s="17"/>
      <c r="K14" s="76"/>
      <c r="L14" s="18"/>
      <c r="M14" s="20"/>
    </row>
    <row r="15" spans="1:13" ht="18.75" x14ac:dyDescent="0.3">
      <c r="A15" s="21">
        <v>46136</v>
      </c>
      <c r="B15" s="13" t="s">
        <v>405</v>
      </c>
      <c r="C15" s="13" t="s">
        <v>250</v>
      </c>
      <c r="D15" s="13" t="s">
        <v>9</v>
      </c>
      <c r="E15" s="14">
        <f>475-71-130-170-20</f>
        <v>84</v>
      </c>
      <c r="F15" s="15"/>
      <c r="G15" s="16">
        <f t="shared" ref="G15:G17" si="5">H15-E15</f>
        <v>191.03899999999999</v>
      </c>
      <c r="H15" s="16">
        <v>275.03899999999999</v>
      </c>
      <c r="I15" s="16">
        <v>475</v>
      </c>
      <c r="J15" s="17" t="s">
        <v>298</v>
      </c>
      <c r="K15" s="76"/>
      <c r="L15" s="83">
        <f t="shared" ref="L15:L17" ca="1" si="6">TODAY()-A15</f>
        <v>19</v>
      </c>
      <c r="M15" s="20"/>
    </row>
    <row r="16" spans="1:13" ht="18.75" x14ac:dyDescent="0.3">
      <c r="A16" s="21">
        <v>46142</v>
      </c>
      <c r="B16" s="13" t="s">
        <v>410</v>
      </c>
      <c r="C16" s="13" t="s">
        <v>250</v>
      </c>
      <c r="D16" s="13" t="s">
        <v>9</v>
      </c>
      <c r="E16" s="14">
        <v>953.92200000000003</v>
      </c>
      <c r="F16" s="15"/>
      <c r="G16" s="16">
        <f t="shared" si="5"/>
        <v>0</v>
      </c>
      <c r="H16" s="16">
        <v>953.92200000000003</v>
      </c>
      <c r="I16" s="16">
        <v>953.92200000000003</v>
      </c>
      <c r="J16" s="17" t="s">
        <v>32</v>
      </c>
      <c r="K16" s="76"/>
      <c r="L16" s="83">
        <f t="shared" ca="1" si="6"/>
        <v>13</v>
      </c>
      <c r="M16" s="20"/>
    </row>
    <row r="17" spans="1:13" ht="18.75" x14ac:dyDescent="0.3">
      <c r="A17" s="21">
        <v>46105</v>
      </c>
      <c r="B17" s="13" t="s">
        <v>376</v>
      </c>
      <c r="C17" s="13" t="s">
        <v>250</v>
      </c>
      <c r="D17" s="13" t="s">
        <v>13</v>
      </c>
      <c r="E17" s="14">
        <f>200-137-60</f>
        <v>3</v>
      </c>
      <c r="F17" s="15"/>
      <c r="G17" s="16">
        <f t="shared" si="5"/>
        <v>30.409999999999997</v>
      </c>
      <c r="H17" s="16">
        <v>33.409999999999997</v>
      </c>
      <c r="I17" s="16">
        <v>200</v>
      </c>
      <c r="J17" s="17" t="s">
        <v>21</v>
      </c>
      <c r="K17" s="76"/>
      <c r="L17" s="73">
        <f t="shared" ca="1" si="6"/>
        <v>50</v>
      </c>
      <c r="M17" s="20"/>
    </row>
    <row r="18" spans="1:13" s="121" customFormat="1" ht="18.75" x14ac:dyDescent="0.3">
      <c r="A18" s="12"/>
      <c r="B18" s="15" t="s">
        <v>27</v>
      </c>
      <c r="C18" s="14"/>
      <c r="D18" s="14"/>
      <c r="E18" s="23">
        <f>SUBTOTAL(9,E15:E17)</f>
        <v>1040.922</v>
      </c>
      <c r="F18" s="24">
        <f>E18</f>
        <v>1040.922</v>
      </c>
      <c r="G18" s="23">
        <f>SUBTOTAL(9,G15:G17)</f>
        <v>221.44899999999998</v>
      </c>
      <c r="H18" s="23">
        <f>SUBTOTAL(9,H15:H17)</f>
        <v>1262.3710000000001</v>
      </c>
      <c r="I18" s="23"/>
      <c r="J18" s="17"/>
      <c r="K18" s="76"/>
      <c r="L18" s="18"/>
      <c r="M18" s="20"/>
    </row>
    <row r="19" spans="1:13" ht="18.75" x14ac:dyDescent="0.3">
      <c r="A19" s="22"/>
      <c r="B19" s="32"/>
      <c r="C19" s="14"/>
      <c r="D19" s="13"/>
      <c r="E19" s="15"/>
      <c r="F19" s="15"/>
      <c r="G19" s="15"/>
      <c r="H19" s="34"/>
      <c r="I19" s="34"/>
      <c r="J19" s="17"/>
      <c r="K19" s="76"/>
      <c r="L19" s="18"/>
      <c r="M19" s="20"/>
    </row>
    <row r="20" spans="1:13" ht="18.75" x14ac:dyDescent="0.3">
      <c r="A20" s="21">
        <v>46051</v>
      </c>
      <c r="B20" s="35" t="s">
        <v>308</v>
      </c>
      <c r="C20" s="13" t="s">
        <v>46</v>
      </c>
      <c r="D20" s="13" t="s">
        <v>9</v>
      </c>
      <c r="E20" s="14">
        <v>0</v>
      </c>
      <c r="F20" s="15"/>
      <c r="G20" s="16">
        <f t="shared" ref="G20:G27" si="7">H20-E20</f>
        <v>24.3</v>
      </c>
      <c r="H20" s="16">
        <v>24.3</v>
      </c>
      <c r="I20" s="16">
        <v>1894.95</v>
      </c>
      <c r="J20" s="17" t="s">
        <v>32</v>
      </c>
      <c r="K20" s="76"/>
      <c r="L20" s="85">
        <f t="shared" ref="L20:L27" ca="1" si="8">TODAY()-A20</f>
        <v>104</v>
      </c>
      <c r="M20" s="80"/>
    </row>
    <row r="21" spans="1:13" ht="18.75" x14ac:dyDescent="0.3">
      <c r="A21" s="21">
        <v>46125</v>
      </c>
      <c r="B21" s="35" t="s">
        <v>389</v>
      </c>
      <c r="C21" s="13" t="s">
        <v>46</v>
      </c>
      <c r="D21" s="13" t="s">
        <v>9</v>
      </c>
      <c r="E21" s="15">
        <f>164.975-50</f>
        <v>114.97499999999999</v>
      </c>
      <c r="F21" s="15"/>
      <c r="G21" s="16">
        <f t="shared" si="7"/>
        <v>75</v>
      </c>
      <c r="H21" s="16">
        <v>189.97499999999999</v>
      </c>
      <c r="I21" s="16">
        <v>190.678</v>
      </c>
      <c r="J21" s="17" t="s">
        <v>32</v>
      </c>
      <c r="K21" s="76"/>
      <c r="L21" s="85">
        <f t="shared" ca="1" si="8"/>
        <v>30</v>
      </c>
      <c r="M21" s="80"/>
    </row>
    <row r="22" spans="1:13" ht="18.75" x14ac:dyDescent="0.3">
      <c r="A22" s="21">
        <v>46136</v>
      </c>
      <c r="B22" s="35" t="s">
        <v>404</v>
      </c>
      <c r="C22" s="13" t="s">
        <v>46</v>
      </c>
      <c r="D22" s="13" t="s">
        <v>9</v>
      </c>
      <c r="E22" s="14">
        <f>1499.963-67.98-195-156+33-151-84-32-232-13-21-25-100+42</f>
        <v>497.98299999999995</v>
      </c>
      <c r="F22" s="15"/>
      <c r="G22" s="16">
        <f t="shared" si="7"/>
        <v>790.78600000000006</v>
      </c>
      <c r="H22" s="16">
        <v>1288.769</v>
      </c>
      <c r="I22" s="16">
        <v>1499.963</v>
      </c>
      <c r="J22" s="17" t="s">
        <v>29</v>
      </c>
      <c r="K22" s="76"/>
      <c r="L22" s="85">
        <f t="shared" ca="1" si="8"/>
        <v>19</v>
      </c>
      <c r="M22" s="80"/>
    </row>
    <row r="23" spans="1:13" ht="18.75" x14ac:dyDescent="0.3">
      <c r="A23" s="21">
        <v>46148</v>
      </c>
      <c r="B23" s="35" t="s">
        <v>433</v>
      </c>
      <c r="C23" s="13" t="s">
        <v>46</v>
      </c>
      <c r="D23" s="13" t="s">
        <v>9</v>
      </c>
      <c r="E23" s="14">
        <v>1890.4490000000001</v>
      </c>
      <c r="F23" s="15"/>
      <c r="G23" s="16">
        <f t="shared" si="7"/>
        <v>0</v>
      </c>
      <c r="H23" s="16">
        <v>1890.4490000000001</v>
      </c>
      <c r="I23" s="16">
        <v>1890.4490000000001</v>
      </c>
      <c r="J23" s="17" t="s">
        <v>298</v>
      </c>
      <c r="K23" s="76"/>
      <c r="L23" s="85">
        <f t="shared" ca="1" si="8"/>
        <v>7</v>
      </c>
      <c r="M23" s="80"/>
    </row>
    <row r="24" spans="1:13" ht="18.75" x14ac:dyDescent="0.3">
      <c r="A24" s="21">
        <v>45948</v>
      </c>
      <c r="B24" s="35" t="s">
        <v>268</v>
      </c>
      <c r="C24" s="13" t="s">
        <v>46</v>
      </c>
      <c r="D24" s="13" t="s">
        <v>19</v>
      </c>
      <c r="E24" s="14">
        <v>2.42</v>
      </c>
      <c r="F24" s="15"/>
      <c r="G24" s="16">
        <f t="shared" si="7"/>
        <v>0</v>
      </c>
      <c r="H24" s="16">
        <v>2.42</v>
      </c>
      <c r="I24" s="16">
        <v>646.42700000000002</v>
      </c>
      <c r="J24" s="17" t="s">
        <v>26</v>
      </c>
      <c r="K24" s="76"/>
      <c r="L24" s="85">
        <f t="shared" ca="1" si="8"/>
        <v>207</v>
      </c>
      <c r="M24" s="80"/>
    </row>
    <row r="25" spans="1:13" ht="18.75" x14ac:dyDescent="0.3">
      <c r="A25" s="21">
        <v>46098</v>
      </c>
      <c r="B25" s="35" t="s">
        <v>367</v>
      </c>
      <c r="C25" s="13" t="s">
        <v>46</v>
      </c>
      <c r="D25" s="13" t="s">
        <v>19</v>
      </c>
      <c r="E25" s="14">
        <f>665.028-21-101-60+30-10-100-116+165+100-9-75-22-135-50+21+50</f>
        <v>332.02800000000002</v>
      </c>
      <c r="F25" s="15"/>
      <c r="G25" s="16">
        <f t="shared" si="7"/>
        <v>71.139999999999986</v>
      </c>
      <c r="H25" s="16">
        <v>403.16800000000001</v>
      </c>
      <c r="I25" s="16">
        <v>665.02800000000002</v>
      </c>
      <c r="J25" s="17" t="s">
        <v>351</v>
      </c>
      <c r="K25" s="76"/>
      <c r="L25" s="85">
        <f t="shared" ca="1" si="8"/>
        <v>57</v>
      </c>
      <c r="M25" s="80"/>
    </row>
    <row r="26" spans="1:13" ht="18.75" x14ac:dyDescent="0.3">
      <c r="A26" s="95">
        <v>46090</v>
      </c>
      <c r="B26" s="96" t="s">
        <v>344</v>
      </c>
      <c r="C26" s="96" t="s">
        <v>46</v>
      </c>
      <c r="D26" s="96" t="s">
        <v>19</v>
      </c>
      <c r="E26" s="101">
        <f>536.034-16-110-25-16-10+100</f>
        <v>459.03399999999999</v>
      </c>
      <c r="F26" s="104"/>
      <c r="G26" s="97">
        <f t="shared" si="7"/>
        <v>323.59100000000001</v>
      </c>
      <c r="H26" s="97">
        <v>782.625</v>
      </c>
      <c r="I26" s="97">
        <v>1808.172</v>
      </c>
      <c r="J26" s="97" t="s">
        <v>350</v>
      </c>
      <c r="K26" s="97" t="s">
        <v>240</v>
      </c>
      <c r="L26" s="85">
        <f t="shared" ca="1" si="8"/>
        <v>65</v>
      </c>
      <c r="M26" s="80"/>
    </row>
    <row r="27" spans="1:13" ht="18.75" x14ac:dyDescent="0.3">
      <c r="A27" s="95">
        <v>46011</v>
      </c>
      <c r="B27" s="96" t="s">
        <v>287</v>
      </c>
      <c r="C27" s="96" t="s">
        <v>46</v>
      </c>
      <c r="D27" s="96" t="s">
        <v>9</v>
      </c>
      <c r="E27" s="101">
        <f>252.486-32-32.52+100-100-42</f>
        <v>145.96600000000001</v>
      </c>
      <c r="F27" s="104"/>
      <c r="G27" s="97">
        <f t="shared" si="7"/>
        <v>410.34500000000003</v>
      </c>
      <c r="H27" s="98">
        <v>556.31100000000004</v>
      </c>
      <c r="I27" s="97">
        <v>1190.5050000000001</v>
      </c>
      <c r="J27" s="99" t="s">
        <v>29</v>
      </c>
      <c r="K27" s="100" t="s">
        <v>240</v>
      </c>
      <c r="L27" s="85">
        <f t="shared" ca="1" si="8"/>
        <v>144</v>
      </c>
      <c r="M27" s="80"/>
    </row>
    <row r="28" spans="1:13" ht="20.25" customHeight="1" x14ac:dyDescent="0.3">
      <c r="A28" s="22"/>
      <c r="B28" s="32" t="s">
        <v>27</v>
      </c>
      <c r="C28" s="13"/>
      <c r="D28" s="13"/>
      <c r="E28" s="23">
        <f>SUBTOTAL(9,E20:E27)</f>
        <v>3442.8550000000005</v>
      </c>
      <c r="F28" s="24">
        <f>E28</f>
        <v>3442.8550000000005</v>
      </c>
      <c r="G28" s="23">
        <f>SUBTOTAL(9,G20:G27)</f>
        <v>1695.162</v>
      </c>
      <c r="H28" s="23">
        <f>SUBTOTAL(9,H20:H27)</f>
        <v>5138.0169999999998</v>
      </c>
      <c r="I28" s="23"/>
      <c r="J28" s="17"/>
      <c r="K28" s="76"/>
      <c r="L28" s="17"/>
      <c r="M28" s="80"/>
    </row>
    <row r="29" spans="1:13" ht="20.25" customHeight="1" x14ac:dyDescent="0.3">
      <c r="A29" s="22"/>
      <c r="B29" s="32"/>
      <c r="C29" s="13"/>
      <c r="D29" s="13"/>
      <c r="E29" s="23"/>
      <c r="F29" s="24"/>
      <c r="G29" s="23"/>
      <c r="H29" s="23"/>
      <c r="I29" s="23"/>
      <c r="J29" s="17"/>
      <c r="K29" s="76"/>
      <c r="L29" s="17"/>
      <c r="M29" s="80"/>
    </row>
    <row r="30" spans="1:13" ht="18.75" x14ac:dyDescent="0.3">
      <c r="A30" s="21">
        <v>45903</v>
      </c>
      <c r="B30" s="13" t="s">
        <v>254</v>
      </c>
      <c r="C30" s="35" t="s">
        <v>239</v>
      </c>
      <c r="D30" s="13" t="s">
        <v>9</v>
      </c>
      <c r="E30" s="14">
        <v>0</v>
      </c>
      <c r="F30" s="24"/>
      <c r="G30" s="16">
        <f t="shared" ref="G30:G31" si="9">H30-E30</f>
        <v>84.632999999999996</v>
      </c>
      <c r="H30" s="16">
        <v>84.632999999999996</v>
      </c>
      <c r="I30" s="16">
        <v>945.69399999999996</v>
      </c>
      <c r="J30" s="17" t="s">
        <v>257</v>
      </c>
      <c r="K30" s="76"/>
      <c r="L30" s="83">
        <f t="shared" ref="L30:L31" ca="1" si="10">TODAY()-A30</f>
        <v>252</v>
      </c>
      <c r="M30" s="80"/>
    </row>
    <row r="31" spans="1:13" ht="18.75" x14ac:dyDescent="0.3">
      <c r="A31" s="95">
        <v>45831</v>
      </c>
      <c r="B31" s="96" t="s">
        <v>247</v>
      </c>
      <c r="C31" s="96" t="s">
        <v>239</v>
      </c>
      <c r="D31" s="96" t="s">
        <v>9</v>
      </c>
      <c r="E31" s="101">
        <f>1466.861-25-25-150+120-30-25+25-30-25+30+20+18-60-80-130-25</f>
        <v>1074.8610000000001</v>
      </c>
      <c r="F31" s="104"/>
      <c r="G31" s="97">
        <f t="shared" si="9"/>
        <v>290.80499999999984</v>
      </c>
      <c r="H31" s="98">
        <v>1365.6659999999999</v>
      </c>
      <c r="I31" s="97"/>
      <c r="J31" s="99" t="s">
        <v>29</v>
      </c>
      <c r="K31" s="100" t="s">
        <v>240</v>
      </c>
      <c r="L31" s="83">
        <f t="shared" ca="1" si="10"/>
        <v>324</v>
      </c>
      <c r="M31" s="80"/>
    </row>
    <row r="32" spans="1:13" s="122" customFormat="1" ht="18.75" x14ac:dyDescent="0.3">
      <c r="A32" s="22"/>
      <c r="B32" s="32" t="s">
        <v>27</v>
      </c>
      <c r="C32" s="13"/>
      <c r="D32" s="13"/>
      <c r="E32" s="23">
        <f>SUBTOTAL(9,E30:E31)</f>
        <v>1074.8610000000001</v>
      </c>
      <c r="F32" s="24">
        <f>E32</f>
        <v>1074.8610000000001</v>
      </c>
      <c r="G32" s="23">
        <f>SUBTOTAL(9,G30:G31)</f>
        <v>375.43799999999982</v>
      </c>
      <c r="H32" s="23">
        <f>SUBTOTAL(9,H30:H31)</f>
        <v>1450.299</v>
      </c>
      <c r="I32" s="23"/>
      <c r="J32" s="17"/>
      <c r="K32" s="76"/>
      <c r="L32" s="18"/>
      <c r="M32" s="20"/>
    </row>
    <row r="33" spans="1:13" s="122" customFormat="1" ht="18.75" x14ac:dyDescent="0.3">
      <c r="A33" s="22"/>
      <c r="B33" s="32"/>
      <c r="C33" s="13"/>
      <c r="D33" s="13"/>
      <c r="E33" s="23"/>
      <c r="F33" s="24"/>
      <c r="G33" s="23"/>
      <c r="H33" s="23"/>
      <c r="I33" s="23"/>
      <c r="J33" s="17"/>
      <c r="K33" s="76"/>
      <c r="L33" s="76"/>
      <c r="M33" s="80"/>
    </row>
    <row r="34" spans="1:13" ht="18.75" x14ac:dyDescent="0.3">
      <c r="A34" s="21">
        <v>45901</v>
      </c>
      <c r="B34" s="13" t="s">
        <v>251</v>
      </c>
      <c r="C34" s="13" t="s">
        <v>252</v>
      </c>
      <c r="D34" s="13" t="s">
        <v>9</v>
      </c>
      <c r="E34" s="14">
        <f>1984.467-90-10-55-21-28-20-300-10-25-14-60-25-45-16-10-30-60-16-260-10-20-40-40-20-55-30-115-30-110-100-183-40+90-14+10-30-35+25-5-36-20-20-50-21</f>
        <v>-9.5329999999999018</v>
      </c>
      <c r="F34" s="15"/>
      <c r="G34" s="16">
        <f t="shared" ref="G34" si="11">H34-E34</f>
        <v>127.20999999999991</v>
      </c>
      <c r="H34" s="16">
        <v>117.67700000000001</v>
      </c>
      <c r="I34" s="16">
        <v>1988.6969999999999</v>
      </c>
      <c r="J34" s="17" t="s">
        <v>47</v>
      </c>
      <c r="K34" s="76"/>
      <c r="L34" s="83">
        <f t="shared" ref="L34" ca="1" si="12">TODAY()-A34</f>
        <v>254</v>
      </c>
      <c r="M34" s="80"/>
    </row>
    <row r="35" spans="1:13" ht="18.75" x14ac:dyDescent="0.3">
      <c r="A35" s="22"/>
      <c r="B35" s="32" t="s">
        <v>27</v>
      </c>
      <c r="C35" s="13"/>
      <c r="D35" s="13"/>
      <c r="E35" s="23">
        <f>SUBTOTAL(9,E34:E34)</f>
        <v>-9.5329999999999018</v>
      </c>
      <c r="F35" s="24">
        <f>E35</f>
        <v>-9.5329999999999018</v>
      </c>
      <c r="G35" s="23">
        <f>SUBTOTAL(9,G34:G34)</f>
        <v>127.20999999999991</v>
      </c>
      <c r="H35" s="23">
        <f>SUBTOTAL(9,H34:H34)</f>
        <v>117.67700000000001</v>
      </c>
      <c r="I35" s="23"/>
      <c r="J35" s="17"/>
      <c r="K35" s="76"/>
      <c r="L35" s="17"/>
      <c r="M35" s="80"/>
    </row>
    <row r="36" spans="1:13" ht="18.75" x14ac:dyDescent="0.3">
      <c r="A36" s="22"/>
      <c r="B36" s="32"/>
      <c r="C36" s="13"/>
      <c r="D36" s="13"/>
      <c r="E36" s="23"/>
      <c r="F36" s="24"/>
      <c r="G36" s="23"/>
      <c r="H36" s="23"/>
      <c r="I36" s="23"/>
      <c r="J36" s="17"/>
      <c r="K36" s="76"/>
      <c r="L36" s="17"/>
      <c r="M36" s="80"/>
    </row>
    <row r="37" spans="1:13" ht="18.75" x14ac:dyDescent="0.3">
      <c r="A37" s="21">
        <v>46320</v>
      </c>
      <c r="B37" s="13" t="s">
        <v>269</v>
      </c>
      <c r="C37" s="13" t="s">
        <v>80</v>
      </c>
      <c r="D37" s="13" t="s">
        <v>9</v>
      </c>
      <c r="E37" s="14">
        <v>0</v>
      </c>
      <c r="F37" s="15"/>
      <c r="G37" s="16">
        <f t="shared" ref="G37:G39" si="13">H37-E37</f>
        <v>0.28999999999999998</v>
      </c>
      <c r="H37" s="16">
        <v>0.28999999999999998</v>
      </c>
      <c r="I37" s="16">
        <v>490.22699999999998</v>
      </c>
      <c r="J37" s="17" t="s">
        <v>47</v>
      </c>
      <c r="K37" s="76"/>
      <c r="L37" s="83">
        <f t="shared" ref="L37:L39" ca="1" si="14">TODAY()-A37</f>
        <v>-165</v>
      </c>
      <c r="M37" s="80"/>
    </row>
    <row r="38" spans="1:13" ht="18.75" x14ac:dyDescent="0.3">
      <c r="A38" s="21">
        <v>45995</v>
      </c>
      <c r="B38" s="13" t="s">
        <v>281</v>
      </c>
      <c r="C38" s="13" t="s">
        <v>80</v>
      </c>
      <c r="D38" s="13" t="s">
        <v>9</v>
      </c>
      <c r="E38" s="14">
        <v>0</v>
      </c>
      <c r="F38" s="15"/>
      <c r="G38" s="16">
        <f t="shared" si="13"/>
        <v>4.4999999999999998E-2</v>
      </c>
      <c r="H38" s="16">
        <v>4.4999999999999998E-2</v>
      </c>
      <c r="I38" s="16">
        <v>522.67499999999995</v>
      </c>
      <c r="J38" s="17" t="s">
        <v>47</v>
      </c>
      <c r="K38" s="76"/>
      <c r="L38" s="83">
        <f t="shared" ca="1" si="14"/>
        <v>160</v>
      </c>
      <c r="M38" s="80"/>
    </row>
    <row r="39" spans="1:13" ht="18.75" x14ac:dyDescent="0.3">
      <c r="A39" s="21">
        <v>46027</v>
      </c>
      <c r="B39" s="13" t="s">
        <v>294</v>
      </c>
      <c r="C39" s="13" t="s">
        <v>80</v>
      </c>
      <c r="D39" s="13" t="s">
        <v>9</v>
      </c>
      <c r="E39" s="14">
        <v>15.195</v>
      </c>
      <c r="F39" s="15"/>
      <c r="G39" s="16">
        <f t="shared" si="13"/>
        <v>3.1000000000000583E-2</v>
      </c>
      <c r="H39" s="16">
        <v>15.226000000000001</v>
      </c>
      <c r="I39" s="16">
        <v>955.39499999999998</v>
      </c>
      <c r="J39" s="17" t="s">
        <v>47</v>
      </c>
      <c r="K39" s="76"/>
      <c r="L39" s="83">
        <f t="shared" ca="1" si="14"/>
        <v>128</v>
      </c>
      <c r="M39" s="80"/>
    </row>
    <row r="40" spans="1:13" ht="18.75" x14ac:dyDescent="0.3">
      <c r="A40" s="22"/>
      <c r="B40" s="32" t="s">
        <v>27</v>
      </c>
      <c r="C40" s="13"/>
      <c r="D40" s="13"/>
      <c r="E40" s="23">
        <f>SUBTOTAL(9,E37:E39)</f>
        <v>15.195</v>
      </c>
      <c r="F40" s="24">
        <f>E40</f>
        <v>15.195</v>
      </c>
      <c r="G40" s="23">
        <f>SUBTOTAL(9,G37:G39)</f>
        <v>0.36600000000000055</v>
      </c>
      <c r="H40" s="23">
        <f>SUBTOTAL(9,H37:H39)</f>
        <v>15.561</v>
      </c>
      <c r="I40" s="23"/>
      <c r="J40" s="17"/>
      <c r="K40" s="76"/>
      <c r="L40" s="17"/>
      <c r="M40" s="80"/>
    </row>
    <row r="41" spans="1:13" s="122" customFormat="1" ht="18.75" x14ac:dyDescent="0.3">
      <c r="A41" s="22"/>
      <c r="B41" s="32"/>
      <c r="C41" s="13"/>
      <c r="D41" s="13"/>
      <c r="E41" s="23"/>
      <c r="F41" s="24"/>
      <c r="G41" s="23"/>
      <c r="H41" s="23"/>
      <c r="I41" s="23"/>
      <c r="J41" s="17"/>
      <c r="K41" s="76"/>
      <c r="L41" s="76"/>
      <c r="M41" s="80"/>
    </row>
    <row r="42" spans="1:13" ht="18.75" x14ac:dyDescent="0.3">
      <c r="A42" s="21">
        <v>45936</v>
      </c>
      <c r="B42" s="13" t="s">
        <v>263</v>
      </c>
      <c r="C42" s="13" t="s">
        <v>53</v>
      </c>
      <c r="D42" s="13" t="s">
        <v>9</v>
      </c>
      <c r="E42" s="14">
        <f>161.65-57+14.45-35-154-30-60</f>
        <v>-159.89999999999998</v>
      </c>
      <c r="F42" s="15"/>
      <c r="G42" s="16">
        <f t="shared" ref="G42:G49" si="15">H42-E42</f>
        <v>339.31599999999997</v>
      </c>
      <c r="H42" s="16">
        <v>179.416</v>
      </c>
      <c r="I42" s="16">
        <v>1498.79</v>
      </c>
      <c r="J42" s="17" t="s">
        <v>32</v>
      </c>
      <c r="K42" s="76"/>
      <c r="L42" s="83">
        <f t="shared" ref="L42:L49" ca="1" si="16">TODAY()-A42</f>
        <v>219</v>
      </c>
      <c r="M42" s="80"/>
    </row>
    <row r="43" spans="1:13" ht="18.75" x14ac:dyDescent="0.3">
      <c r="A43" s="21">
        <v>45941</v>
      </c>
      <c r="B43" s="13" t="s">
        <v>264</v>
      </c>
      <c r="C43" s="13" t="s">
        <v>53</v>
      </c>
      <c r="D43" s="13" t="s">
        <v>9</v>
      </c>
      <c r="E43" s="14">
        <v>0</v>
      </c>
      <c r="F43" s="15"/>
      <c r="G43" s="16">
        <f t="shared" si="15"/>
        <v>51.353999999999999</v>
      </c>
      <c r="H43" s="16">
        <v>51.353999999999999</v>
      </c>
      <c r="I43" s="16">
        <v>1012.934</v>
      </c>
      <c r="J43" s="17" t="s">
        <v>32</v>
      </c>
      <c r="K43" s="76"/>
      <c r="L43" s="83">
        <f t="shared" ca="1" si="16"/>
        <v>214</v>
      </c>
      <c r="M43" s="80"/>
    </row>
    <row r="44" spans="1:13" ht="18.75" x14ac:dyDescent="0.3">
      <c r="A44" s="21">
        <v>45975</v>
      </c>
      <c r="B44" s="13" t="s">
        <v>273</v>
      </c>
      <c r="C44" s="13" t="s">
        <v>53</v>
      </c>
      <c r="D44" s="13" t="s">
        <v>9</v>
      </c>
      <c r="E44" s="14">
        <v>0</v>
      </c>
      <c r="F44" s="15"/>
      <c r="G44" s="16">
        <f t="shared" si="15"/>
        <v>7.0000000000000001E-3</v>
      </c>
      <c r="H44" s="16">
        <v>7.0000000000000001E-3</v>
      </c>
      <c r="I44" s="16">
        <v>1045.4870000000001</v>
      </c>
      <c r="J44" s="17" t="s">
        <v>32</v>
      </c>
      <c r="K44" s="76"/>
      <c r="L44" s="83">
        <f t="shared" ca="1" si="16"/>
        <v>180</v>
      </c>
      <c r="M44" s="80"/>
    </row>
    <row r="45" spans="1:13" ht="18.75" x14ac:dyDescent="0.3">
      <c r="A45" s="21">
        <v>45978</v>
      </c>
      <c r="B45" s="13" t="s">
        <v>275</v>
      </c>
      <c r="C45" s="13" t="s">
        <v>53</v>
      </c>
      <c r="D45" s="13" t="s">
        <v>9</v>
      </c>
      <c r="E45" s="15">
        <f>284.967-121.5+100-42-60-49.5+25.92-21.5-42-21+21-21+21</f>
        <v>74.387</v>
      </c>
      <c r="F45" s="15"/>
      <c r="G45" s="16">
        <f t="shared" si="15"/>
        <v>1.3400000000000034</v>
      </c>
      <c r="H45" s="16">
        <v>75.727000000000004</v>
      </c>
      <c r="I45" s="16">
        <v>473.96699999999998</v>
      </c>
      <c r="J45" s="17" t="s">
        <v>32</v>
      </c>
      <c r="K45" s="76"/>
      <c r="L45" s="83">
        <f t="shared" ca="1" si="16"/>
        <v>177</v>
      </c>
      <c r="M45" s="80"/>
    </row>
    <row r="46" spans="1:13" ht="18.75" x14ac:dyDescent="0.3">
      <c r="A46" s="21">
        <v>46094</v>
      </c>
      <c r="B46" s="32" t="s">
        <v>388</v>
      </c>
      <c r="C46" s="13" t="s">
        <v>53</v>
      </c>
      <c r="D46" s="13" t="s">
        <v>9</v>
      </c>
      <c r="E46" s="14">
        <v>0</v>
      </c>
      <c r="F46" s="15"/>
      <c r="G46" s="16">
        <f t="shared" si="15"/>
        <v>133.25399999999999</v>
      </c>
      <c r="H46" s="16">
        <v>133.25399999999999</v>
      </c>
      <c r="I46" s="16">
        <v>723.74400000000003</v>
      </c>
      <c r="J46" s="17" t="s">
        <v>32</v>
      </c>
      <c r="K46" s="76"/>
      <c r="L46" s="83">
        <f t="shared" ca="1" si="16"/>
        <v>61</v>
      </c>
      <c r="M46" s="80"/>
    </row>
    <row r="47" spans="1:13" ht="18.75" x14ac:dyDescent="0.3">
      <c r="A47" s="21">
        <v>45944</v>
      </c>
      <c r="B47" s="13" t="s">
        <v>266</v>
      </c>
      <c r="C47" s="13" t="s">
        <v>53</v>
      </c>
      <c r="D47" s="13" t="s">
        <v>13</v>
      </c>
      <c r="E47" s="14">
        <v>-63.360999999999997</v>
      </c>
      <c r="F47" s="15"/>
      <c r="G47" s="16">
        <f t="shared" si="15"/>
        <v>63.687999999999995</v>
      </c>
      <c r="H47" s="16">
        <v>0.32700000000000001</v>
      </c>
      <c r="I47" s="16">
        <v>1009.107</v>
      </c>
      <c r="J47" s="17" t="s">
        <v>21</v>
      </c>
      <c r="K47" s="76"/>
      <c r="L47" s="83">
        <f t="shared" ca="1" si="16"/>
        <v>211</v>
      </c>
      <c r="M47" s="80"/>
    </row>
    <row r="48" spans="1:13" ht="18.75" x14ac:dyDescent="0.3">
      <c r="A48" s="21">
        <v>46098</v>
      </c>
      <c r="B48" s="13" t="s">
        <v>365</v>
      </c>
      <c r="C48" s="13" t="s">
        <v>53</v>
      </c>
      <c r="D48" s="13" t="s">
        <v>19</v>
      </c>
      <c r="E48" s="14">
        <f>1896.987-40-25-725-106-40-42-30+32+70-20-576-100-10-7-69+76-26</f>
        <v>258.98700000000008</v>
      </c>
      <c r="F48" s="15"/>
      <c r="G48" s="16">
        <f t="shared" si="15"/>
        <v>480.8549999999999</v>
      </c>
      <c r="H48" s="16">
        <v>739.84199999999998</v>
      </c>
      <c r="I48" s="16">
        <v>1896.9870000000001</v>
      </c>
      <c r="J48" s="17" t="s">
        <v>366</v>
      </c>
      <c r="K48" s="76"/>
      <c r="L48" s="85">
        <f t="shared" ca="1" si="16"/>
        <v>57</v>
      </c>
      <c r="M48" s="80"/>
    </row>
    <row r="49" spans="1:13" ht="18.75" x14ac:dyDescent="0.3">
      <c r="A49" s="95">
        <v>46090</v>
      </c>
      <c r="B49" s="96" t="s">
        <v>343</v>
      </c>
      <c r="C49" s="96" t="s">
        <v>53</v>
      </c>
      <c r="D49" s="96" t="s">
        <v>19</v>
      </c>
      <c r="E49" s="101">
        <f>1428.162-10-255-120-10-100-102-200-20-37-58-100-5-310.511-20-102+40+42+30-35-10-20</f>
        <v>25.65100000000001</v>
      </c>
      <c r="F49" s="104"/>
      <c r="G49" s="97">
        <f t="shared" si="15"/>
        <v>207.09</v>
      </c>
      <c r="H49" s="97">
        <v>232.74100000000001</v>
      </c>
      <c r="I49" s="97">
        <v>1428.162</v>
      </c>
      <c r="J49" s="99" t="s">
        <v>351</v>
      </c>
      <c r="K49" s="100" t="s">
        <v>240</v>
      </c>
      <c r="L49" s="85">
        <f t="shared" ca="1" si="16"/>
        <v>65</v>
      </c>
      <c r="M49" s="80"/>
    </row>
    <row r="50" spans="1:13" ht="18.75" x14ac:dyDescent="0.3">
      <c r="A50" s="22"/>
      <c r="B50" s="32" t="s">
        <v>27</v>
      </c>
      <c r="C50" s="13"/>
      <c r="D50" s="13"/>
      <c r="E50" s="23">
        <f>SUBTOTAL(9,E42:E49)</f>
        <v>135.76400000000012</v>
      </c>
      <c r="F50" s="24">
        <f>E50</f>
        <v>135.76400000000012</v>
      </c>
      <c r="G50" s="23">
        <f>SUBTOTAL(9,G42:G49)</f>
        <v>1276.9039999999998</v>
      </c>
      <c r="H50" s="23">
        <f>SUBTOTAL(9,H42:H49)</f>
        <v>1412.6680000000001</v>
      </c>
      <c r="I50" s="23"/>
      <c r="J50" s="17"/>
      <c r="K50" s="76"/>
      <c r="L50" s="17"/>
      <c r="M50" s="80"/>
    </row>
    <row r="51" spans="1:13" ht="18.75" x14ac:dyDescent="0.3">
      <c r="A51" s="22"/>
      <c r="B51" s="32"/>
      <c r="C51" s="13"/>
      <c r="D51" s="13"/>
      <c r="E51" s="15"/>
      <c r="F51" s="24"/>
      <c r="G51" s="23"/>
      <c r="H51" s="23"/>
      <c r="I51" s="23"/>
      <c r="J51" s="17"/>
      <c r="K51" s="76"/>
      <c r="L51" s="17"/>
      <c r="M51" s="80"/>
    </row>
    <row r="52" spans="1:13" ht="18.75" x14ac:dyDescent="0.3">
      <c r="A52" s="21">
        <v>45905</v>
      </c>
      <c r="B52" s="32" t="s">
        <v>253</v>
      </c>
      <c r="C52" s="13" t="s">
        <v>67</v>
      </c>
      <c r="D52" s="13" t="s">
        <v>9</v>
      </c>
      <c r="E52" s="15">
        <f>306.391-25+25</f>
        <v>306.39100000000002</v>
      </c>
      <c r="F52" s="24"/>
      <c r="G52" s="16">
        <f t="shared" ref="G52:G61" si="17">H52-E52</f>
        <v>2.7399999999999523</v>
      </c>
      <c r="H52" s="16">
        <v>309.13099999999997</v>
      </c>
      <c r="I52" s="16">
        <v>1890.7629999999999</v>
      </c>
      <c r="J52" s="17" t="s">
        <v>245</v>
      </c>
      <c r="K52" s="76"/>
      <c r="L52" s="83">
        <f t="shared" ref="L52:L61" ca="1" si="18">TODAY()-A52</f>
        <v>250</v>
      </c>
      <c r="M52" s="80"/>
    </row>
    <row r="53" spans="1:13" ht="18.75" x14ac:dyDescent="0.3">
      <c r="A53" s="21">
        <v>45968</v>
      </c>
      <c r="B53" s="13" t="s">
        <v>272</v>
      </c>
      <c r="C53" s="13" t="s">
        <v>67</v>
      </c>
      <c r="D53" s="13" t="s">
        <v>9</v>
      </c>
      <c r="E53" s="14">
        <v>35.591999999999999</v>
      </c>
      <c r="F53" s="24"/>
      <c r="G53" s="16">
        <f t="shared" si="17"/>
        <v>7.9999999999998295E-2</v>
      </c>
      <c r="H53" s="16">
        <v>35.671999999999997</v>
      </c>
      <c r="I53" s="16">
        <v>524.80200000000002</v>
      </c>
      <c r="J53" s="17" t="s">
        <v>32</v>
      </c>
      <c r="K53" s="76"/>
      <c r="L53" s="83">
        <f t="shared" ca="1" si="18"/>
        <v>187</v>
      </c>
      <c r="M53" s="80"/>
    </row>
    <row r="54" spans="1:13" ht="18.75" x14ac:dyDescent="0.3">
      <c r="A54" s="21">
        <v>45975</v>
      </c>
      <c r="B54" s="13" t="s">
        <v>274</v>
      </c>
      <c r="C54" s="13" t="s">
        <v>67</v>
      </c>
      <c r="D54" s="13" t="s">
        <v>9</v>
      </c>
      <c r="E54" s="14">
        <v>0</v>
      </c>
      <c r="F54" s="24"/>
      <c r="G54" s="16">
        <f t="shared" si="17"/>
        <v>7.0000000000000001E-3</v>
      </c>
      <c r="H54" s="16">
        <v>7.0000000000000001E-3</v>
      </c>
      <c r="I54" s="16">
        <v>597.05700000000002</v>
      </c>
      <c r="J54" s="17" t="s">
        <v>32</v>
      </c>
      <c r="K54" s="76"/>
      <c r="L54" s="83">
        <f t="shared" ca="1" si="18"/>
        <v>180</v>
      </c>
      <c r="M54" s="80"/>
    </row>
    <row r="55" spans="1:13" ht="18.75" x14ac:dyDescent="0.3">
      <c r="A55" s="21">
        <v>46123</v>
      </c>
      <c r="B55" s="13" t="s">
        <v>385</v>
      </c>
      <c r="C55" s="13" t="s">
        <v>67</v>
      </c>
      <c r="D55" s="13" t="s">
        <v>9</v>
      </c>
      <c r="E55" s="14">
        <f>238.948-80</f>
        <v>158.94800000000001</v>
      </c>
      <c r="F55" s="24"/>
      <c r="G55" s="16">
        <f t="shared" si="17"/>
        <v>80</v>
      </c>
      <c r="H55" s="16">
        <v>238.94800000000001</v>
      </c>
      <c r="I55" s="16">
        <v>240</v>
      </c>
      <c r="J55" s="17" t="s">
        <v>32</v>
      </c>
      <c r="K55" s="76"/>
      <c r="L55" s="83">
        <f t="shared" ca="1" si="18"/>
        <v>32</v>
      </c>
      <c r="M55" s="80"/>
    </row>
    <row r="56" spans="1:13" ht="18.75" x14ac:dyDescent="0.3">
      <c r="A56" s="21">
        <v>46131</v>
      </c>
      <c r="B56" s="13" t="s">
        <v>397</v>
      </c>
      <c r="C56" s="13" t="s">
        <v>67</v>
      </c>
      <c r="D56" s="13" t="s">
        <v>9</v>
      </c>
      <c r="E56" s="14">
        <f>498.637-20-25</f>
        <v>453.637</v>
      </c>
      <c r="F56" s="24"/>
      <c r="G56" s="16">
        <f t="shared" si="17"/>
        <v>45</v>
      </c>
      <c r="H56" s="16">
        <v>498.637</v>
      </c>
      <c r="I56" s="16">
        <v>498.637</v>
      </c>
      <c r="J56" s="17" t="s">
        <v>32</v>
      </c>
      <c r="K56" s="76"/>
      <c r="L56" s="83">
        <f t="shared" ca="1" si="18"/>
        <v>24</v>
      </c>
      <c r="M56" s="80"/>
    </row>
    <row r="57" spans="1:13" ht="18.75" x14ac:dyDescent="0.3">
      <c r="A57" s="95">
        <v>46012</v>
      </c>
      <c r="B57" s="96" t="s">
        <v>288</v>
      </c>
      <c r="C57" s="96" t="s">
        <v>67</v>
      </c>
      <c r="D57" s="96" t="s">
        <v>9</v>
      </c>
      <c r="E57" s="101">
        <v>0</v>
      </c>
      <c r="F57" s="98"/>
      <c r="G57" s="97">
        <f t="shared" si="17"/>
        <v>25.105</v>
      </c>
      <c r="H57" s="98">
        <v>25.105</v>
      </c>
      <c r="I57" s="97">
        <v>952.65700000000004</v>
      </c>
      <c r="J57" s="99" t="s">
        <v>32</v>
      </c>
      <c r="K57" s="100" t="s">
        <v>240</v>
      </c>
      <c r="L57" s="83">
        <f t="shared" ca="1" si="18"/>
        <v>143</v>
      </c>
      <c r="M57" s="80"/>
    </row>
    <row r="58" spans="1:13" ht="18.75" x14ac:dyDescent="0.3">
      <c r="A58" s="95">
        <v>46068</v>
      </c>
      <c r="B58" s="96" t="s">
        <v>325</v>
      </c>
      <c r="C58" s="96" t="s">
        <v>67</v>
      </c>
      <c r="D58" s="96" t="s">
        <v>9</v>
      </c>
      <c r="E58" s="101">
        <f>1046.886-100-25-20-125+50-15-85-25</f>
        <v>701.88599999999997</v>
      </c>
      <c r="F58" s="98"/>
      <c r="G58" s="97">
        <f t="shared" si="17"/>
        <v>121.05899999999997</v>
      </c>
      <c r="H58" s="98">
        <f>517.161+305.784</f>
        <v>822.94499999999994</v>
      </c>
      <c r="I58" s="97">
        <v>1046.886</v>
      </c>
      <c r="J58" s="99" t="s">
        <v>32</v>
      </c>
      <c r="K58" s="100" t="s">
        <v>240</v>
      </c>
      <c r="L58" s="83">
        <f t="shared" ca="1" si="18"/>
        <v>87</v>
      </c>
      <c r="M58" s="80"/>
    </row>
    <row r="59" spans="1:13" ht="18.75" x14ac:dyDescent="0.3">
      <c r="A59" s="21">
        <v>46048</v>
      </c>
      <c r="B59" s="13" t="s">
        <v>302</v>
      </c>
      <c r="C59" s="13" t="s">
        <v>67</v>
      </c>
      <c r="D59" s="13" t="s">
        <v>16</v>
      </c>
      <c r="E59" s="14">
        <f>30.427-75-10</f>
        <v>-54.573</v>
      </c>
      <c r="F59" s="24"/>
      <c r="G59" s="16">
        <f t="shared" si="17"/>
        <v>75.289999999999992</v>
      </c>
      <c r="H59" s="16">
        <v>20.716999999999999</v>
      </c>
      <c r="I59" s="16">
        <v>582.77200000000005</v>
      </c>
      <c r="J59" s="17" t="s">
        <v>23</v>
      </c>
      <c r="K59" s="76"/>
      <c r="L59" s="83">
        <f t="shared" ca="1" si="18"/>
        <v>107</v>
      </c>
      <c r="M59" s="80"/>
    </row>
    <row r="60" spans="1:13" ht="18.75" x14ac:dyDescent="0.3">
      <c r="A60" s="21">
        <v>46098</v>
      </c>
      <c r="B60" s="13" t="s">
        <v>368</v>
      </c>
      <c r="C60" s="13" t="s">
        <v>67</v>
      </c>
      <c r="D60" s="13" t="s">
        <v>19</v>
      </c>
      <c r="E60" s="14">
        <f>186.359+40-209-20</f>
        <v>-2.6409999999999911</v>
      </c>
      <c r="F60" s="24"/>
      <c r="G60" s="16">
        <f t="shared" si="17"/>
        <v>29.669999999999991</v>
      </c>
      <c r="H60" s="16">
        <v>27.029</v>
      </c>
      <c r="I60" s="16">
        <v>475.56900000000002</v>
      </c>
      <c r="J60" s="17" t="s">
        <v>351</v>
      </c>
      <c r="K60" s="76"/>
      <c r="L60" s="83">
        <f t="shared" ca="1" si="18"/>
        <v>57</v>
      </c>
      <c r="M60" s="80"/>
    </row>
    <row r="61" spans="1:13" ht="18.75" x14ac:dyDescent="0.3">
      <c r="A61" s="95">
        <v>46090</v>
      </c>
      <c r="B61" s="96" t="s">
        <v>345</v>
      </c>
      <c r="C61" s="96" t="s">
        <v>67</v>
      </c>
      <c r="D61" s="96" t="s">
        <v>19</v>
      </c>
      <c r="E61" s="101">
        <v>0</v>
      </c>
      <c r="F61" s="98"/>
      <c r="G61" s="97">
        <f t="shared" si="17"/>
        <v>71.97</v>
      </c>
      <c r="H61" s="97">
        <v>71.97</v>
      </c>
      <c r="I61" s="97">
        <v>952.71100000000001</v>
      </c>
      <c r="J61" s="99" t="s">
        <v>351</v>
      </c>
      <c r="K61" s="100" t="s">
        <v>240</v>
      </c>
      <c r="L61" s="83">
        <f t="shared" ca="1" si="18"/>
        <v>65</v>
      </c>
      <c r="M61" s="80"/>
    </row>
    <row r="62" spans="1:13" ht="18.75" x14ac:dyDescent="0.3">
      <c r="A62" s="22"/>
      <c r="B62" s="32" t="s">
        <v>27</v>
      </c>
      <c r="C62" s="13"/>
      <c r="D62" s="13"/>
      <c r="E62" s="23">
        <f>SUBTOTAL(9,E52:E61)</f>
        <v>1599.2399999999998</v>
      </c>
      <c r="F62" s="24">
        <f>E62</f>
        <v>1599.2399999999998</v>
      </c>
      <c r="G62" s="23">
        <f>SUBTOTAL(9,G52:G61)</f>
        <v>450.92099999999994</v>
      </c>
      <c r="H62" s="23">
        <f>SUBTOTAL(9,H52:H61)</f>
        <v>2050.1610000000001</v>
      </c>
      <c r="I62" s="23"/>
      <c r="J62" s="17"/>
      <c r="K62" s="76"/>
      <c r="L62" s="17"/>
      <c r="M62" s="80"/>
    </row>
    <row r="63" spans="1:13" ht="18.75" x14ac:dyDescent="0.3">
      <c r="A63" s="22"/>
      <c r="B63" s="32"/>
      <c r="C63" s="13"/>
      <c r="D63" s="13"/>
      <c r="E63" s="23"/>
      <c r="F63" s="24"/>
      <c r="G63" s="23"/>
      <c r="H63" s="23"/>
      <c r="I63" s="23"/>
      <c r="J63" s="17"/>
      <c r="K63" s="76"/>
      <c r="L63" s="17"/>
      <c r="M63" s="80"/>
    </row>
    <row r="64" spans="1:13" ht="18.75" x14ac:dyDescent="0.3">
      <c r="A64" s="21">
        <v>46071</v>
      </c>
      <c r="B64" s="13" t="s">
        <v>322</v>
      </c>
      <c r="C64" s="13" t="s">
        <v>77</v>
      </c>
      <c r="D64" s="13" t="s">
        <v>9</v>
      </c>
      <c r="E64" s="16">
        <v>-42.65</v>
      </c>
      <c r="F64" s="24"/>
      <c r="G64" s="16">
        <f t="shared" ref="G64" si="19">H64-E64</f>
        <v>232.11199999999999</v>
      </c>
      <c r="H64" s="16">
        <v>189.46199999999999</v>
      </c>
      <c r="I64" s="16">
        <v>800.98800000000006</v>
      </c>
      <c r="J64" s="17" t="s">
        <v>32</v>
      </c>
      <c r="K64" s="76"/>
      <c r="L64" s="83">
        <f t="shared" ref="L64" ca="1" si="20">TODAY()-A64</f>
        <v>84</v>
      </c>
      <c r="M64" s="80"/>
    </row>
    <row r="65" spans="1:13" ht="18.75" x14ac:dyDescent="0.3">
      <c r="A65" s="22"/>
      <c r="B65" s="32" t="s">
        <v>27</v>
      </c>
      <c r="C65" s="13"/>
      <c r="D65" s="13"/>
      <c r="E65" s="23">
        <f>SUBTOTAL(9,E64:E64)</f>
        <v>-42.65</v>
      </c>
      <c r="F65" s="24">
        <f>E65</f>
        <v>-42.65</v>
      </c>
      <c r="G65" s="23">
        <f>SUBTOTAL(9,G64:G64)</f>
        <v>232.11199999999999</v>
      </c>
      <c r="H65" s="23">
        <f>SUBTOTAL(9,H64:H64)</f>
        <v>189.46199999999999</v>
      </c>
      <c r="I65" s="23"/>
      <c r="J65" s="17"/>
      <c r="K65" s="76"/>
      <c r="L65" s="17"/>
      <c r="M65" s="80"/>
    </row>
    <row r="66" spans="1:13" ht="18.75" x14ac:dyDescent="0.3">
      <c r="A66" s="22"/>
      <c r="B66" s="32"/>
      <c r="C66" s="13"/>
      <c r="D66" s="13"/>
      <c r="E66" s="23"/>
      <c r="F66" s="24"/>
      <c r="G66" s="23"/>
      <c r="H66" s="23"/>
      <c r="I66" s="23"/>
      <c r="J66" s="17"/>
      <c r="K66" s="76"/>
      <c r="L66" s="17"/>
      <c r="M66" s="80"/>
    </row>
    <row r="67" spans="1:13" ht="18.75" x14ac:dyDescent="0.3">
      <c r="A67" s="21">
        <v>45832</v>
      </c>
      <c r="B67" s="13" t="s">
        <v>248</v>
      </c>
      <c r="C67" s="13" t="s">
        <v>158</v>
      </c>
      <c r="D67" s="13" t="s">
        <v>9</v>
      </c>
      <c r="E67" s="16">
        <v>0</v>
      </c>
      <c r="F67" s="24"/>
      <c r="G67" s="16">
        <f t="shared" ref="G67:G68" si="21">H67-E67</f>
        <v>1E-3</v>
      </c>
      <c r="H67" s="16">
        <v>1E-3</v>
      </c>
      <c r="I67" s="16">
        <v>1526.6410000000001</v>
      </c>
      <c r="J67" s="17" t="s">
        <v>32</v>
      </c>
      <c r="K67" s="76"/>
      <c r="L67" s="83">
        <f t="shared" ref="L67:L68" ca="1" si="22">TODAY()-A67</f>
        <v>323</v>
      </c>
      <c r="M67" s="80"/>
    </row>
    <row r="68" spans="1:13" ht="18.75" x14ac:dyDescent="0.3">
      <c r="A68" s="21">
        <v>45903</v>
      </c>
      <c r="B68" s="13" t="s">
        <v>255</v>
      </c>
      <c r="C68" s="13" t="s">
        <v>158</v>
      </c>
      <c r="D68" s="13" t="s">
        <v>9</v>
      </c>
      <c r="E68" s="16">
        <f>1.051-50</f>
        <v>-48.948999999999998</v>
      </c>
      <c r="F68" s="24"/>
      <c r="G68" s="16">
        <f t="shared" si="21"/>
        <v>49.289000000000001</v>
      </c>
      <c r="H68" s="16">
        <v>0.34</v>
      </c>
      <c r="I68" s="16">
        <v>1046.06</v>
      </c>
      <c r="J68" s="17" t="s">
        <v>257</v>
      </c>
      <c r="K68" s="76"/>
      <c r="L68" s="83">
        <f t="shared" ca="1" si="22"/>
        <v>252</v>
      </c>
      <c r="M68" s="80"/>
    </row>
    <row r="69" spans="1:13" ht="18.75" x14ac:dyDescent="0.3">
      <c r="A69" s="22"/>
      <c r="B69" s="32" t="s">
        <v>27</v>
      </c>
      <c r="C69" s="13"/>
      <c r="D69" s="13"/>
      <c r="E69" s="23">
        <f>SUBTOTAL(9,E67:E68)</f>
        <v>-48.948999999999998</v>
      </c>
      <c r="F69" s="24">
        <f>E69</f>
        <v>-48.948999999999998</v>
      </c>
      <c r="G69" s="23">
        <f>SUBTOTAL(9,G67:G68)</f>
        <v>49.29</v>
      </c>
      <c r="H69" s="23">
        <f>SUBTOTAL(9,H67:H68)</f>
        <v>0.34100000000000003</v>
      </c>
      <c r="I69" s="23"/>
      <c r="J69" s="17"/>
      <c r="K69" s="76"/>
      <c r="L69" s="17"/>
      <c r="M69" s="80"/>
    </row>
    <row r="70" spans="1:13" ht="18.75" x14ac:dyDescent="0.3">
      <c r="A70" s="22"/>
      <c r="B70" s="32"/>
      <c r="C70" s="13"/>
      <c r="D70" s="13"/>
      <c r="E70" s="23"/>
      <c r="F70" s="24"/>
      <c r="G70" s="23"/>
      <c r="H70" s="23"/>
      <c r="I70" s="23"/>
      <c r="J70" s="17"/>
      <c r="K70" s="76"/>
      <c r="L70" s="17"/>
      <c r="M70" s="80"/>
    </row>
    <row r="71" spans="1:13" ht="18.75" x14ac:dyDescent="0.3">
      <c r="A71" s="105">
        <v>45922</v>
      </c>
      <c r="B71" s="106" t="s">
        <v>270</v>
      </c>
      <c r="C71" s="106" t="s">
        <v>118</v>
      </c>
      <c r="D71" s="106" t="s">
        <v>9</v>
      </c>
      <c r="E71" s="84">
        <v>-24.72</v>
      </c>
      <c r="F71" s="107"/>
      <c r="G71" s="84">
        <f t="shared" ref="G71" si="23">H71-E71</f>
        <v>24.721</v>
      </c>
      <c r="H71" s="16">
        <v>1E-3</v>
      </c>
      <c r="I71" s="16">
        <v>795.53</v>
      </c>
      <c r="J71" s="108" t="s">
        <v>47</v>
      </c>
      <c r="K71" s="109"/>
      <c r="L71" s="83">
        <f t="shared" ref="L71" ca="1" si="24">TODAY()-A71</f>
        <v>233</v>
      </c>
      <c r="M71" s="110"/>
    </row>
    <row r="72" spans="1:13" ht="18.75" x14ac:dyDescent="0.3">
      <c r="A72" s="22"/>
      <c r="B72" s="32" t="s">
        <v>27</v>
      </c>
      <c r="C72" s="13"/>
      <c r="D72" s="13"/>
      <c r="E72" s="23">
        <f>SUBTOTAL(9,E71:E71)</f>
        <v>-24.72</v>
      </c>
      <c r="F72" s="24">
        <f>E72</f>
        <v>-24.72</v>
      </c>
      <c r="G72" s="23">
        <f>SUBTOTAL(9,G71:G71)</f>
        <v>24.721</v>
      </c>
      <c r="H72" s="23">
        <f>SUBTOTAL(9,H71:H71)</f>
        <v>1E-3</v>
      </c>
      <c r="I72" s="23"/>
      <c r="J72" s="17"/>
      <c r="K72" s="76"/>
      <c r="L72" s="17"/>
      <c r="M72" s="80"/>
    </row>
    <row r="73" spans="1:13" ht="18.75" x14ac:dyDescent="0.3">
      <c r="A73" s="22"/>
      <c r="B73" s="32"/>
      <c r="C73" s="13"/>
      <c r="D73" s="13"/>
      <c r="E73" s="15"/>
      <c r="F73" s="24"/>
      <c r="G73" s="23"/>
      <c r="H73" s="23"/>
      <c r="I73" s="23"/>
      <c r="J73" s="17"/>
      <c r="K73" s="76"/>
      <c r="L73" s="17"/>
      <c r="M73" s="80"/>
    </row>
    <row r="74" spans="1:13" ht="18.75" x14ac:dyDescent="0.3">
      <c r="A74" s="21">
        <v>46086</v>
      </c>
      <c r="B74" s="13" t="s">
        <v>337</v>
      </c>
      <c r="C74" s="13" t="s">
        <v>230</v>
      </c>
      <c r="D74" s="13" t="s">
        <v>13</v>
      </c>
      <c r="E74" s="16">
        <v>-21.986000000000001</v>
      </c>
      <c r="F74" s="24"/>
      <c r="G74" s="16">
        <f t="shared" ref="G74" si="25">H74-E74</f>
        <v>35.5</v>
      </c>
      <c r="H74" s="16">
        <v>13.513999999999999</v>
      </c>
      <c r="I74" s="16">
        <v>496.86399999999998</v>
      </c>
      <c r="J74" s="17" t="s">
        <v>21</v>
      </c>
      <c r="K74" s="76"/>
      <c r="L74" s="83">
        <f t="shared" ref="L74" ca="1" si="26">TODAY()-A74</f>
        <v>69</v>
      </c>
      <c r="M74" s="80"/>
    </row>
    <row r="75" spans="1:13" ht="18.75" x14ac:dyDescent="0.3">
      <c r="A75" s="22"/>
      <c r="B75" s="32"/>
      <c r="C75" s="13"/>
      <c r="D75" s="13"/>
      <c r="E75" s="23">
        <f>SUBTOTAL(9,E74:E74)</f>
        <v>-21.986000000000001</v>
      </c>
      <c r="F75" s="24">
        <f>E75</f>
        <v>-21.986000000000001</v>
      </c>
      <c r="G75" s="23">
        <f>SUBTOTAL(9,G74:G74)</f>
        <v>35.5</v>
      </c>
      <c r="H75" s="23">
        <f>SUBTOTAL(9,H74:H74)</f>
        <v>13.513999999999999</v>
      </c>
      <c r="I75" s="23"/>
      <c r="J75" s="17"/>
      <c r="K75" s="76"/>
      <c r="L75" s="17"/>
      <c r="M75" s="80"/>
    </row>
    <row r="76" spans="1:13" ht="18.75" x14ac:dyDescent="0.3">
      <c r="A76" s="22"/>
      <c r="B76" s="32"/>
      <c r="C76" s="13"/>
      <c r="D76" s="13"/>
      <c r="E76" s="15"/>
      <c r="F76" s="24"/>
      <c r="G76" s="23"/>
      <c r="H76" s="23"/>
      <c r="I76" s="23"/>
      <c r="J76" s="17"/>
      <c r="K76" s="76"/>
      <c r="L76" s="17"/>
      <c r="M76" s="80"/>
    </row>
    <row r="77" spans="1:13" ht="18.75" x14ac:dyDescent="0.3">
      <c r="A77" s="95">
        <v>45607</v>
      </c>
      <c r="B77" s="96" t="s">
        <v>241</v>
      </c>
      <c r="C77" s="96" t="s">
        <v>238</v>
      </c>
      <c r="D77" s="96" t="s">
        <v>9</v>
      </c>
      <c r="E77" s="97">
        <v>0</v>
      </c>
      <c r="F77" s="98"/>
      <c r="G77" s="97">
        <f t="shared" ref="G77:G78" si="27">H77-E77</f>
        <v>178.98</v>
      </c>
      <c r="H77" s="98">
        <v>178.98</v>
      </c>
      <c r="I77" s="97"/>
      <c r="J77" s="99" t="s">
        <v>29</v>
      </c>
      <c r="K77" s="100" t="s">
        <v>240</v>
      </c>
      <c r="L77" s="83">
        <f t="shared" ref="L77:L78" ca="1" si="28">TODAY()-A77</f>
        <v>548</v>
      </c>
      <c r="M77" s="80"/>
    </row>
    <row r="78" spans="1:13" ht="18.75" x14ac:dyDescent="0.3">
      <c r="A78" s="95">
        <v>45809</v>
      </c>
      <c r="B78" s="96" t="s">
        <v>244</v>
      </c>
      <c r="C78" s="96" t="s">
        <v>238</v>
      </c>
      <c r="D78" s="96" t="s">
        <v>9</v>
      </c>
      <c r="E78" s="97">
        <f>663.055-54-105-12-25-20</f>
        <v>447.05499999999995</v>
      </c>
      <c r="F78" s="98"/>
      <c r="G78" s="97">
        <f t="shared" si="27"/>
        <v>216</v>
      </c>
      <c r="H78" s="98">
        <v>663.05499999999995</v>
      </c>
      <c r="I78" s="97"/>
      <c r="J78" s="99" t="s">
        <v>29</v>
      </c>
      <c r="K78" s="100" t="s">
        <v>240</v>
      </c>
      <c r="L78" s="83">
        <f t="shared" ca="1" si="28"/>
        <v>346</v>
      </c>
      <c r="M78" s="80"/>
    </row>
    <row r="79" spans="1:13" ht="18.75" x14ac:dyDescent="0.3">
      <c r="A79" s="22"/>
      <c r="B79" s="32" t="s">
        <v>27</v>
      </c>
      <c r="C79" s="13"/>
      <c r="D79" s="13"/>
      <c r="E79" s="23">
        <f>SUBTOTAL(9,E77:E78)</f>
        <v>447.05499999999995</v>
      </c>
      <c r="F79" s="24">
        <f>E79</f>
        <v>447.05499999999995</v>
      </c>
      <c r="G79" s="23">
        <f>SUBTOTAL(9,G77:G78)</f>
        <v>394.98</v>
      </c>
      <c r="H79" s="23">
        <f>SUBTOTAL(9,H77:H78)</f>
        <v>842.03499999999997</v>
      </c>
      <c r="I79" s="23"/>
      <c r="J79" s="17"/>
      <c r="K79" s="76"/>
      <c r="L79" s="17"/>
      <c r="M79" s="80"/>
    </row>
    <row r="80" spans="1:13" ht="18.75" x14ac:dyDescent="0.3">
      <c r="A80" s="22"/>
      <c r="B80" s="32"/>
      <c r="C80" s="13"/>
      <c r="D80" s="13"/>
      <c r="E80" s="23"/>
      <c r="F80" s="24"/>
      <c r="G80" s="23"/>
      <c r="H80" s="23"/>
      <c r="I80" s="23"/>
      <c r="J80" s="17"/>
      <c r="K80" s="76"/>
      <c r="L80" s="17"/>
      <c r="M80" s="80"/>
    </row>
    <row r="81" spans="1:13" ht="18.75" x14ac:dyDescent="0.3">
      <c r="A81" s="21">
        <v>45823</v>
      </c>
      <c r="B81" s="13" t="s">
        <v>246</v>
      </c>
      <c r="C81" s="13" t="s">
        <v>82</v>
      </c>
      <c r="D81" s="13" t="s">
        <v>9</v>
      </c>
      <c r="E81" s="16">
        <v>0</v>
      </c>
      <c r="F81" s="24"/>
      <c r="G81" s="16">
        <f t="shared" ref="G81:G83" si="29">H81-E81</f>
        <v>0.24299999999999999</v>
      </c>
      <c r="H81" s="16">
        <v>0.24299999999999999</v>
      </c>
      <c r="I81" s="16">
        <v>522.51300000000003</v>
      </c>
      <c r="J81" s="17" t="s">
        <v>32</v>
      </c>
      <c r="K81" s="76"/>
      <c r="L81" s="83">
        <f t="shared" ref="L81:L83" ca="1" si="30">TODAY()-A81</f>
        <v>332</v>
      </c>
      <c r="M81" s="80"/>
    </row>
    <row r="82" spans="1:13" ht="18.75" x14ac:dyDescent="0.3">
      <c r="A82" s="21">
        <v>45832</v>
      </c>
      <c r="B82" s="13" t="s">
        <v>249</v>
      </c>
      <c r="C82" s="13" t="s">
        <v>82</v>
      </c>
      <c r="D82" s="13" t="s">
        <v>9</v>
      </c>
      <c r="E82" s="16">
        <f>510.073-52.143-102-175+8.143-50-21-56-40-18</f>
        <v>4.0729999999999507</v>
      </c>
      <c r="F82" s="24"/>
      <c r="G82" s="16">
        <f t="shared" si="29"/>
        <v>0.3790000000000493</v>
      </c>
      <c r="H82" s="16">
        <v>4.452</v>
      </c>
      <c r="I82" s="16">
        <v>510.07299999999998</v>
      </c>
      <c r="J82" s="17" t="s">
        <v>32</v>
      </c>
      <c r="K82" s="76"/>
      <c r="L82" s="83">
        <f t="shared" ca="1" si="30"/>
        <v>323</v>
      </c>
      <c r="M82" s="80"/>
    </row>
    <row r="83" spans="1:13" ht="18.75" x14ac:dyDescent="0.3">
      <c r="A83" s="126">
        <v>46147</v>
      </c>
      <c r="B83" s="127" t="s">
        <v>434</v>
      </c>
      <c r="C83" s="127" t="s">
        <v>82</v>
      </c>
      <c r="D83" s="127" t="s">
        <v>9</v>
      </c>
      <c r="E83" s="130">
        <f>1731.193-1010-30-50</f>
        <v>641.19299999999998</v>
      </c>
      <c r="F83" s="136"/>
      <c r="G83" s="130">
        <f t="shared" si="29"/>
        <v>936.91000000000008</v>
      </c>
      <c r="H83" s="130">
        <v>1578.1030000000001</v>
      </c>
      <c r="I83" s="130">
        <v>1731.193</v>
      </c>
      <c r="J83" s="131" t="s">
        <v>32</v>
      </c>
      <c r="K83" s="132" t="s">
        <v>341</v>
      </c>
      <c r="L83" s="133">
        <f t="shared" ca="1" si="30"/>
        <v>8</v>
      </c>
      <c r="M83" s="80"/>
    </row>
    <row r="84" spans="1:13" ht="18.75" x14ac:dyDescent="0.3">
      <c r="A84" s="21">
        <v>46127</v>
      </c>
      <c r="B84" s="13" t="s">
        <v>390</v>
      </c>
      <c r="C84" s="13" t="s">
        <v>82</v>
      </c>
      <c r="D84" s="13" t="s">
        <v>19</v>
      </c>
      <c r="E84" s="16">
        <v>0</v>
      </c>
      <c r="F84" s="24"/>
      <c r="G84" s="16">
        <f t="shared" ref="G84:G85" si="31">H84-E84</f>
        <v>40.256999999999998</v>
      </c>
      <c r="H84" s="16">
        <v>40.256999999999998</v>
      </c>
      <c r="I84" s="16">
        <v>715.29399999999998</v>
      </c>
      <c r="J84" s="17" t="s">
        <v>26</v>
      </c>
      <c r="K84" s="76"/>
      <c r="L84" s="83">
        <f t="shared" ref="L84:L85" ca="1" si="32">TODAY()-A84</f>
        <v>28</v>
      </c>
      <c r="M84" s="80"/>
    </row>
    <row r="85" spans="1:13" ht="18.75" x14ac:dyDescent="0.3">
      <c r="A85" s="126">
        <v>46144</v>
      </c>
      <c r="B85" s="127" t="s">
        <v>419</v>
      </c>
      <c r="C85" s="127" t="s">
        <v>82</v>
      </c>
      <c r="D85" s="127" t="s">
        <v>19</v>
      </c>
      <c r="E85" s="130">
        <f>950-318.063-75-105-65-53+30-25-10</f>
        <v>328.93700000000001</v>
      </c>
      <c r="F85" s="136"/>
      <c r="G85" s="130">
        <f t="shared" si="31"/>
        <v>282.34699999999998</v>
      </c>
      <c r="H85" s="130">
        <v>611.28399999999999</v>
      </c>
      <c r="I85" s="130">
        <v>948.20399999999995</v>
      </c>
      <c r="J85" s="131" t="s">
        <v>26</v>
      </c>
      <c r="K85" s="132" t="s">
        <v>341</v>
      </c>
      <c r="L85" s="133">
        <f t="shared" ca="1" si="32"/>
        <v>11</v>
      </c>
      <c r="M85" s="80"/>
    </row>
    <row r="86" spans="1:13" ht="18.75" x14ac:dyDescent="0.3">
      <c r="A86" s="22"/>
      <c r="B86" s="32" t="s">
        <v>27</v>
      </c>
      <c r="C86" s="13"/>
      <c r="D86" s="13"/>
      <c r="E86" s="23">
        <f>SUBTOTAL(9,E80:E85)</f>
        <v>974.20299999999997</v>
      </c>
      <c r="F86" s="24">
        <f>E86</f>
        <v>974.20299999999997</v>
      </c>
      <c r="G86" s="23">
        <f>SUBTOTAL(9,G80:G85)</f>
        <v>1260.136</v>
      </c>
      <c r="H86" s="23">
        <f>SUBTOTAL(9,H80:H85)</f>
        <v>2234.3389999999999</v>
      </c>
      <c r="I86" s="23"/>
      <c r="J86" s="17"/>
      <c r="K86" s="76"/>
      <c r="L86" s="17"/>
      <c r="M86" s="80"/>
    </row>
    <row r="87" spans="1:13" ht="18.75" x14ac:dyDescent="0.3">
      <c r="A87" s="22"/>
      <c r="B87" s="32"/>
      <c r="C87" s="13"/>
      <c r="D87" s="13"/>
      <c r="E87" s="23"/>
      <c r="F87" s="24"/>
      <c r="G87" s="23"/>
      <c r="H87" s="23"/>
      <c r="I87" s="23"/>
      <c r="J87" s="17"/>
      <c r="K87" s="76"/>
      <c r="L87" s="17"/>
      <c r="M87" s="80"/>
    </row>
    <row r="88" spans="1:13" ht="18.75" x14ac:dyDescent="0.3">
      <c r="A88" s="21">
        <v>45999</v>
      </c>
      <c r="B88" s="13" t="s">
        <v>284</v>
      </c>
      <c r="C88" s="13" t="s">
        <v>229</v>
      </c>
      <c r="D88" s="13" t="s">
        <v>13</v>
      </c>
      <c r="E88" s="14">
        <v>0</v>
      </c>
      <c r="F88" s="15"/>
      <c r="G88" s="16">
        <f t="shared" ref="G88:G91" si="33">H88-E88</f>
        <v>5.4459999999999997</v>
      </c>
      <c r="H88" s="16">
        <v>5.4459999999999997</v>
      </c>
      <c r="I88" s="16">
        <v>1989.6610000000001</v>
      </c>
      <c r="J88" s="17" t="s">
        <v>21</v>
      </c>
      <c r="K88" s="76"/>
      <c r="L88" s="83">
        <f t="shared" ref="L88:L91" ca="1" si="34">TODAY()-A88</f>
        <v>156</v>
      </c>
      <c r="M88" s="80"/>
    </row>
    <row r="89" spans="1:13" ht="18.75" x14ac:dyDescent="0.3">
      <c r="A89" s="21">
        <v>46067</v>
      </c>
      <c r="B89" s="13" t="s">
        <v>313</v>
      </c>
      <c r="C89" s="13" t="s">
        <v>229</v>
      </c>
      <c r="D89" s="13" t="s">
        <v>13</v>
      </c>
      <c r="E89" s="14">
        <v>0</v>
      </c>
      <c r="F89" s="15"/>
      <c r="G89" s="16">
        <f t="shared" si="33"/>
        <v>10.57</v>
      </c>
      <c r="H89" s="16">
        <v>10.57</v>
      </c>
      <c r="I89" s="16">
        <v>2000</v>
      </c>
      <c r="J89" s="17" t="s">
        <v>21</v>
      </c>
      <c r="K89" s="76"/>
      <c r="L89" s="83">
        <f t="shared" ca="1" si="34"/>
        <v>88</v>
      </c>
      <c r="M89" s="80"/>
    </row>
    <row r="90" spans="1:13" ht="18.75" x14ac:dyDescent="0.3">
      <c r="A90" s="21">
        <v>46148</v>
      </c>
      <c r="B90" s="13" t="s">
        <v>432</v>
      </c>
      <c r="C90" s="13" t="s">
        <v>229</v>
      </c>
      <c r="D90" s="13" t="s">
        <v>13</v>
      </c>
      <c r="E90" s="14">
        <f>2099.561-336-60-10-181</f>
        <v>1512.5610000000001</v>
      </c>
      <c r="F90" s="15"/>
      <c r="G90" s="16">
        <f t="shared" si="33"/>
        <v>550.26600000000008</v>
      </c>
      <c r="H90" s="16">
        <v>2062.8270000000002</v>
      </c>
      <c r="I90" s="16">
        <v>2099.5610000000001</v>
      </c>
      <c r="J90" s="17" t="s">
        <v>21</v>
      </c>
      <c r="K90" s="76"/>
      <c r="L90" s="83">
        <f t="shared" ca="1" si="34"/>
        <v>7</v>
      </c>
      <c r="M90" s="80"/>
    </row>
    <row r="91" spans="1:13" ht="18.75" x14ac:dyDescent="0.3">
      <c r="A91" s="21">
        <v>45948</v>
      </c>
      <c r="B91" s="13" t="s">
        <v>267</v>
      </c>
      <c r="C91" s="13" t="s">
        <v>229</v>
      </c>
      <c r="D91" s="13" t="s">
        <v>9</v>
      </c>
      <c r="E91" s="14">
        <f>93.71-60-25</f>
        <v>8.7099999999999937</v>
      </c>
      <c r="F91" s="15"/>
      <c r="G91" s="16">
        <f t="shared" si="33"/>
        <v>2.3520000000000056</v>
      </c>
      <c r="H91" s="16">
        <v>11.061999999999999</v>
      </c>
      <c r="I91" s="16">
        <v>4979.1419999999998</v>
      </c>
      <c r="J91" s="17" t="s">
        <v>32</v>
      </c>
      <c r="K91" s="76"/>
      <c r="L91" s="83">
        <f t="shared" ca="1" si="34"/>
        <v>207</v>
      </c>
      <c r="M91" s="80"/>
    </row>
    <row r="92" spans="1:13" ht="18.75" x14ac:dyDescent="0.3">
      <c r="A92" s="22"/>
      <c r="B92" s="32" t="s">
        <v>27</v>
      </c>
      <c r="C92" s="13"/>
      <c r="D92" s="13"/>
      <c r="E92" s="23">
        <f>SUBTOTAL(9,E88:E91)</f>
        <v>1521.2710000000002</v>
      </c>
      <c r="F92" s="24">
        <f>E92</f>
        <v>1521.2710000000002</v>
      </c>
      <c r="G92" s="23">
        <f>SUBTOTAL(9,G88:G91)</f>
        <v>568.63400000000001</v>
      </c>
      <c r="H92" s="23">
        <f>SUBTOTAL(9,H88:H91)</f>
        <v>2089.9050000000002</v>
      </c>
      <c r="I92" s="23"/>
      <c r="J92" s="17"/>
      <c r="K92" s="76"/>
      <c r="L92" s="17"/>
      <c r="M92" s="80"/>
    </row>
    <row r="93" spans="1:13" ht="18.75" x14ac:dyDescent="0.3">
      <c r="A93" s="22"/>
      <c r="B93" s="13"/>
      <c r="C93" s="13"/>
      <c r="D93" s="13"/>
      <c r="E93" s="14"/>
      <c r="F93" s="15"/>
      <c r="G93" s="15"/>
      <c r="H93" s="34"/>
      <c r="I93" s="34"/>
      <c r="J93" s="17"/>
      <c r="K93" s="76"/>
      <c r="L93" s="17"/>
      <c r="M93" s="80"/>
    </row>
    <row r="94" spans="1:13" ht="18.75" x14ac:dyDescent="0.3">
      <c r="A94" s="21">
        <v>46123</v>
      </c>
      <c r="B94" s="13" t="s">
        <v>384</v>
      </c>
      <c r="C94" s="13" t="s">
        <v>84</v>
      </c>
      <c r="D94" s="13" t="s">
        <v>9</v>
      </c>
      <c r="E94" s="14">
        <f>139.387-60+45-30-100</f>
        <v>-5.6129999999999995</v>
      </c>
      <c r="F94" s="15"/>
      <c r="G94" s="16">
        <f t="shared" ref="G94" si="35">H94-E94</f>
        <v>413.96</v>
      </c>
      <c r="H94" s="16">
        <v>408.34699999999998</v>
      </c>
      <c r="I94" s="16">
        <v>999.42700000000002</v>
      </c>
      <c r="J94" s="17" t="s">
        <v>47</v>
      </c>
      <c r="K94" s="76"/>
      <c r="L94" s="83">
        <f t="shared" ref="L94" ca="1" si="36">TODAY()-A94</f>
        <v>32</v>
      </c>
      <c r="M94" s="80"/>
    </row>
    <row r="95" spans="1:13" ht="18.75" x14ac:dyDescent="0.3">
      <c r="A95" s="22"/>
      <c r="B95" s="32" t="s">
        <v>27</v>
      </c>
      <c r="C95" s="13"/>
      <c r="D95" s="13"/>
      <c r="E95" s="23">
        <f>SUBTOTAL(9,E94:E94)</f>
        <v>-5.6129999999999995</v>
      </c>
      <c r="F95" s="24">
        <f>E95</f>
        <v>-5.6129999999999995</v>
      </c>
      <c r="G95" s="23">
        <f>SUBTOTAL(9,G94:G94)</f>
        <v>413.96</v>
      </c>
      <c r="H95" s="23">
        <f>SUBTOTAL(9,H94:H94)</f>
        <v>408.34699999999998</v>
      </c>
      <c r="I95" s="23"/>
      <c r="J95" s="17"/>
      <c r="K95" s="76"/>
      <c r="L95" s="17"/>
      <c r="M95" s="80"/>
    </row>
    <row r="96" spans="1:13" ht="18.75" x14ac:dyDescent="0.3">
      <c r="A96" s="22"/>
      <c r="B96" s="32"/>
      <c r="C96" s="13"/>
      <c r="D96" s="13"/>
      <c r="E96" s="23"/>
      <c r="F96" s="24"/>
      <c r="G96" s="23"/>
      <c r="H96" s="23"/>
      <c r="I96" s="23"/>
      <c r="J96" s="17"/>
      <c r="K96" s="76"/>
      <c r="L96" s="17"/>
      <c r="M96" s="80"/>
    </row>
    <row r="97" spans="1:13" ht="18.75" x14ac:dyDescent="0.3">
      <c r="A97" s="21">
        <v>46068</v>
      </c>
      <c r="B97" s="13" t="s">
        <v>320</v>
      </c>
      <c r="C97" s="13" t="s">
        <v>321</v>
      </c>
      <c r="D97" s="13" t="s">
        <v>9</v>
      </c>
      <c r="E97" s="14">
        <f>106.651-15-25</f>
        <v>66.650999999999996</v>
      </c>
      <c r="F97" s="15"/>
      <c r="G97" s="16">
        <f t="shared" ref="G97" si="37">H97-E97</f>
        <v>49.27000000000001</v>
      </c>
      <c r="H97" s="16">
        <v>115.92100000000001</v>
      </c>
      <c r="I97" s="16">
        <v>426.50099999999998</v>
      </c>
      <c r="J97" s="17" t="s">
        <v>32</v>
      </c>
      <c r="K97" s="76"/>
      <c r="L97" s="83">
        <f t="shared" ref="L97" ca="1" si="38">TODAY()-A97</f>
        <v>87</v>
      </c>
      <c r="M97" s="80"/>
    </row>
    <row r="98" spans="1:13" ht="18.75" x14ac:dyDescent="0.3">
      <c r="A98" s="22"/>
      <c r="B98" s="32"/>
      <c r="C98" s="13"/>
      <c r="D98" s="13"/>
      <c r="E98" s="23">
        <f>SUBTOTAL(9,E97:E97)</f>
        <v>66.650999999999996</v>
      </c>
      <c r="F98" s="24">
        <f>E98</f>
        <v>66.650999999999996</v>
      </c>
      <c r="G98" s="23">
        <f>SUBTOTAL(9,G97:G97)</f>
        <v>49.27000000000001</v>
      </c>
      <c r="H98" s="23">
        <f>SUBTOTAL(9,H97:H97)</f>
        <v>115.92100000000001</v>
      </c>
      <c r="I98" s="23"/>
      <c r="J98" s="17"/>
      <c r="K98" s="76"/>
      <c r="L98" s="17"/>
      <c r="M98" s="80"/>
    </row>
    <row r="99" spans="1:13" ht="18.75" x14ac:dyDescent="0.3">
      <c r="A99" s="22"/>
      <c r="B99" s="32"/>
      <c r="C99" s="13"/>
      <c r="D99" s="13"/>
      <c r="E99" s="15"/>
      <c r="F99" s="15"/>
      <c r="G99" s="15"/>
      <c r="H99" s="34"/>
      <c r="I99" s="34"/>
      <c r="J99" s="17"/>
      <c r="K99" s="76"/>
      <c r="L99" s="17"/>
      <c r="M99" s="80"/>
    </row>
    <row r="100" spans="1:13" ht="18.75" x14ac:dyDescent="0.3">
      <c r="A100" s="21">
        <v>46013</v>
      </c>
      <c r="B100" s="35" t="s">
        <v>291</v>
      </c>
      <c r="C100" s="35" t="s">
        <v>88</v>
      </c>
      <c r="D100" s="35" t="s">
        <v>9</v>
      </c>
      <c r="E100" s="16">
        <v>30.721</v>
      </c>
      <c r="F100" s="94"/>
      <c r="G100" s="16">
        <f t="shared" ref="G100:G116" si="39">H100-E100</f>
        <v>21.148999999999997</v>
      </c>
      <c r="H100" s="16">
        <v>51.87</v>
      </c>
      <c r="I100" s="16">
        <v>2838.95</v>
      </c>
      <c r="J100" s="17" t="s">
        <v>29</v>
      </c>
      <c r="K100" s="76"/>
      <c r="L100" s="83">
        <f t="shared" ref="L100:L116" ca="1" si="40">TODAY()-A100</f>
        <v>142</v>
      </c>
      <c r="M100" s="80"/>
    </row>
    <row r="101" spans="1:13" ht="18.75" x14ac:dyDescent="0.3">
      <c r="A101" s="21">
        <v>46091</v>
      </c>
      <c r="B101" s="35" t="s">
        <v>348</v>
      </c>
      <c r="C101" s="35" t="s">
        <v>88</v>
      </c>
      <c r="D101" s="35" t="s">
        <v>9</v>
      </c>
      <c r="E101" s="16">
        <f>1570.567-208.51</f>
        <v>1362.057</v>
      </c>
      <c r="F101" s="94"/>
      <c r="G101" s="16">
        <f t="shared" si="39"/>
        <v>105.30099999999993</v>
      </c>
      <c r="H101" s="16">
        <v>1467.3579999999999</v>
      </c>
      <c r="I101" s="16">
        <v>1575</v>
      </c>
      <c r="J101" s="17" t="s">
        <v>32</v>
      </c>
      <c r="K101" s="76"/>
      <c r="L101" s="83">
        <f t="shared" ca="1" si="40"/>
        <v>64</v>
      </c>
      <c r="M101" s="80"/>
    </row>
    <row r="102" spans="1:13" ht="18.75" x14ac:dyDescent="0.3">
      <c r="A102" s="21">
        <v>46095</v>
      </c>
      <c r="B102" s="35" t="s">
        <v>357</v>
      </c>
      <c r="C102" s="35" t="s">
        <v>88</v>
      </c>
      <c r="D102" s="35" t="s">
        <v>9</v>
      </c>
      <c r="E102" s="16">
        <f>1275.926-195-84-270-55-85-160-25-115</f>
        <v>286.92599999999993</v>
      </c>
      <c r="F102" s="94"/>
      <c r="G102" s="16">
        <f t="shared" si="39"/>
        <v>518.25000000000011</v>
      </c>
      <c r="H102" s="16">
        <v>805.17600000000004</v>
      </c>
      <c r="I102" s="16">
        <v>1275.9259999999999</v>
      </c>
      <c r="J102" s="17" t="s">
        <v>32</v>
      </c>
      <c r="K102" s="76"/>
      <c r="L102" s="83">
        <f t="shared" ca="1" si="40"/>
        <v>60</v>
      </c>
      <c r="M102" s="80"/>
    </row>
    <row r="103" spans="1:13" ht="18.75" x14ac:dyDescent="0.3">
      <c r="A103" s="21">
        <v>46095</v>
      </c>
      <c r="B103" s="35" t="s">
        <v>358</v>
      </c>
      <c r="C103" s="35" t="s">
        <v>88</v>
      </c>
      <c r="D103" s="35" t="s">
        <v>9</v>
      </c>
      <c r="E103" s="16">
        <v>0</v>
      </c>
      <c r="F103" s="94"/>
      <c r="G103" s="16">
        <f t="shared" si="39"/>
        <v>41.32</v>
      </c>
      <c r="H103" s="16">
        <v>41.32</v>
      </c>
      <c r="I103" s="16">
        <v>1000</v>
      </c>
      <c r="J103" s="17" t="s">
        <v>47</v>
      </c>
      <c r="K103" s="76"/>
      <c r="L103" s="83">
        <f t="shared" ca="1" si="40"/>
        <v>60</v>
      </c>
      <c r="M103" s="80"/>
    </row>
    <row r="104" spans="1:13" ht="18.75" x14ac:dyDescent="0.3">
      <c r="A104" s="21">
        <v>46136</v>
      </c>
      <c r="B104" s="35" t="s">
        <v>403</v>
      </c>
      <c r="C104" s="35" t="s">
        <v>88</v>
      </c>
      <c r="D104" s="35" t="s">
        <v>9</v>
      </c>
      <c r="E104" s="16">
        <f>1970.256</f>
        <v>1970.2560000000001</v>
      </c>
      <c r="F104" s="94"/>
      <c r="G104" s="16">
        <f t="shared" si="39"/>
        <v>0</v>
      </c>
      <c r="H104" s="16">
        <f>1960.109+10.147</f>
        <v>1970.2559999999999</v>
      </c>
      <c r="I104" s="16">
        <v>1984.7159999999999</v>
      </c>
      <c r="J104" s="17" t="s">
        <v>418</v>
      </c>
      <c r="K104" s="76"/>
      <c r="L104" s="83">
        <f t="shared" ca="1" si="40"/>
        <v>19</v>
      </c>
      <c r="M104" s="80"/>
    </row>
    <row r="105" spans="1:13" ht="18.75" x14ac:dyDescent="0.3">
      <c r="A105" s="95">
        <v>46045</v>
      </c>
      <c r="B105" s="96" t="s">
        <v>304</v>
      </c>
      <c r="C105" s="96" t="s">
        <v>88</v>
      </c>
      <c r="D105" s="96" t="s">
        <v>9</v>
      </c>
      <c r="E105" s="101">
        <v>251.68100000000001</v>
      </c>
      <c r="F105" s="104"/>
      <c r="G105" s="97">
        <f t="shared" si="39"/>
        <v>74.84</v>
      </c>
      <c r="H105" s="97">
        <v>326.52100000000002</v>
      </c>
      <c r="I105" s="97">
        <v>2084.1410000000001</v>
      </c>
      <c r="J105" s="99" t="s">
        <v>32</v>
      </c>
      <c r="K105" s="100" t="s">
        <v>240</v>
      </c>
      <c r="L105" s="114">
        <f t="shared" ca="1" si="40"/>
        <v>110</v>
      </c>
      <c r="M105" s="80"/>
    </row>
    <row r="106" spans="1:13" ht="18.75" x14ac:dyDescent="0.3">
      <c r="A106" s="95">
        <v>46085</v>
      </c>
      <c r="B106" s="96" t="s">
        <v>339</v>
      </c>
      <c r="C106" s="96" t="s">
        <v>88</v>
      </c>
      <c r="D106" s="96" t="s">
        <v>9</v>
      </c>
      <c r="E106" s="101">
        <v>3659.5459999999998</v>
      </c>
      <c r="F106" s="104"/>
      <c r="G106" s="97">
        <f t="shared" si="39"/>
        <v>333.68000000000029</v>
      </c>
      <c r="H106" s="97">
        <v>3993.2260000000001</v>
      </c>
      <c r="I106" s="97">
        <v>5700</v>
      </c>
      <c r="J106" s="99" t="s">
        <v>340</v>
      </c>
      <c r="K106" s="100" t="s">
        <v>240</v>
      </c>
      <c r="L106" s="114">
        <f t="shared" ca="1" si="40"/>
        <v>70</v>
      </c>
      <c r="M106" s="80"/>
    </row>
    <row r="107" spans="1:13" ht="18.75" x14ac:dyDescent="0.3">
      <c r="A107" s="21">
        <v>46009</v>
      </c>
      <c r="B107" s="13" t="s">
        <v>286</v>
      </c>
      <c r="C107" s="13" t="s">
        <v>88</v>
      </c>
      <c r="D107" s="13" t="s">
        <v>13</v>
      </c>
      <c r="E107" s="14">
        <v>0</v>
      </c>
      <c r="F107" s="15"/>
      <c r="G107" s="16">
        <f t="shared" si="39"/>
        <v>0.751</v>
      </c>
      <c r="H107" s="16">
        <v>0.751</v>
      </c>
      <c r="I107" s="16">
        <v>1416.0609999999999</v>
      </c>
      <c r="J107" s="17" t="s">
        <v>21</v>
      </c>
      <c r="K107" s="76"/>
      <c r="L107" s="83">
        <f t="shared" ca="1" si="40"/>
        <v>146</v>
      </c>
      <c r="M107" s="80"/>
    </row>
    <row r="108" spans="1:13" ht="18.75" x14ac:dyDescent="0.3">
      <c r="A108" s="21">
        <v>46082</v>
      </c>
      <c r="B108" s="13" t="s">
        <v>346</v>
      </c>
      <c r="C108" s="13" t="s">
        <v>88</v>
      </c>
      <c r="D108" s="13" t="s">
        <v>13</v>
      </c>
      <c r="E108" s="14">
        <v>0</v>
      </c>
      <c r="F108" s="15"/>
      <c r="G108" s="16">
        <f t="shared" si="39"/>
        <v>501.94099999999986</v>
      </c>
      <c r="H108" s="16">
        <f>1350.001-125.19-24.63-53.5-103.2-59.3-79.56-276.64-126.04</f>
        <v>501.94099999999986</v>
      </c>
      <c r="I108" s="16">
        <v>1895.021</v>
      </c>
      <c r="J108" s="17" t="s">
        <v>21</v>
      </c>
      <c r="K108" s="76"/>
      <c r="L108" s="83">
        <f t="shared" ca="1" si="40"/>
        <v>73</v>
      </c>
      <c r="M108" s="80"/>
    </row>
    <row r="109" spans="1:13" ht="18.75" x14ac:dyDescent="0.3">
      <c r="A109" s="21">
        <v>46082</v>
      </c>
      <c r="B109" s="13" t="s">
        <v>347</v>
      </c>
      <c r="C109" s="13" t="s">
        <v>88</v>
      </c>
      <c r="D109" s="13" t="s">
        <v>13</v>
      </c>
      <c r="E109" s="14">
        <f>1904.769-118-700-160</f>
        <v>926.76900000000001</v>
      </c>
      <c r="F109" s="15"/>
      <c r="G109" s="16">
        <f t="shared" si="39"/>
        <v>978</v>
      </c>
      <c r="H109" s="16">
        <v>1904.769</v>
      </c>
      <c r="I109" s="16">
        <v>1904.769</v>
      </c>
      <c r="J109" s="17" t="s">
        <v>21</v>
      </c>
      <c r="K109" s="76"/>
      <c r="L109" s="83">
        <f t="shared" ca="1" si="40"/>
        <v>73</v>
      </c>
      <c r="M109" s="80"/>
    </row>
    <row r="110" spans="1:13" ht="18.75" x14ac:dyDescent="0.3">
      <c r="A110" s="95">
        <v>46041</v>
      </c>
      <c r="B110" s="96" t="s">
        <v>299</v>
      </c>
      <c r="C110" s="96" t="s">
        <v>88</v>
      </c>
      <c r="D110" s="96" t="s">
        <v>13</v>
      </c>
      <c r="E110" s="101">
        <v>0</v>
      </c>
      <c r="F110" s="104"/>
      <c r="G110" s="97">
        <f t="shared" si="39"/>
        <v>4.9580000000000002</v>
      </c>
      <c r="H110" s="97">
        <v>4.9580000000000002</v>
      </c>
      <c r="I110" s="97">
        <v>1007.468</v>
      </c>
      <c r="J110" s="99" t="s">
        <v>21</v>
      </c>
      <c r="K110" s="100" t="s">
        <v>240</v>
      </c>
      <c r="L110" s="114">
        <f t="shared" ca="1" si="40"/>
        <v>114</v>
      </c>
      <c r="M110" s="80"/>
    </row>
    <row r="111" spans="1:13" ht="18.75" x14ac:dyDescent="0.3">
      <c r="A111" s="95">
        <v>46041</v>
      </c>
      <c r="B111" s="96" t="s">
        <v>300</v>
      </c>
      <c r="C111" s="96" t="s">
        <v>88</v>
      </c>
      <c r="D111" s="96" t="s">
        <v>13</v>
      </c>
      <c r="E111" s="101">
        <v>0</v>
      </c>
      <c r="F111" s="104"/>
      <c r="G111" s="97">
        <f t="shared" si="39"/>
        <v>0.30399999999999999</v>
      </c>
      <c r="H111" s="97">
        <v>0.30399999999999999</v>
      </c>
      <c r="I111" s="97">
        <v>2999.3339999999998</v>
      </c>
      <c r="J111" s="99" t="s">
        <v>21</v>
      </c>
      <c r="K111" s="100" t="s">
        <v>240</v>
      </c>
      <c r="L111" s="114">
        <f t="shared" ca="1" si="40"/>
        <v>114</v>
      </c>
      <c r="M111" s="80"/>
    </row>
    <row r="112" spans="1:13" ht="18.75" x14ac:dyDescent="0.3">
      <c r="A112" s="95">
        <v>46078</v>
      </c>
      <c r="B112" s="96" t="s">
        <v>330</v>
      </c>
      <c r="C112" s="96" t="s">
        <v>88</v>
      </c>
      <c r="D112" s="96" t="s">
        <v>13</v>
      </c>
      <c r="E112" s="101">
        <v>-77.524000000000001</v>
      </c>
      <c r="F112" s="104"/>
      <c r="G112" s="97">
        <f t="shared" si="39"/>
        <v>84.308000000000007</v>
      </c>
      <c r="H112" s="97">
        <v>6.7839999999999998</v>
      </c>
      <c r="I112" s="97">
        <v>1010.135</v>
      </c>
      <c r="J112" s="99" t="s">
        <v>21</v>
      </c>
      <c r="K112" s="100" t="s">
        <v>240</v>
      </c>
      <c r="L112" s="114">
        <f t="shared" ca="1" si="40"/>
        <v>77</v>
      </c>
      <c r="M112" s="80"/>
    </row>
    <row r="113" spans="1:13" ht="18.75" x14ac:dyDescent="0.3">
      <c r="A113" s="95">
        <v>46078</v>
      </c>
      <c r="B113" s="96" t="s">
        <v>329</v>
      </c>
      <c r="C113" s="96" t="s">
        <v>88</v>
      </c>
      <c r="D113" s="96" t="s">
        <v>13</v>
      </c>
      <c r="E113" s="101">
        <v>0</v>
      </c>
      <c r="F113" s="104"/>
      <c r="G113" s="97">
        <f t="shared" si="39"/>
        <v>3.202</v>
      </c>
      <c r="H113" s="97">
        <v>3.202</v>
      </c>
      <c r="I113" s="97">
        <v>1992.1869999999999</v>
      </c>
      <c r="J113" s="99" t="s">
        <v>21</v>
      </c>
      <c r="K113" s="100" t="s">
        <v>240</v>
      </c>
      <c r="L113" s="114">
        <f t="shared" ca="1" si="40"/>
        <v>77</v>
      </c>
      <c r="M113" s="80"/>
    </row>
    <row r="114" spans="1:13" ht="18.75" x14ac:dyDescent="0.3">
      <c r="A114" s="21">
        <v>46060</v>
      </c>
      <c r="B114" s="13" t="s">
        <v>311</v>
      </c>
      <c r="C114" s="13" t="s">
        <v>88</v>
      </c>
      <c r="D114" s="13" t="s">
        <v>19</v>
      </c>
      <c r="E114" s="14">
        <v>0</v>
      </c>
      <c r="F114" s="15"/>
      <c r="G114" s="16">
        <f t="shared" si="39"/>
        <v>61.905999999999999</v>
      </c>
      <c r="H114" s="16">
        <v>61.905999999999999</v>
      </c>
      <c r="I114" s="16">
        <v>1911.7260000000001</v>
      </c>
      <c r="J114" s="17" t="s">
        <v>26</v>
      </c>
      <c r="K114" s="76"/>
      <c r="L114" s="83">
        <f t="shared" ca="1" si="40"/>
        <v>95</v>
      </c>
      <c r="M114" s="80"/>
    </row>
    <row r="115" spans="1:13" ht="18.75" x14ac:dyDescent="0.3">
      <c r="A115" s="21">
        <v>46131</v>
      </c>
      <c r="B115" s="13" t="s">
        <v>396</v>
      </c>
      <c r="C115" s="13" t="s">
        <v>88</v>
      </c>
      <c r="D115" s="13" t="s">
        <v>19</v>
      </c>
      <c r="E115" s="14">
        <f>1048.539-178-216-510-50-73-16-250</f>
        <v>-244.46100000000001</v>
      </c>
      <c r="F115" s="15"/>
      <c r="G115" s="16">
        <f t="shared" si="39"/>
        <v>457.12599999999998</v>
      </c>
      <c r="H115" s="16">
        <v>212.66499999999999</v>
      </c>
      <c r="I115" s="16">
        <v>1048.539</v>
      </c>
      <c r="J115" s="17" t="s">
        <v>26</v>
      </c>
      <c r="K115" s="76"/>
      <c r="L115" s="83">
        <f t="shared" ca="1" si="40"/>
        <v>24</v>
      </c>
      <c r="M115" s="80"/>
    </row>
    <row r="116" spans="1:13" ht="18.75" x14ac:dyDescent="0.3">
      <c r="A116" s="21">
        <v>46086</v>
      </c>
      <c r="B116" s="13" t="s">
        <v>338</v>
      </c>
      <c r="C116" s="13" t="s">
        <v>88</v>
      </c>
      <c r="D116" s="13" t="s">
        <v>166</v>
      </c>
      <c r="E116" s="14">
        <f>93.713-120</f>
        <v>-26.287000000000006</v>
      </c>
      <c r="F116" s="15"/>
      <c r="G116" s="16">
        <f t="shared" si="39"/>
        <v>599.88499999999999</v>
      </c>
      <c r="H116" s="16">
        <v>573.59799999999996</v>
      </c>
      <c r="I116" s="16">
        <v>2100</v>
      </c>
      <c r="J116" s="17" t="s">
        <v>167</v>
      </c>
      <c r="K116" s="76"/>
      <c r="L116" s="83">
        <f t="shared" ca="1" si="40"/>
        <v>69</v>
      </c>
      <c r="M116" s="80"/>
    </row>
    <row r="117" spans="1:13" ht="18.75" x14ac:dyDescent="0.3">
      <c r="A117" s="22"/>
      <c r="B117" s="32" t="s">
        <v>27</v>
      </c>
      <c r="C117" s="13"/>
      <c r="D117" s="13"/>
      <c r="E117" s="23">
        <f>SUBTOTAL(9,E100:E116)</f>
        <v>8139.6840000000002</v>
      </c>
      <c r="F117" s="24">
        <f>E117</f>
        <v>8139.6840000000002</v>
      </c>
      <c r="G117" s="23">
        <f>SUBTOTAL(9,G100:G116)</f>
        <v>3786.9210000000003</v>
      </c>
      <c r="H117" s="23">
        <f>SUBTOTAL(9,H100:H116)</f>
        <v>11926.605000000001</v>
      </c>
      <c r="I117" s="23"/>
      <c r="J117" s="17"/>
      <c r="K117" s="76"/>
      <c r="L117" s="17"/>
      <c r="M117" s="80"/>
    </row>
    <row r="118" spans="1:13" ht="18.75" x14ac:dyDescent="0.3">
      <c r="A118" s="22"/>
      <c r="B118" s="13"/>
      <c r="C118" s="13"/>
      <c r="D118" s="13"/>
      <c r="E118" s="14"/>
      <c r="F118" s="15"/>
      <c r="G118" s="15"/>
      <c r="H118" s="23"/>
      <c r="I118" s="23"/>
      <c r="J118" s="17"/>
      <c r="K118" s="76"/>
      <c r="L118" s="17"/>
      <c r="M118" s="80"/>
    </row>
    <row r="119" spans="1:13" ht="19.5" customHeight="1" x14ac:dyDescent="0.3">
      <c r="A119" s="21">
        <v>46107</v>
      </c>
      <c r="B119" s="32" t="s">
        <v>382</v>
      </c>
      <c r="C119" s="13" t="s">
        <v>99</v>
      </c>
      <c r="D119" s="13" t="s">
        <v>13</v>
      </c>
      <c r="E119" s="14">
        <f>500-156-100-155+120+60+30+40-110-100-75-100-30-50+30+50+50</f>
        <v>4</v>
      </c>
      <c r="F119" s="24"/>
      <c r="G119" s="16">
        <f t="shared" ref="G119:G120" si="41">H119-E119</f>
        <v>101.038</v>
      </c>
      <c r="H119" s="16">
        <v>105.038</v>
      </c>
      <c r="I119" s="16">
        <v>500</v>
      </c>
      <c r="J119" s="17" t="s">
        <v>21</v>
      </c>
      <c r="K119" s="76"/>
      <c r="L119" s="83">
        <f t="shared" ref="L119:L120" ca="1" si="42">TODAY()-A119</f>
        <v>48</v>
      </c>
      <c r="M119" s="80"/>
    </row>
    <row r="120" spans="1:13" ht="19.5" customHeight="1" x14ac:dyDescent="0.3">
      <c r="A120" s="126">
        <v>46140</v>
      </c>
      <c r="B120" s="127" t="s">
        <v>414</v>
      </c>
      <c r="C120" s="127" t="s">
        <v>99</v>
      </c>
      <c r="D120" s="127" t="s">
        <v>13</v>
      </c>
      <c r="E120" s="128">
        <f>1494.536-60-175-30-23-200+32.4-20-152-50-50-121</f>
        <v>645.93600000000015</v>
      </c>
      <c r="F120" s="136"/>
      <c r="G120" s="130">
        <f t="shared" si="41"/>
        <v>720.2199999999998</v>
      </c>
      <c r="H120" s="130">
        <v>1366.1559999999999</v>
      </c>
      <c r="I120" s="130">
        <v>1494.5360000000001</v>
      </c>
      <c r="J120" s="131" t="s">
        <v>21</v>
      </c>
      <c r="K120" s="132" t="s">
        <v>341</v>
      </c>
      <c r="L120" s="133">
        <f t="shared" ca="1" si="42"/>
        <v>15</v>
      </c>
      <c r="M120" s="80"/>
    </row>
    <row r="121" spans="1:13" ht="19.5" customHeight="1" x14ac:dyDescent="0.3">
      <c r="A121" s="21"/>
      <c r="B121" s="32" t="s">
        <v>27</v>
      </c>
      <c r="C121" s="13"/>
      <c r="D121" s="13"/>
      <c r="E121" s="23">
        <f>SUBTOTAL(9,E119:E120)</f>
        <v>649.93600000000015</v>
      </c>
      <c r="F121" s="24">
        <f>E121</f>
        <v>649.93600000000015</v>
      </c>
      <c r="G121" s="23">
        <f>SUBTOTAL(9,G119:G120)</f>
        <v>821.25799999999981</v>
      </c>
      <c r="H121" s="23">
        <f>SUBTOTAL(9,H119:H120)</f>
        <v>1471.194</v>
      </c>
      <c r="I121" s="23"/>
      <c r="J121" s="17"/>
      <c r="K121" s="76"/>
      <c r="L121" s="17"/>
      <c r="M121" s="80"/>
    </row>
    <row r="122" spans="1:13" ht="18.75" x14ac:dyDescent="0.3">
      <c r="A122" s="22"/>
      <c r="B122" s="32"/>
      <c r="C122" s="13"/>
      <c r="D122" s="13"/>
      <c r="E122" s="15"/>
      <c r="F122" s="15"/>
      <c r="G122" s="15"/>
      <c r="H122" s="23"/>
      <c r="I122" s="23"/>
      <c r="J122" s="17"/>
      <c r="K122" s="76"/>
      <c r="L122" s="17"/>
      <c r="M122" s="80"/>
    </row>
    <row r="123" spans="1:13" ht="18.75" x14ac:dyDescent="0.3">
      <c r="A123" s="21">
        <v>45989</v>
      </c>
      <c r="B123" s="13" t="s">
        <v>280</v>
      </c>
      <c r="C123" s="13" t="s">
        <v>108</v>
      </c>
      <c r="D123" s="13" t="s">
        <v>9</v>
      </c>
      <c r="E123" s="14">
        <v>0</v>
      </c>
      <c r="F123" s="15"/>
      <c r="G123" s="16">
        <f t="shared" ref="G123:G124" si="43">H123-E123</f>
        <v>0.49399999999999999</v>
      </c>
      <c r="H123" s="16">
        <v>0.49399999999999999</v>
      </c>
      <c r="I123" s="16">
        <v>487.03500000000003</v>
      </c>
      <c r="J123" s="17" t="s">
        <v>32</v>
      </c>
      <c r="K123" s="76"/>
      <c r="L123" s="83">
        <f t="shared" ref="L123:L124" ca="1" si="44">TODAY()-A123</f>
        <v>166</v>
      </c>
      <c r="M123" s="80"/>
    </row>
    <row r="124" spans="1:13" ht="18.75" x14ac:dyDescent="0.3">
      <c r="A124" s="21">
        <v>46069</v>
      </c>
      <c r="B124" s="13" t="s">
        <v>318</v>
      </c>
      <c r="C124" s="13" t="s">
        <v>108</v>
      </c>
      <c r="D124" s="13" t="s">
        <v>13</v>
      </c>
      <c r="E124" s="14">
        <v>-2.8660000000000001</v>
      </c>
      <c r="F124" s="15"/>
      <c r="G124" s="16">
        <f t="shared" si="43"/>
        <v>4.149</v>
      </c>
      <c r="H124" s="16">
        <v>1.2829999999999999</v>
      </c>
      <c r="I124" s="16">
        <v>300</v>
      </c>
      <c r="J124" s="17" t="s">
        <v>21</v>
      </c>
      <c r="K124" s="76"/>
      <c r="L124" s="83">
        <f t="shared" ca="1" si="44"/>
        <v>86</v>
      </c>
      <c r="M124" s="80"/>
    </row>
    <row r="125" spans="1:13" ht="18.75" x14ac:dyDescent="0.3">
      <c r="A125" s="22"/>
      <c r="B125" s="32" t="s">
        <v>27</v>
      </c>
      <c r="C125" s="13"/>
      <c r="D125" s="13"/>
      <c r="E125" s="23">
        <f>SUBTOTAL(9,E123:E124)</f>
        <v>-2.8660000000000001</v>
      </c>
      <c r="F125" s="24">
        <f>E125</f>
        <v>-2.8660000000000001</v>
      </c>
      <c r="G125" s="23">
        <f>SUBTOTAL(9,G123:G124)</f>
        <v>4.6429999999999998</v>
      </c>
      <c r="H125" s="23">
        <f>SUBTOTAL(9,H123:H124)</f>
        <v>1.7769999999999999</v>
      </c>
      <c r="I125" s="23"/>
      <c r="J125" s="17"/>
      <c r="K125" s="76"/>
      <c r="L125" s="17"/>
      <c r="M125" s="80"/>
    </row>
    <row r="126" spans="1:13" ht="18.75" x14ac:dyDescent="0.3">
      <c r="A126" s="22"/>
      <c r="B126" s="32"/>
      <c r="C126" s="13"/>
      <c r="D126" s="13"/>
      <c r="E126" s="15"/>
      <c r="F126" s="15"/>
      <c r="G126" s="15"/>
      <c r="H126" s="34"/>
      <c r="I126" s="34"/>
      <c r="J126" s="17"/>
      <c r="K126" s="76"/>
      <c r="L126" s="17"/>
      <c r="M126" s="80"/>
    </row>
    <row r="127" spans="1:13" ht="18.75" x14ac:dyDescent="0.3">
      <c r="A127" s="21">
        <v>46075</v>
      </c>
      <c r="B127" s="13" t="s">
        <v>327</v>
      </c>
      <c r="C127" s="13" t="s">
        <v>228</v>
      </c>
      <c r="D127" s="13" t="s">
        <v>13</v>
      </c>
      <c r="E127" s="14">
        <v>0</v>
      </c>
      <c r="F127" s="15"/>
      <c r="G127" s="16">
        <f t="shared" ref="G127:G129" si="45">H127-E127</f>
        <v>12.398</v>
      </c>
      <c r="H127" s="16">
        <v>12.398</v>
      </c>
      <c r="I127" s="16">
        <v>1045.711</v>
      </c>
      <c r="J127" s="17" t="s">
        <v>21</v>
      </c>
      <c r="K127" s="76"/>
      <c r="L127" s="83">
        <f t="shared" ref="L127:L129" ca="1" si="46">TODAY()-A127</f>
        <v>80</v>
      </c>
      <c r="M127" s="80"/>
    </row>
    <row r="128" spans="1:13" ht="18.75" x14ac:dyDescent="0.3">
      <c r="A128" s="21">
        <v>46131</v>
      </c>
      <c r="B128" s="13" t="s">
        <v>392</v>
      </c>
      <c r="C128" s="13" t="s">
        <v>228</v>
      </c>
      <c r="D128" s="13" t="s">
        <v>13</v>
      </c>
      <c r="E128" s="14">
        <f>472.89-100-22+22-25-45-20-128</f>
        <v>154.88999999999999</v>
      </c>
      <c r="F128" s="15"/>
      <c r="G128" s="16">
        <f t="shared" si="45"/>
        <v>256.05</v>
      </c>
      <c r="H128" s="16">
        <v>410.94</v>
      </c>
      <c r="I128" s="16">
        <v>472.89</v>
      </c>
      <c r="J128" s="17" t="s">
        <v>21</v>
      </c>
      <c r="K128" s="76"/>
      <c r="L128" s="83">
        <f t="shared" ca="1" si="46"/>
        <v>24</v>
      </c>
      <c r="M128" s="80"/>
    </row>
    <row r="129" spans="1:13" ht="18.75" x14ac:dyDescent="0.3">
      <c r="A129" s="21">
        <v>46128</v>
      </c>
      <c r="B129" s="13" t="s">
        <v>391</v>
      </c>
      <c r="C129" s="13" t="s">
        <v>228</v>
      </c>
      <c r="D129" s="13" t="s">
        <v>16</v>
      </c>
      <c r="E129" s="14">
        <f>948.442-200-27-21-14.5-46-25-35-12-10-46.6</f>
        <v>511.34199999999998</v>
      </c>
      <c r="F129" s="15"/>
      <c r="G129" s="16">
        <f t="shared" si="45"/>
        <v>257.91999999999996</v>
      </c>
      <c r="H129" s="16">
        <v>769.26199999999994</v>
      </c>
      <c r="I129" s="16">
        <v>948.44200000000001</v>
      </c>
      <c r="J129" s="17" t="s">
        <v>26</v>
      </c>
      <c r="K129" s="76"/>
      <c r="L129" s="83">
        <f t="shared" ca="1" si="46"/>
        <v>27</v>
      </c>
      <c r="M129" s="80"/>
    </row>
    <row r="130" spans="1:13" ht="18.75" x14ac:dyDescent="0.3">
      <c r="A130" s="22"/>
      <c r="B130" s="32" t="s">
        <v>27</v>
      </c>
      <c r="C130" s="13"/>
      <c r="D130" s="13"/>
      <c r="E130" s="23">
        <f>SUBTOTAL(9,E127:E129)</f>
        <v>666.23199999999997</v>
      </c>
      <c r="F130" s="24">
        <f>E130</f>
        <v>666.23199999999997</v>
      </c>
      <c r="G130" s="23">
        <f>SUBTOTAL(9,G127:G129)</f>
        <v>526.36799999999994</v>
      </c>
      <c r="H130" s="23">
        <f>SUBTOTAL(9,H127:H129)</f>
        <v>1192.5999999999999</v>
      </c>
      <c r="I130" s="23"/>
      <c r="J130" s="17"/>
      <c r="K130" s="76"/>
      <c r="L130" s="17"/>
      <c r="M130" s="80"/>
    </row>
    <row r="131" spans="1:13" ht="18.75" x14ac:dyDescent="0.3">
      <c r="A131" s="22"/>
      <c r="B131" s="35"/>
      <c r="C131" s="13"/>
      <c r="D131" s="13"/>
      <c r="E131" s="15"/>
      <c r="F131" s="15"/>
      <c r="G131" s="15"/>
      <c r="H131" s="34"/>
      <c r="I131" s="34"/>
      <c r="J131" s="17"/>
      <c r="K131" s="76"/>
      <c r="L131" s="17"/>
      <c r="M131" s="80"/>
    </row>
    <row r="132" spans="1:13" ht="18.75" x14ac:dyDescent="0.3">
      <c r="A132" s="21">
        <v>45937</v>
      </c>
      <c r="B132" s="13" t="s">
        <v>262</v>
      </c>
      <c r="C132" s="13" t="s">
        <v>122</v>
      </c>
      <c r="D132" s="13" t="s">
        <v>9</v>
      </c>
      <c r="E132" s="14">
        <v>19.943999999999999</v>
      </c>
      <c r="F132" s="15"/>
      <c r="G132" s="16">
        <f t="shared" ref="G132:G139" si="47">H132-E132</f>
        <v>0</v>
      </c>
      <c r="H132" s="16">
        <v>19.943999999999999</v>
      </c>
      <c r="I132" s="16">
        <v>3136.0839999999998</v>
      </c>
      <c r="J132" s="17" t="s">
        <v>32</v>
      </c>
      <c r="K132" s="76"/>
      <c r="L132" s="83">
        <f t="shared" ref="L132:L139" ca="1" si="48">TODAY()-A132</f>
        <v>218</v>
      </c>
      <c r="M132" s="80"/>
    </row>
    <row r="133" spans="1:13" ht="18.75" x14ac:dyDescent="0.3">
      <c r="A133" s="21">
        <v>46054</v>
      </c>
      <c r="B133" s="13" t="s">
        <v>317</v>
      </c>
      <c r="C133" s="13" t="s">
        <v>122</v>
      </c>
      <c r="D133" s="13" t="s">
        <v>9</v>
      </c>
      <c r="E133" s="14">
        <f>45.47-21</f>
        <v>24.47</v>
      </c>
      <c r="F133" s="15"/>
      <c r="G133" s="16">
        <f t="shared" si="47"/>
        <v>21</v>
      </c>
      <c r="H133" s="16">
        <v>45.47</v>
      </c>
      <c r="I133" s="16">
        <v>199.7</v>
      </c>
      <c r="J133" s="17" t="s">
        <v>29</v>
      </c>
      <c r="K133" s="76"/>
      <c r="L133" s="83">
        <f t="shared" ca="1" si="48"/>
        <v>101</v>
      </c>
      <c r="M133" s="80"/>
    </row>
    <row r="134" spans="1:13" ht="18.75" x14ac:dyDescent="0.3">
      <c r="A134" s="21">
        <v>46131</v>
      </c>
      <c r="B134" s="13" t="s">
        <v>398</v>
      </c>
      <c r="C134" s="13" t="s">
        <v>122</v>
      </c>
      <c r="D134" s="13" t="s">
        <v>9</v>
      </c>
      <c r="E134" s="14">
        <f>1725-700-120+296.593-100-71-5+21+30</f>
        <v>1076.5930000000001</v>
      </c>
      <c r="F134" s="15"/>
      <c r="G134" s="16">
        <f t="shared" si="47"/>
        <v>622.77699999999982</v>
      </c>
      <c r="H134" s="16">
        <v>1699.37</v>
      </c>
      <c r="I134" s="16">
        <v>1725</v>
      </c>
      <c r="J134" s="17" t="s">
        <v>32</v>
      </c>
      <c r="K134" s="76"/>
      <c r="L134" s="83">
        <f t="shared" ca="1" si="48"/>
        <v>24</v>
      </c>
      <c r="M134" s="80"/>
    </row>
    <row r="135" spans="1:13" ht="18.75" x14ac:dyDescent="0.3">
      <c r="A135" s="21">
        <v>46131</v>
      </c>
      <c r="B135" s="13" t="s">
        <v>399</v>
      </c>
      <c r="C135" s="13" t="s">
        <v>122</v>
      </c>
      <c r="D135" s="13" t="s">
        <v>9</v>
      </c>
      <c r="E135" s="14">
        <f>947.179-30-325-30</f>
        <v>562.17899999999997</v>
      </c>
      <c r="F135" s="15"/>
      <c r="G135" s="16">
        <f t="shared" ref="G135:G137" si="49">H135-E135</f>
        <v>292.61099999999999</v>
      </c>
      <c r="H135" s="16">
        <v>854.79</v>
      </c>
      <c r="I135" s="16">
        <v>947.17899999999997</v>
      </c>
      <c r="J135" s="17" t="s">
        <v>29</v>
      </c>
      <c r="K135" s="76"/>
      <c r="L135" s="83">
        <f t="shared" ref="L135:L137" ca="1" si="50">TODAY()-A135</f>
        <v>24</v>
      </c>
      <c r="M135" s="80"/>
    </row>
    <row r="136" spans="1:13" ht="18.75" x14ac:dyDescent="0.3">
      <c r="A136" s="21">
        <v>46136</v>
      </c>
      <c r="B136" s="13" t="s">
        <v>408</v>
      </c>
      <c r="C136" s="13" t="s">
        <v>122</v>
      </c>
      <c r="D136" s="13" t="s">
        <v>9</v>
      </c>
      <c r="E136" s="14">
        <v>313.59300000000002</v>
      </c>
      <c r="F136" s="15"/>
      <c r="G136" s="16">
        <f t="shared" si="49"/>
        <v>0</v>
      </c>
      <c r="H136" s="16">
        <v>313.59300000000002</v>
      </c>
      <c r="I136" s="16">
        <v>313.59300000000002</v>
      </c>
      <c r="J136" s="17" t="s">
        <v>32</v>
      </c>
      <c r="K136" s="76"/>
      <c r="L136" s="85">
        <f t="shared" ca="1" si="50"/>
        <v>19</v>
      </c>
      <c r="M136" s="80"/>
    </row>
    <row r="137" spans="1:13" ht="18.75" x14ac:dyDescent="0.3">
      <c r="A137" s="21">
        <v>46144</v>
      </c>
      <c r="B137" s="13" t="s">
        <v>411</v>
      </c>
      <c r="C137" s="13" t="s">
        <v>122</v>
      </c>
      <c r="D137" s="13" t="s">
        <v>9</v>
      </c>
      <c r="E137" s="14">
        <v>2871.8339999999998</v>
      </c>
      <c r="F137" s="15"/>
      <c r="G137" s="16">
        <f t="shared" si="49"/>
        <v>3.0000000001564331E-3</v>
      </c>
      <c r="H137" s="16">
        <v>2871.837</v>
      </c>
      <c r="I137" s="16">
        <v>2871.837</v>
      </c>
      <c r="J137" s="17" t="s">
        <v>298</v>
      </c>
      <c r="K137" s="76"/>
      <c r="L137" s="85">
        <f t="shared" ca="1" si="50"/>
        <v>11</v>
      </c>
      <c r="M137" s="80"/>
    </row>
    <row r="138" spans="1:13" ht="18.75" x14ac:dyDescent="0.3">
      <c r="A138" s="21">
        <v>46144</v>
      </c>
      <c r="B138" s="13" t="s">
        <v>412</v>
      </c>
      <c r="C138" s="13" t="s">
        <v>122</v>
      </c>
      <c r="D138" s="13" t="s">
        <v>9</v>
      </c>
      <c r="E138" s="14">
        <v>969.38099999999997</v>
      </c>
      <c r="F138" s="15"/>
      <c r="G138" s="16">
        <f t="shared" ref="G138" si="51">H138-E138</f>
        <v>0</v>
      </c>
      <c r="H138" s="16">
        <v>969.38099999999997</v>
      </c>
      <c r="I138" s="16">
        <v>969.38099999999997</v>
      </c>
      <c r="J138" s="17" t="s">
        <v>298</v>
      </c>
      <c r="K138" s="76"/>
      <c r="L138" s="85">
        <f t="shared" ref="L138" ca="1" si="52">TODAY()-A138</f>
        <v>11</v>
      </c>
      <c r="M138" s="80"/>
    </row>
    <row r="139" spans="1:13" ht="18.75" x14ac:dyDescent="0.3">
      <c r="A139" s="95">
        <v>45980</v>
      </c>
      <c r="B139" s="96" t="s">
        <v>277</v>
      </c>
      <c r="C139" s="96" t="s">
        <v>122</v>
      </c>
      <c r="D139" s="96" t="s">
        <v>9</v>
      </c>
      <c r="E139" s="101">
        <v>0</v>
      </c>
      <c r="F139" s="104"/>
      <c r="G139" s="97">
        <f t="shared" si="47"/>
        <v>1.885</v>
      </c>
      <c r="H139" s="97">
        <v>1.885</v>
      </c>
      <c r="I139" s="97"/>
      <c r="J139" s="99" t="s">
        <v>47</v>
      </c>
      <c r="K139" s="100" t="s">
        <v>240</v>
      </c>
      <c r="L139" s="85">
        <f t="shared" ca="1" si="48"/>
        <v>175</v>
      </c>
      <c r="M139" s="80"/>
    </row>
    <row r="140" spans="1:13" ht="18.75" x14ac:dyDescent="0.3">
      <c r="A140" s="95">
        <v>46037</v>
      </c>
      <c r="B140" s="96" t="s">
        <v>335</v>
      </c>
      <c r="C140" s="96" t="s">
        <v>122</v>
      </c>
      <c r="D140" s="96" t="s">
        <v>9</v>
      </c>
      <c r="E140" s="101">
        <v>0</v>
      </c>
      <c r="F140" s="104"/>
      <c r="G140" s="97">
        <f t="shared" ref="G140:G141" si="53">H140-E140</f>
        <v>0.216</v>
      </c>
      <c r="H140" s="97">
        <v>0.216</v>
      </c>
      <c r="I140" s="97">
        <v>2002.7950000000001</v>
      </c>
      <c r="J140" s="99" t="s">
        <v>32</v>
      </c>
      <c r="K140" s="100" t="s">
        <v>240</v>
      </c>
      <c r="L140" s="85">
        <f t="shared" ref="L140:L142" ca="1" si="54">TODAY()-A140</f>
        <v>118</v>
      </c>
      <c r="M140" s="80"/>
    </row>
    <row r="141" spans="1:13" ht="18.75" x14ac:dyDescent="0.3">
      <c r="A141" s="95">
        <v>46084</v>
      </c>
      <c r="B141" s="96" t="s">
        <v>336</v>
      </c>
      <c r="C141" s="96" t="s">
        <v>122</v>
      </c>
      <c r="D141" s="96" t="s">
        <v>9</v>
      </c>
      <c r="E141" s="101">
        <v>0</v>
      </c>
      <c r="F141" s="104"/>
      <c r="G141" s="97">
        <f t="shared" si="53"/>
        <v>56.956000000000003</v>
      </c>
      <c r="H141" s="97">
        <v>56.956000000000003</v>
      </c>
      <c r="I141" s="97">
        <v>2850</v>
      </c>
      <c r="J141" s="99" t="s">
        <v>298</v>
      </c>
      <c r="K141" s="100" t="s">
        <v>240</v>
      </c>
      <c r="L141" s="85">
        <f t="shared" ca="1" si="54"/>
        <v>71</v>
      </c>
      <c r="M141" s="80"/>
    </row>
    <row r="142" spans="1:13" ht="18.75" x14ac:dyDescent="0.3">
      <c r="A142" s="95">
        <v>46106</v>
      </c>
      <c r="B142" s="96" t="s">
        <v>375</v>
      </c>
      <c r="C142" s="96" t="s">
        <v>122</v>
      </c>
      <c r="D142" s="96" t="s">
        <v>9</v>
      </c>
      <c r="E142" s="101">
        <v>239.851</v>
      </c>
      <c r="F142" s="104"/>
      <c r="G142" s="97">
        <f>H142-E142</f>
        <v>860.0100000000001</v>
      </c>
      <c r="H142" s="97">
        <v>1099.8610000000001</v>
      </c>
      <c r="I142" s="97">
        <v>2850</v>
      </c>
      <c r="J142" s="99" t="s">
        <v>32</v>
      </c>
      <c r="K142" s="100" t="s">
        <v>240</v>
      </c>
      <c r="L142" s="85">
        <f t="shared" ca="1" si="54"/>
        <v>49</v>
      </c>
      <c r="M142" s="80"/>
    </row>
    <row r="143" spans="1:13" ht="18.75" x14ac:dyDescent="0.3">
      <c r="A143" s="22"/>
      <c r="B143" s="32" t="s">
        <v>27</v>
      </c>
      <c r="C143" s="13"/>
      <c r="D143" s="13"/>
      <c r="E143" s="23">
        <f>SUBTOTAL(9,E132:E142)</f>
        <v>6077.8450000000003</v>
      </c>
      <c r="F143" s="24">
        <f>E143</f>
        <v>6077.8450000000003</v>
      </c>
      <c r="G143" s="23">
        <f>SUBTOTAL(9,G132:G142)</f>
        <v>1855.4580000000001</v>
      </c>
      <c r="H143" s="23">
        <f>SUBTOTAL(9,H132:H142)</f>
        <v>7933.3029999999999</v>
      </c>
      <c r="I143" s="23"/>
      <c r="J143" s="17"/>
      <c r="K143" s="76"/>
      <c r="L143" s="85"/>
      <c r="M143" s="80"/>
    </row>
    <row r="144" spans="1:13" ht="18.75" x14ac:dyDescent="0.3">
      <c r="A144" s="22"/>
      <c r="B144" s="32"/>
      <c r="C144" s="13"/>
      <c r="D144" s="13"/>
      <c r="E144" s="15"/>
      <c r="F144" s="15"/>
      <c r="G144" s="15"/>
      <c r="H144" s="34"/>
      <c r="I144" s="34"/>
      <c r="J144" s="17"/>
      <c r="K144" s="76"/>
      <c r="L144" s="85"/>
      <c r="M144" s="80"/>
    </row>
    <row r="145" spans="1:13" ht="18.75" x14ac:dyDescent="0.3">
      <c r="A145" s="21">
        <v>46005</v>
      </c>
      <c r="B145" s="13" t="s">
        <v>285</v>
      </c>
      <c r="C145" s="13" t="s">
        <v>260</v>
      </c>
      <c r="D145" s="13" t="s">
        <v>19</v>
      </c>
      <c r="E145" s="14">
        <v>0</v>
      </c>
      <c r="F145" s="15"/>
      <c r="G145" s="16">
        <f t="shared" ref="G145:G161" si="55">H145-E145</f>
        <v>141.57499999999999</v>
      </c>
      <c r="H145" s="16">
        <v>141.57499999999999</v>
      </c>
      <c r="I145" s="16">
        <v>2859.0250000000001</v>
      </c>
      <c r="J145" s="17" t="s">
        <v>26</v>
      </c>
      <c r="K145" s="76"/>
      <c r="L145" s="85">
        <f t="shared" ref="L145:L161" ca="1" si="56">TODAY()-A145</f>
        <v>150</v>
      </c>
      <c r="M145" s="80"/>
    </row>
    <row r="146" spans="1:13" ht="18.75" x14ac:dyDescent="0.3">
      <c r="A146" s="21">
        <v>46111</v>
      </c>
      <c r="B146" s="13" t="s">
        <v>371</v>
      </c>
      <c r="C146" s="13" t="s">
        <v>260</v>
      </c>
      <c r="D146" s="13" t="s">
        <v>19</v>
      </c>
      <c r="E146" s="14">
        <v>0</v>
      </c>
      <c r="F146" s="15"/>
      <c r="G146" s="16">
        <f t="shared" si="55"/>
        <v>185.69099999999992</v>
      </c>
      <c r="H146" s="16">
        <f>997.822-24.931-24.47-78.79-54.36-63.5-330.57-130.9-24.16-80.45</f>
        <v>185.69099999999992</v>
      </c>
      <c r="I146" s="16">
        <v>997.822</v>
      </c>
      <c r="J146" s="17" t="s">
        <v>26</v>
      </c>
      <c r="K146" s="76"/>
      <c r="L146" s="85">
        <f t="shared" ca="1" si="56"/>
        <v>44</v>
      </c>
      <c r="M146" s="80"/>
    </row>
    <row r="147" spans="1:13" ht="18.75" x14ac:dyDescent="0.3">
      <c r="A147" s="21">
        <v>46111</v>
      </c>
      <c r="B147" s="13" t="s">
        <v>370</v>
      </c>
      <c r="C147" s="13" t="s">
        <v>260</v>
      </c>
      <c r="D147" s="13" t="s">
        <v>19</v>
      </c>
      <c r="E147" s="14">
        <f>997.822-258.413-10+21-75-21-18-31</f>
        <v>605.40899999999999</v>
      </c>
      <c r="F147" s="15"/>
      <c r="G147" s="16">
        <f t="shared" ref="G147:G148" si="57">H147-E147</f>
        <v>392.41300000000001</v>
      </c>
      <c r="H147" s="16">
        <v>997.822</v>
      </c>
      <c r="I147" s="16">
        <v>997.822</v>
      </c>
      <c r="J147" s="17" t="s">
        <v>26</v>
      </c>
      <c r="K147" s="76"/>
      <c r="L147" s="85">
        <f t="shared" ref="L147:L148" ca="1" si="58">TODAY()-A147</f>
        <v>44</v>
      </c>
      <c r="M147" s="80"/>
    </row>
    <row r="148" spans="1:13" ht="18.75" x14ac:dyDescent="0.3">
      <c r="A148" s="21">
        <v>46131</v>
      </c>
      <c r="B148" s="13" t="s">
        <v>395</v>
      </c>
      <c r="C148" s="13" t="s">
        <v>260</v>
      </c>
      <c r="D148" s="13" t="s">
        <v>19</v>
      </c>
      <c r="E148" s="14">
        <v>953.67100000000005</v>
      </c>
      <c r="F148" s="15"/>
      <c r="G148" s="16">
        <f t="shared" si="57"/>
        <v>0</v>
      </c>
      <c r="H148" s="16">
        <v>953.67100000000005</v>
      </c>
      <c r="I148" s="16">
        <v>953.67100000000005</v>
      </c>
      <c r="J148" s="17" t="s">
        <v>26</v>
      </c>
      <c r="K148" s="76"/>
      <c r="L148" s="85">
        <f t="shared" ca="1" si="58"/>
        <v>24</v>
      </c>
      <c r="M148" s="80"/>
    </row>
    <row r="149" spans="1:13" ht="18.75" x14ac:dyDescent="0.3">
      <c r="A149" s="21">
        <v>46093</v>
      </c>
      <c r="B149" s="13" t="s">
        <v>352</v>
      </c>
      <c r="C149" s="13" t="s">
        <v>278</v>
      </c>
      <c r="D149" s="13" t="s">
        <v>353</v>
      </c>
      <c r="E149" s="14">
        <f>1553.833-150</f>
        <v>1403.8330000000001</v>
      </c>
      <c r="F149" s="15"/>
      <c r="G149" s="16">
        <f t="shared" si="55"/>
        <v>150</v>
      </c>
      <c r="H149" s="16">
        <v>1553.8330000000001</v>
      </c>
      <c r="I149" s="16">
        <v>1553.837</v>
      </c>
      <c r="J149" s="17" t="s">
        <v>23</v>
      </c>
      <c r="K149" s="76"/>
      <c r="L149" s="85">
        <f t="shared" ca="1" si="56"/>
        <v>62</v>
      </c>
      <c r="M149" s="80"/>
    </row>
    <row r="150" spans="1:13" ht="18.75" x14ac:dyDescent="0.3">
      <c r="A150" s="21">
        <v>46085</v>
      </c>
      <c r="B150" s="13" t="s">
        <v>334</v>
      </c>
      <c r="C150" s="13" t="s">
        <v>260</v>
      </c>
      <c r="D150" s="13" t="s">
        <v>13</v>
      </c>
      <c r="E150" s="14">
        <f>616.995-50</f>
        <v>566.995</v>
      </c>
      <c r="F150" s="15"/>
      <c r="G150" s="16">
        <f t="shared" si="55"/>
        <v>51.840000000000032</v>
      </c>
      <c r="H150" s="16">
        <v>618.83500000000004</v>
      </c>
      <c r="I150" s="16">
        <v>947.53499999999997</v>
      </c>
      <c r="J150" s="17" t="s">
        <v>21</v>
      </c>
      <c r="K150" s="76"/>
      <c r="L150" s="85">
        <f t="shared" ca="1" si="56"/>
        <v>70</v>
      </c>
      <c r="M150" s="80"/>
    </row>
    <row r="151" spans="1:13" ht="18.75" x14ac:dyDescent="0.3">
      <c r="A151" s="21">
        <v>45927</v>
      </c>
      <c r="B151" s="13" t="s">
        <v>259</v>
      </c>
      <c r="C151" s="13" t="s">
        <v>260</v>
      </c>
      <c r="D151" s="13" t="s">
        <v>9</v>
      </c>
      <c r="E151" s="14">
        <v>0</v>
      </c>
      <c r="F151" s="15"/>
      <c r="G151" s="16">
        <f t="shared" ref="G151" si="59">H151-E151</f>
        <v>2.5</v>
      </c>
      <c r="H151" s="16">
        <v>2.5</v>
      </c>
      <c r="I151" s="16">
        <v>2836.84</v>
      </c>
      <c r="J151" s="17" t="s">
        <v>261</v>
      </c>
      <c r="K151" s="76"/>
      <c r="L151" s="85">
        <f t="shared" ref="L151" ca="1" si="60">TODAY()-A151</f>
        <v>228</v>
      </c>
      <c r="M151" s="80"/>
    </row>
    <row r="152" spans="1:13" ht="18.75" x14ac:dyDescent="0.3">
      <c r="A152" s="21">
        <v>45965</v>
      </c>
      <c r="B152" s="13" t="s">
        <v>271</v>
      </c>
      <c r="C152" s="13" t="s">
        <v>260</v>
      </c>
      <c r="D152" s="13" t="s">
        <v>9</v>
      </c>
      <c r="E152" s="14">
        <v>0</v>
      </c>
      <c r="F152" s="15"/>
      <c r="G152" s="16">
        <f t="shared" si="55"/>
        <v>7.7329999999999997</v>
      </c>
      <c r="H152" s="16">
        <v>7.7329999999999997</v>
      </c>
      <c r="I152" s="16">
        <v>2995.4349999999999</v>
      </c>
      <c r="J152" s="17" t="s">
        <v>261</v>
      </c>
      <c r="K152" s="76"/>
      <c r="L152" s="85">
        <f t="shared" ca="1" si="56"/>
        <v>190</v>
      </c>
      <c r="M152" s="80"/>
    </row>
    <row r="153" spans="1:13" ht="18.75" x14ac:dyDescent="0.3">
      <c r="A153" s="21">
        <v>45980</v>
      </c>
      <c r="B153" s="13" t="s">
        <v>276</v>
      </c>
      <c r="C153" s="13" t="s">
        <v>260</v>
      </c>
      <c r="D153" s="13" t="s">
        <v>9</v>
      </c>
      <c r="E153" s="14">
        <v>0</v>
      </c>
      <c r="F153" s="15"/>
      <c r="G153" s="16">
        <f t="shared" si="55"/>
        <v>1.173</v>
      </c>
      <c r="H153" s="16">
        <v>1.173</v>
      </c>
      <c r="I153" s="16">
        <v>474.95299999999997</v>
      </c>
      <c r="J153" s="17" t="s">
        <v>32</v>
      </c>
      <c r="K153" s="76"/>
      <c r="L153" s="85">
        <f t="shared" ca="1" si="56"/>
        <v>175</v>
      </c>
      <c r="M153" s="80"/>
    </row>
    <row r="154" spans="1:13" ht="18.75" x14ac:dyDescent="0.3">
      <c r="A154" s="21">
        <v>46018</v>
      </c>
      <c r="B154" s="13" t="s">
        <v>292</v>
      </c>
      <c r="C154" s="13" t="s">
        <v>260</v>
      </c>
      <c r="D154" s="13" t="s">
        <v>9</v>
      </c>
      <c r="E154" s="14">
        <v>0</v>
      </c>
      <c r="F154" s="15"/>
      <c r="G154" s="16">
        <f t="shared" si="55"/>
        <v>14.218</v>
      </c>
      <c r="H154" s="16">
        <v>14.218</v>
      </c>
      <c r="I154" s="16">
        <v>2086.8789999999999</v>
      </c>
      <c r="J154" s="17" t="s">
        <v>130</v>
      </c>
      <c r="K154" s="76"/>
      <c r="L154" s="85">
        <f t="shared" ca="1" si="56"/>
        <v>137</v>
      </c>
      <c r="M154" s="80"/>
    </row>
    <row r="155" spans="1:13" ht="18.75" x14ac:dyDescent="0.3">
      <c r="A155" s="21">
        <v>46095</v>
      </c>
      <c r="B155" s="13" t="s">
        <v>354</v>
      </c>
      <c r="C155" s="13" t="s">
        <v>278</v>
      </c>
      <c r="D155" s="13" t="s">
        <v>9</v>
      </c>
      <c r="E155" s="14">
        <v>0</v>
      </c>
      <c r="F155" s="15"/>
      <c r="G155" s="16">
        <f t="shared" si="55"/>
        <v>310.86</v>
      </c>
      <c r="H155" s="16">
        <v>310.86</v>
      </c>
      <c r="I155" s="16">
        <v>1425</v>
      </c>
      <c r="J155" s="17" t="s">
        <v>47</v>
      </c>
      <c r="K155" s="76"/>
      <c r="L155" s="85">
        <f t="shared" ca="1" si="56"/>
        <v>60</v>
      </c>
      <c r="M155" s="80"/>
    </row>
    <row r="156" spans="1:13" ht="18.75" x14ac:dyDescent="0.3">
      <c r="A156" s="21">
        <v>46095</v>
      </c>
      <c r="B156" s="13" t="s">
        <v>355</v>
      </c>
      <c r="C156" s="13" t="s">
        <v>278</v>
      </c>
      <c r="D156" s="13" t="s">
        <v>9</v>
      </c>
      <c r="E156" s="14">
        <f>476.893-160-21-60-75-21+115-85-80+18+84.5</f>
        <v>192.39299999999997</v>
      </c>
      <c r="F156" s="15"/>
      <c r="G156" s="16">
        <f t="shared" ref="G156" si="61">H156-E156</f>
        <v>284.5</v>
      </c>
      <c r="H156" s="16">
        <v>476.89299999999997</v>
      </c>
      <c r="I156" s="16">
        <v>476.89299999999997</v>
      </c>
      <c r="J156" s="17" t="s">
        <v>47</v>
      </c>
      <c r="K156" s="76"/>
      <c r="L156" s="85">
        <f t="shared" ref="L156" ca="1" si="62">TODAY()-A156</f>
        <v>60</v>
      </c>
      <c r="M156" s="80"/>
    </row>
    <row r="157" spans="1:13" ht="18.75" x14ac:dyDescent="0.3">
      <c r="A157" s="21">
        <v>46095</v>
      </c>
      <c r="B157" s="13" t="s">
        <v>356</v>
      </c>
      <c r="C157" s="13" t="s">
        <v>260</v>
      </c>
      <c r="D157" s="13" t="s">
        <v>9</v>
      </c>
      <c r="E157" s="14">
        <v>0</v>
      </c>
      <c r="F157" s="15"/>
      <c r="G157" s="16">
        <f t="shared" ref="G157:G159" si="63">H157-E157</f>
        <v>12.977</v>
      </c>
      <c r="H157" s="16">
        <v>12.977</v>
      </c>
      <c r="I157" s="16">
        <v>523.10699999999997</v>
      </c>
      <c r="J157" s="17" t="s">
        <v>23</v>
      </c>
      <c r="K157" s="76"/>
      <c r="L157" s="85">
        <f t="shared" ref="L157:L159" ca="1" si="64">TODAY()-A157</f>
        <v>60</v>
      </c>
      <c r="M157" s="80"/>
    </row>
    <row r="158" spans="1:13" ht="18.75" x14ac:dyDescent="0.3">
      <c r="A158" s="21">
        <v>46144</v>
      </c>
      <c r="B158" s="13" t="s">
        <v>413</v>
      </c>
      <c r="C158" s="13" t="s">
        <v>260</v>
      </c>
      <c r="D158" s="13" t="s">
        <v>9</v>
      </c>
      <c r="E158" s="14">
        <f>2001.998-100-120-70-200+259</f>
        <v>1770.998</v>
      </c>
      <c r="F158" s="15"/>
      <c r="G158" s="16">
        <f t="shared" si="63"/>
        <v>224.59299999999985</v>
      </c>
      <c r="H158" s="16">
        <v>1995.5909999999999</v>
      </c>
      <c r="I158" s="16">
        <v>2001.998</v>
      </c>
      <c r="J158" s="17" t="s">
        <v>431</v>
      </c>
      <c r="K158" s="76"/>
      <c r="L158" s="85">
        <f t="shared" ca="1" si="64"/>
        <v>11</v>
      </c>
      <c r="M158" s="80"/>
    </row>
    <row r="159" spans="1:13" ht="18.75" x14ac:dyDescent="0.3">
      <c r="A159" s="21">
        <v>46151</v>
      </c>
      <c r="B159" s="139" t="s">
        <v>436</v>
      </c>
      <c r="C159" s="13" t="s">
        <v>260</v>
      </c>
      <c r="D159" s="13" t="s">
        <v>9</v>
      </c>
      <c r="E159" s="14">
        <f>1500-259</f>
        <v>1241</v>
      </c>
      <c r="F159" s="15"/>
      <c r="G159" s="16">
        <f t="shared" si="63"/>
        <v>259</v>
      </c>
      <c r="H159" s="16">
        <v>1500</v>
      </c>
      <c r="I159" s="16">
        <v>1500</v>
      </c>
      <c r="J159" s="17" t="s">
        <v>29</v>
      </c>
      <c r="K159" s="76"/>
      <c r="L159" s="85">
        <f t="shared" ca="1" si="64"/>
        <v>4</v>
      </c>
      <c r="M159" s="80"/>
    </row>
    <row r="160" spans="1:13" ht="18.75" x14ac:dyDescent="0.3">
      <c r="A160" s="95">
        <v>45981</v>
      </c>
      <c r="B160" s="96" t="s">
        <v>277</v>
      </c>
      <c r="C160" s="96" t="s">
        <v>278</v>
      </c>
      <c r="D160" s="96" t="s">
        <v>9</v>
      </c>
      <c r="E160" s="101">
        <v>0</v>
      </c>
      <c r="F160" s="104"/>
      <c r="G160" s="97">
        <f t="shared" si="55"/>
        <v>0.91400000000000003</v>
      </c>
      <c r="H160" s="97">
        <v>0.91400000000000003</v>
      </c>
      <c r="I160" s="97"/>
      <c r="J160" s="99" t="s">
        <v>29</v>
      </c>
      <c r="K160" s="100" t="s">
        <v>240</v>
      </c>
      <c r="L160" s="85">
        <f t="shared" ca="1" si="56"/>
        <v>174</v>
      </c>
      <c r="M160" s="80"/>
    </row>
    <row r="161" spans="1:13" ht="18.75" x14ac:dyDescent="0.3">
      <c r="A161" s="95">
        <v>46045</v>
      </c>
      <c r="B161" s="96" t="s">
        <v>305</v>
      </c>
      <c r="C161" s="96" t="s">
        <v>260</v>
      </c>
      <c r="D161" s="96" t="s">
        <v>9</v>
      </c>
      <c r="E161" s="101">
        <v>132.858</v>
      </c>
      <c r="F161" s="104"/>
      <c r="G161" s="97">
        <f t="shared" si="55"/>
        <v>542.51</v>
      </c>
      <c r="H161" s="97">
        <v>675.36800000000005</v>
      </c>
      <c r="I161" s="97">
        <v>4809.5529999999999</v>
      </c>
      <c r="J161" s="99" t="s">
        <v>309</v>
      </c>
      <c r="K161" s="100" t="s">
        <v>240</v>
      </c>
      <c r="L161" s="85">
        <f t="shared" ca="1" si="56"/>
        <v>110</v>
      </c>
      <c r="M161" s="80"/>
    </row>
    <row r="162" spans="1:13" ht="18.75" x14ac:dyDescent="0.3">
      <c r="A162" s="95">
        <v>46045</v>
      </c>
      <c r="B162" s="96" t="s">
        <v>306</v>
      </c>
      <c r="C162" s="96" t="s">
        <v>278</v>
      </c>
      <c r="D162" s="96" t="s">
        <v>9</v>
      </c>
      <c r="E162" s="101">
        <f>196.584-12-50</f>
        <v>134.584</v>
      </c>
      <c r="F162" s="104"/>
      <c r="G162" s="97">
        <f t="shared" ref="G162:G165" si="65">H162-E162</f>
        <v>55.47399999999999</v>
      </c>
      <c r="H162" s="97">
        <v>190.05799999999999</v>
      </c>
      <c r="I162" s="97">
        <v>961.16800000000001</v>
      </c>
      <c r="J162" s="99" t="s">
        <v>29</v>
      </c>
      <c r="K162" s="100" t="s">
        <v>240</v>
      </c>
      <c r="L162" s="85">
        <f t="shared" ref="L162:L165" ca="1" si="66">TODAY()-A162</f>
        <v>110</v>
      </c>
      <c r="M162" s="80"/>
    </row>
    <row r="163" spans="1:13" ht="18.75" x14ac:dyDescent="0.3">
      <c r="A163" s="126">
        <v>46085</v>
      </c>
      <c r="B163" s="127" t="s">
        <v>381</v>
      </c>
      <c r="C163" s="127" t="s">
        <v>260</v>
      </c>
      <c r="D163" s="127" t="s">
        <v>9</v>
      </c>
      <c r="E163" s="128">
        <f>422.192</f>
        <v>422.19200000000001</v>
      </c>
      <c r="F163" s="129"/>
      <c r="G163" s="130">
        <f t="shared" si="65"/>
        <v>2795.66</v>
      </c>
      <c r="H163" s="130">
        <v>3217.8519999999999</v>
      </c>
      <c r="I163" s="130">
        <v>3981.2449999999999</v>
      </c>
      <c r="J163" s="131" t="s">
        <v>29</v>
      </c>
      <c r="K163" s="132" t="s">
        <v>341</v>
      </c>
      <c r="L163" s="133">
        <f t="shared" ca="1" si="66"/>
        <v>70</v>
      </c>
      <c r="M163" s="80"/>
    </row>
    <row r="164" spans="1:13" ht="18.75" x14ac:dyDescent="0.3">
      <c r="A164" s="126">
        <v>46106</v>
      </c>
      <c r="B164" s="127" t="s">
        <v>373</v>
      </c>
      <c r="C164" s="127" t="s">
        <v>278</v>
      </c>
      <c r="D164" s="127" t="s">
        <v>9</v>
      </c>
      <c r="E164" s="128">
        <f>1973.616-80-84.5</f>
        <v>1809.116</v>
      </c>
      <c r="F164" s="129"/>
      <c r="G164" s="130">
        <f t="shared" si="65"/>
        <v>164.5</v>
      </c>
      <c r="H164" s="130">
        <v>1973.616</v>
      </c>
      <c r="I164" s="130">
        <v>2000</v>
      </c>
      <c r="J164" s="131" t="s">
        <v>29</v>
      </c>
      <c r="K164" s="132" t="s">
        <v>341</v>
      </c>
      <c r="L164" s="133">
        <f t="shared" ca="1" si="66"/>
        <v>49</v>
      </c>
      <c r="M164" s="80"/>
    </row>
    <row r="165" spans="1:13" ht="18.75" x14ac:dyDescent="0.3">
      <c r="A165" s="126">
        <v>46106</v>
      </c>
      <c r="B165" s="127" t="s">
        <v>374</v>
      </c>
      <c r="C165" s="127" t="s">
        <v>260</v>
      </c>
      <c r="D165" s="127" t="s">
        <v>9</v>
      </c>
      <c r="E165" s="129">
        <f>469.936</f>
        <v>469.93599999999998</v>
      </c>
      <c r="F165" s="129"/>
      <c r="G165" s="130">
        <f t="shared" si="65"/>
        <v>1500</v>
      </c>
      <c r="H165" s="130">
        <v>1969.9359999999999</v>
      </c>
      <c r="I165" s="130">
        <v>1996.271</v>
      </c>
      <c r="J165" s="131" t="s">
        <v>29</v>
      </c>
      <c r="K165" s="132" t="s">
        <v>341</v>
      </c>
      <c r="L165" s="133">
        <f t="shared" ca="1" si="66"/>
        <v>49</v>
      </c>
      <c r="M165" s="80"/>
    </row>
    <row r="166" spans="1:13" ht="18.75" x14ac:dyDescent="0.3">
      <c r="A166" s="22"/>
      <c r="B166" s="41" t="s">
        <v>27</v>
      </c>
      <c r="C166" s="13"/>
      <c r="D166" s="13"/>
      <c r="E166" s="23">
        <f>SUBTOTAL(9,E145:E165)</f>
        <v>9702.9849999999988</v>
      </c>
      <c r="F166" s="24">
        <f>E166</f>
        <v>9702.9849999999988</v>
      </c>
      <c r="G166" s="23">
        <f>SUBTOTAL(9,G145:G165)</f>
        <v>7098.1309999999994</v>
      </c>
      <c r="H166" s="23">
        <f>SUBTOTAL(9,H145:H165)</f>
        <v>16801.115999999998</v>
      </c>
      <c r="I166" s="23"/>
      <c r="J166" s="17"/>
      <c r="K166" s="76"/>
      <c r="L166" s="17"/>
      <c r="M166" s="80"/>
    </row>
    <row r="167" spans="1:13" ht="18.75" x14ac:dyDescent="0.3">
      <c r="A167" s="22"/>
      <c r="B167" s="41"/>
      <c r="C167" s="13"/>
      <c r="D167" s="13"/>
      <c r="E167" s="15"/>
      <c r="F167" s="24"/>
      <c r="G167" s="23"/>
      <c r="H167" s="23"/>
      <c r="I167" s="23"/>
      <c r="J167" s="17"/>
      <c r="K167" s="76"/>
      <c r="L167" s="17"/>
      <c r="M167" s="80"/>
    </row>
    <row r="168" spans="1:13" ht="18.75" x14ac:dyDescent="0.3">
      <c r="A168" s="21">
        <v>46125</v>
      </c>
      <c r="B168" s="13" t="s">
        <v>386</v>
      </c>
      <c r="C168" s="13" t="s">
        <v>387</v>
      </c>
      <c r="D168" s="13" t="s">
        <v>9</v>
      </c>
      <c r="E168" s="14">
        <f>100-100</f>
        <v>0</v>
      </c>
      <c r="F168" s="24"/>
      <c r="G168" s="16">
        <f t="shared" ref="G168" si="67">H168-E168</f>
        <v>65.27</v>
      </c>
      <c r="H168" s="16">
        <v>65.27</v>
      </c>
      <c r="I168" s="16">
        <v>100</v>
      </c>
      <c r="J168" s="17" t="s">
        <v>29</v>
      </c>
      <c r="K168" s="76"/>
      <c r="L168" s="83">
        <f t="shared" ref="L168" ca="1" si="68">TODAY()-A168</f>
        <v>30</v>
      </c>
      <c r="M168" s="80"/>
    </row>
    <row r="169" spans="1:13" ht="18.75" x14ac:dyDescent="0.3">
      <c r="A169" s="21"/>
      <c r="B169" s="32" t="s">
        <v>27</v>
      </c>
      <c r="C169" s="13"/>
      <c r="D169" s="13"/>
      <c r="E169" s="23">
        <f>SUBTOTAL(9,E168:E168)</f>
        <v>0</v>
      </c>
      <c r="F169" s="24">
        <f>E169</f>
        <v>0</v>
      </c>
      <c r="G169" s="23">
        <f>SUBTOTAL(9,G168:G168)</f>
        <v>65.27</v>
      </c>
      <c r="H169" s="23">
        <f>SUBTOTAL(9,H168:H168)</f>
        <v>65.27</v>
      </c>
      <c r="I169" s="23"/>
      <c r="J169" s="17"/>
      <c r="K169" s="76"/>
      <c r="L169" s="17"/>
      <c r="M169" s="80"/>
    </row>
    <row r="170" spans="1:13" ht="18.75" x14ac:dyDescent="0.3">
      <c r="A170" s="21"/>
      <c r="B170" s="35"/>
      <c r="C170" s="13"/>
      <c r="D170" s="13"/>
      <c r="E170" s="14"/>
      <c r="F170" s="24"/>
      <c r="G170" s="23"/>
      <c r="H170" s="23"/>
      <c r="I170" s="23"/>
      <c r="J170" s="17"/>
      <c r="K170" s="76"/>
      <c r="L170" s="17"/>
      <c r="M170" s="80"/>
    </row>
    <row r="171" spans="1:13" ht="18.75" x14ac:dyDescent="0.3">
      <c r="A171" s="21">
        <v>46069</v>
      </c>
      <c r="B171" s="13" t="s">
        <v>319</v>
      </c>
      <c r="C171" s="13" t="s">
        <v>114</v>
      </c>
      <c r="D171" s="13" t="s">
        <v>13</v>
      </c>
      <c r="E171" s="14">
        <v>0</v>
      </c>
      <c r="F171" s="23"/>
      <c r="G171" s="16">
        <f t="shared" ref="G171:G174" si="69">H171-E171</f>
        <v>0.38200000000000001</v>
      </c>
      <c r="H171" s="16">
        <v>0.38200000000000001</v>
      </c>
      <c r="I171" s="16">
        <v>800.42899999999997</v>
      </c>
      <c r="J171" s="17" t="s">
        <v>21</v>
      </c>
      <c r="K171" s="76"/>
      <c r="L171" s="83">
        <f t="shared" ref="L171:L174" ca="1" si="70">TODAY()-A171</f>
        <v>86</v>
      </c>
      <c r="M171" s="80"/>
    </row>
    <row r="172" spans="1:13" ht="18.75" x14ac:dyDescent="0.3">
      <c r="A172" s="21">
        <v>46080</v>
      </c>
      <c r="B172" s="13" t="s">
        <v>332</v>
      </c>
      <c r="C172" s="13" t="s">
        <v>114</v>
      </c>
      <c r="D172" s="13" t="s">
        <v>13</v>
      </c>
      <c r="E172" s="14">
        <v>21.053000000000001</v>
      </c>
      <c r="F172" s="23"/>
      <c r="G172" s="16">
        <f t="shared" si="69"/>
        <v>11.27</v>
      </c>
      <c r="H172" s="16">
        <v>32.323</v>
      </c>
      <c r="I172" s="16">
        <v>1047.319</v>
      </c>
      <c r="J172" s="17" t="s">
        <v>21</v>
      </c>
      <c r="K172" s="76"/>
      <c r="L172" s="83">
        <f t="shared" ca="1" si="70"/>
        <v>75</v>
      </c>
      <c r="M172" s="80"/>
    </row>
    <row r="173" spans="1:13" ht="18.75" x14ac:dyDescent="0.3">
      <c r="A173" s="21">
        <v>46139</v>
      </c>
      <c r="B173" s="13" t="s">
        <v>409</v>
      </c>
      <c r="C173" s="13" t="s">
        <v>114</v>
      </c>
      <c r="D173" s="13" t="s">
        <v>9</v>
      </c>
      <c r="E173" s="14">
        <f>518.059-95-7-36-35-35-247-61</f>
        <v>2.0589999999999691</v>
      </c>
      <c r="F173" s="23"/>
      <c r="G173" s="16">
        <f t="shared" si="69"/>
        <v>690.06900000000007</v>
      </c>
      <c r="H173" s="16">
        <v>692.12800000000004</v>
      </c>
      <c r="I173" s="16">
        <v>1998.7049999999999</v>
      </c>
      <c r="J173" s="17" t="s">
        <v>23</v>
      </c>
      <c r="K173" s="76"/>
      <c r="L173" s="83">
        <f t="shared" ca="1" si="70"/>
        <v>16</v>
      </c>
      <c r="M173" s="80"/>
    </row>
    <row r="174" spans="1:13" ht="18.75" x14ac:dyDescent="0.3">
      <c r="A174" s="126">
        <v>46131</v>
      </c>
      <c r="B174" s="127" t="s">
        <v>400</v>
      </c>
      <c r="C174" s="127" t="s">
        <v>114</v>
      </c>
      <c r="D174" s="127" t="s">
        <v>9</v>
      </c>
      <c r="E174" s="128">
        <v>0</v>
      </c>
      <c r="F174" s="129"/>
      <c r="G174" s="130">
        <f t="shared" si="69"/>
        <v>93.870999999999995</v>
      </c>
      <c r="H174" s="130">
        <v>93.870999999999995</v>
      </c>
      <c r="I174" s="130">
        <v>2850</v>
      </c>
      <c r="J174" s="131" t="s">
        <v>23</v>
      </c>
      <c r="K174" s="132" t="s">
        <v>341</v>
      </c>
      <c r="L174" s="133">
        <f t="shared" ca="1" si="70"/>
        <v>24</v>
      </c>
      <c r="M174" s="80"/>
    </row>
    <row r="175" spans="1:13" ht="18.75" x14ac:dyDescent="0.3">
      <c r="A175" s="21"/>
      <c r="B175" s="32" t="s">
        <v>27</v>
      </c>
      <c r="C175" s="13"/>
      <c r="D175" s="13"/>
      <c r="E175" s="23">
        <f>SUBTOTAL(9,E171:E174)</f>
        <v>23.11199999999997</v>
      </c>
      <c r="F175" s="24">
        <f>E175</f>
        <v>23.11199999999997</v>
      </c>
      <c r="G175" s="23">
        <f>SUBTOTAL(9,G171:G174)</f>
        <v>795.5920000000001</v>
      </c>
      <c r="H175" s="23">
        <f>SUBTOTAL(9,H171:H174)</f>
        <v>818.70400000000006</v>
      </c>
      <c r="I175" s="23"/>
      <c r="J175" s="17"/>
      <c r="K175" s="76"/>
      <c r="L175" s="83"/>
      <c r="M175" s="80"/>
    </row>
    <row r="176" spans="1:13" ht="18.75" x14ac:dyDescent="0.3">
      <c r="A176" s="22"/>
      <c r="B176" s="13"/>
      <c r="C176" s="13"/>
      <c r="D176" s="13"/>
      <c r="E176" s="15"/>
      <c r="F176" s="15"/>
      <c r="G176" s="23"/>
      <c r="H176" s="23"/>
      <c r="I176" s="23"/>
      <c r="J176" s="17"/>
      <c r="K176" s="76"/>
      <c r="L176" s="17"/>
      <c r="M176" s="80"/>
    </row>
    <row r="177" spans="1:13" ht="18.75" x14ac:dyDescent="0.3">
      <c r="A177" s="21">
        <v>46045</v>
      </c>
      <c r="B177" s="13" t="s">
        <v>301</v>
      </c>
      <c r="C177" s="13" t="s">
        <v>149</v>
      </c>
      <c r="D177" s="13" t="s">
        <v>13</v>
      </c>
      <c r="E177" s="14">
        <f>508.045-60-20-16-10-50-60-25-30+30-241+60+24-26-20-52+1.29</f>
        <v>13.335000000000015</v>
      </c>
      <c r="F177" s="23"/>
      <c r="G177" s="16">
        <f t="shared" ref="G177" si="71">H177-E177</f>
        <v>19.999999999999986</v>
      </c>
      <c r="H177" s="16">
        <v>33.335000000000001</v>
      </c>
      <c r="I177" s="16">
        <v>508.04500000000002</v>
      </c>
      <c r="J177" s="17" t="s">
        <v>21</v>
      </c>
      <c r="K177" s="76"/>
      <c r="L177" s="83">
        <f t="shared" ref="L177" ca="1" si="72">TODAY()-A177</f>
        <v>110</v>
      </c>
      <c r="M177" s="80"/>
    </row>
    <row r="178" spans="1:13" ht="18.75" x14ac:dyDescent="0.3">
      <c r="A178" s="68">
        <v>46104</v>
      </c>
      <c r="B178" s="134" t="s">
        <v>379</v>
      </c>
      <c r="C178" s="67" t="s">
        <v>149</v>
      </c>
      <c r="D178" s="67" t="s">
        <v>9</v>
      </c>
      <c r="E178" s="69">
        <f>500-192-20-24-100-25-5-16</f>
        <v>118</v>
      </c>
      <c r="F178" s="71"/>
      <c r="G178" s="66">
        <f t="shared" ref="G178" si="73">H178-E178</f>
        <v>175.97000000000003</v>
      </c>
      <c r="H178" s="66">
        <v>293.97000000000003</v>
      </c>
      <c r="I178" s="66">
        <v>500</v>
      </c>
      <c r="J178" s="70" t="s">
        <v>32</v>
      </c>
      <c r="K178" s="77" t="s">
        <v>226</v>
      </c>
      <c r="L178" s="83">
        <f t="shared" ref="L178" ca="1" si="74">TODAY()-A178</f>
        <v>51</v>
      </c>
      <c r="M178" s="81"/>
    </row>
    <row r="179" spans="1:13" ht="18.75" x14ac:dyDescent="0.3">
      <c r="A179" s="22"/>
      <c r="B179" s="32" t="s">
        <v>27</v>
      </c>
      <c r="C179" s="13"/>
      <c r="D179" s="13"/>
      <c r="E179" s="23">
        <f>SUBTOTAL(9,E177:E177)</f>
        <v>13.335000000000015</v>
      </c>
      <c r="F179" s="24">
        <f>E179</f>
        <v>13.335000000000015</v>
      </c>
      <c r="G179" s="23">
        <f>SUBTOTAL(9,G177:G177)</f>
        <v>19.999999999999986</v>
      </c>
      <c r="H179" s="23">
        <f>SUBTOTAL(9,H176:H177)</f>
        <v>33.335000000000001</v>
      </c>
      <c r="I179" s="23"/>
      <c r="J179" s="17"/>
      <c r="K179" s="76"/>
      <c r="L179" s="17"/>
      <c r="M179" s="80"/>
    </row>
    <row r="180" spans="1:13" ht="18.75" x14ac:dyDescent="0.3">
      <c r="A180" s="22"/>
      <c r="B180" s="32"/>
      <c r="C180" s="13"/>
      <c r="D180" s="13"/>
      <c r="E180" s="15"/>
      <c r="F180" s="24"/>
      <c r="G180" s="23"/>
      <c r="H180" s="23"/>
      <c r="I180" s="23"/>
      <c r="J180" s="17"/>
      <c r="K180" s="76"/>
      <c r="L180" s="17"/>
      <c r="M180" s="80"/>
    </row>
    <row r="181" spans="1:13" ht="18.75" x14ac:dyDescent="0.3">
      <c r="A181" s="21">
        <v>46071</v>
      </c>
      <c r="B181" s="13" t="s">
        <v>324</v>
      </c>
      <c r="C181" s="13" t="s">
        <v>154</v>
      </c>
      <c r="D181" s="13" t="s">
        <v>9</v>
      </c>
      <c r="E181" s="14">
        <f>1047.84-828-600-100-50-90</f>
        <v>-620.16000000000008</v>
      </c>
      <c r="F181" s="24"/>
      <c r="G181" s="16">
        <f t="shared" ref="G181" si="75">H181-E181</f>
        <v>675.39600000000007</v>
      </c>
      <c r="H181" s="16">
        <v>55.235999999999997</v>
      </c>
      <c r="I181" s="16">
        <v>1047.8399999999999</v>
      </c>
      <c r="J181" s="17" t="s">
        <v>32</v>
      </c>
      <c r="K181" s="76"/>
      <c r="L181" s="83">
        <f t="shared" ref="L181" ca="1" si="76">TODAY()-A181</f>
        <v>84</v>
      </c>
      <c r="M181" s="80"/>
    </row>
    <row r="182" spans="1:13" ht="18.75" x14ac:dyDescent="0.3">
      <c r="A182" s="21">
        <v>46071</v>
      </c>
      <c r="B182" s="13" t="s">
        <v>323</v>
      </c>
      <c r="C182" s="13" t="s">
        <v>156</v>
      </c>
      <c r="D182" s="13" t="s">
        <v>9</v>
      </c>
      <c r="E182" s="14">
        <v>-18.913</v>
      </c>
      <c r="F182" s="24"/>
      <c r="G182" s="16">
        <f t="shared" ref="G182" si="77">H182-E182</f>
        <v>18.916</v>
      </c>
      <c r="H182" s="16">
        <v>3.0000000000000001E-3</v>
      </c>
      <c r="I182" s="16">
        <v>522.73299999999995</v>
      </c>
      <c r="J182" s="17" t="s">
        <v>32</v>
      </c>
      <c r="K182" s="76"/>
      <c r="L182" s="83">
        <f t="shared" ref="L182:L184" ca="1" si="78">TODAY()-A182</f>
        <v>84</v>
      </c>
      <c r="M182" s="80"/>
    </row>
    <row r="183" spans="1:13" ht="18.75" x14ac:dyDescent="0.3">
      <c r="A183" s="21">
        <v>46063</v>
      </c>
      <c r="B183" s="13" t="s">
        <v>312</v>
      </c>
      <c r="C183" s="13" t="s">
        <v>225</v>
      </c>
      <c r="D183" s="13" t="s">
        <v>9</v>
      </c>
      <c r="E183" s="14">
        <f>1125.224-200</f>
        <v>925.22399999999993</v>
      </c>
      <c r="F183" s="24"/>
      <c r="G183" s="16">
        <f t="shared" ref="G183" si="79">H183-E183</f>
        <v>199.94000000000005</v>
      </c>
      <c r="H183" s="16">
        <v>1125.164</v>
      </c>
      <c r="I183" s="16">
        <v>1869.5719999999999</v>
      </c>
      <c r="J183" s="17" t="s">
        <v>32</v>
      </c>
      <c r="K183" s="76"/>
      <c r="L183" s="83">
        <f t="shared" ref="L183" ca="1" si="80">TODAY()-A183</f>
        <v>92</v>
      </c>
      <c r="M183" s="80"/>
    </row>
    <row r="184" spans="1:13" ht="18.75" x14ac:dyDescent="0.3">
      <c r="A184" s="21">
        <v>45996</v>
      </c>
      <c r="B184" s="13" t="s">
        <v>282</v>
      </c>
      <c r="C184" s="13" t="s">
        <v>225</v>
      </c>
      <c r="D184" s="13" t="s">
        <v>227</v>
      </c>
      <c r="E184" s="14">
        <v>-39.645000000000003</v>
      </c>
      <c r="F184" s="24"/>
      <c r="G184" s="16">
        <f t="shared" ref="G184" si="81">H184-E184</f>
        <v>40.25</v>
      </c>
      <c r="H184" s="16">
        <v>0.60499999999999998</v>
      </c>
      <c r="I184" s="16">
        <v>1451.973</v>
      </c>
      <c r="J184" s="17" t="s">
        <v>136</v>
      </c>
      <c r="K184" s="76"/>
      <c r="L184" s="83">
        <f t="shared" ca="1" si="78"/>
        <v>159</v>
      </c>
      <c r="M184" s="80"/>
    </row>
    <row r="185" spans="1:13" ht="18.75" x14ac:dyDescent="0.3">
      <c r="A185" s="22"/>
      <c r="B185" s="32" t="s">
        <v>27</v>
      </c>
      <c r="C185" s="13"/>
      <c r="D185" s="13"/>
      <c r="E185" s="23">
        <f>SUBTOTAL(9,E181:E184)</f>
        <v>246.50599999999983</v>
      </c>
      <c r="F185" s="24">
        <f>E185</f>
        <v>246.50599999999983</v>
      </c>
      <c r="G185" s="23">
        <f>SUBTOTAL(9,G181:G184)</f>
        <v>934.50200000000018</v>
      </c>
      <c r="H185" s="23">
        <f>SUBTOTAL(9,H181:H184)</f>
        <v>1181.008</v>
      </c>
      <c r="I185" s="23"/>
      <c r="J185" s="17"/>
      <c r="K185" s="76"/>
      <c r="L185" s="17"/>
      <c r="M185" s="80"/>
    </row>
    <row r="186" spans="1:13" ht="18.75" x14ac:dyDescent="0.3">
      <c r="A186" s="22"/>
      <c r="B186" s="32"/>
      <c r="C186" s="13"/>
      <c r="D186" s="13"/>
      <c r="E186" s="23"/>
      <c r="F186" s="24"/>
      <c r="G186" s="23"/>
      <c r="H186" s="23"/>
      <c r="I186" s="23"/>
      <c r="J186" s="17"/>
      <c r="K186" s="76"/>
      <c r="L186" s="17"/>
      <c r="M186" s="80"/>
    </row>
    <row r="187" spans="1:13" ht="18.75" x14ac:dyDescent="0.3">
      <c r="A187" s="21">
        <v>46037</v>
      </c>
      <c r="B187" s="13" t="s">
        <v>297</v>
      </c>
      <c r="C187" s="13" t="s">
        <v>159</v>
      </c>
      <c r="D187" s="13" t="s">
        <v>166</v>
      </c>
      <c r="E187" s="14">
        <v>0.29299999999999998</v>
      </c>
      <c r="F187" s="15"/>
      <c r="G187" s="16">
        <f t="shared" ref="G187:G195" si="82">H187-E187</f>
        <v>135.04999999999998</v>
      </c>
      <c r="H187" s="16">
        <v>135.34299999999999</v>
      </c>
      <c r="I187" s="16">
        <v>4023.86</v>
      </c>
      <c r="J187" s="17" t="s">
        <v>167</v>
      </c>
      <c r="K187" s="76"/>
      <c r="L187" s="83">
        <f t="shared" ref="L187:L195" ca="1" si="83">TODAY()-A187</f>
        <v>118</v>
      </c>
      <c r="M187" s="103"/>
    </row>
    <row r="188" spans="1:13" ht="18.75" x14ac:dyDescent="0.3">
      <c r="A188" s="21">
        <v>46111</v>
      </c>
      <c r="B188" s="13" t="s">
        <v>372</v>
      </c>
      <c r="C188" s="13" t="s">
        <v>159</v>
      </c>
      <c r="D188" s="13" t="s">
        <v>166</v>
      </c>
      <c r="E188" s="14">
        <f>4454.687-516-1873-486.68-244-26-30-370-30+500-48-73-263-162-425-19-500-24</f>
        <v>-134.99300000000017</v>
      </c>
      <c r="F188" s="15"/>
      <c r="G188" s="16">
        <f t="shared" si="82"/>
        <v>1401.3420000000001</v>
      </c>
      <c r="H188" s="16">
        <v>1266.3489999999999</v>
      </c>
      <c r="I188" s="16">
        <v>4454.6869999999999</v>
      </c>
      <c r="J188" s="17" t="s">
        <v>167</v>
      </c>
      <c r="K188" s="76"/>
      <c r="L188" s="83">
        <f t="shared" ca="1" si="83"/>
        <v>44</v>
      </c>
      <c r="M188" s="103"/>
    </row>
    <row r="189" spans="1:13" ht="18.75" x14ac:dyDescent="0.3">
      <c r="A189" s="21">
        <v>46027</v>
      </c>
      <c r="B189" s="13" t="s">
        <v>293</v>
      </c>
      <c r="C189" s="13" t="s">
        <v>159</v>
      </c>
      <c r="D189" s="13" t="s">
        <v>13</v>
      </c>
      <c r="E189" s="14">
        <v>0</v>
      </c>
      <c r="F189" s="15"/>
      <c r="G189" s="16">
        <f t="shared" si="82"/>
        <v>66.602000000000004</v>
      </c>
      <c r="H189" s="16">
        <v>66.602000000000004</v>
      </c>
      <c r="I189" s="16">
        <v>10459.857</v>
      </c>
      <c r="J189" s="17" t="s">
        <v>21</v>
      </c>
      <c r="K189" s="76"/>
      <c r="L189" s="83">
        <f t="shared" ca="1" si="83"/>
        <v>128</v>
      </c>
      <c r="M189" s="103"/>
    </row>
    <row r="190" spans="1:13" ht="18.75" x14ac:dyDescent="0.3">
      <c r="A190" s="21">
        <v>46067</v>
      </c>
      <c r="B190" s="13" t="s">
        <v>314</v>
      </c>
      <c r="C190" s="13" t="s">
        <v>159</v>
      </c>
      <c r="D190" s="13" t="s">
        <v>13</v>
      </c>
      <c r="E190" s="14">
        <v>0</v>
      </c>
      <c r="F190" s="15"/>
      <c r="G190" s="16">
        <f t="shared" si="82"/>
        <v>1.9E-2</v>
      </c>
      <c r="H190" s="16">
        <v>1.9E-2</v>
      </c>
      <c r="I190" s="16">
        <v>20118.866999999998</v>
      </c>
      <c r="J190" s="17" t="s">
        <v>21</v>
      </c>
      <c r="K190" s="76"/>
      <c r="L190" s="83">
        <f t="shared" ca="1" si="83"/>
        <v>88</v>
      </c>
      <c r="M190" s="103"/>
    </row>
    <row r="191" spans="1:13" ht="18.75" x14ac:dyDescent="0.3">
      <c r="A191" s="21">
        <v>46121</v>
      </c>
      <c r="B191" s="13" t="s">
        <v>383</v>
      </c>
      <c r="C191" s="13" t="s">
        <v>159</v>
      </c>
      <c r="D191" s="13" t="s">
        <v>13</v>
      </c>
      <c r="E191" s="14">
        <f>2991.197-167.506-62-600-23-825-483-40-200-64-25</f>
        <v>501.69100000000026</v>
      </c>
      <c r="F191" s="15"/>
      <c r="G191" s="16">
        <f t="shared" si="82"/>
        <v>296.31399999999974</v>
      </c>
      <c r="H191" s="16">
        <v>798.005</v>
      </c>
      <c r="I191" s="16">
        <v>2991.1970000000001</v>
      </c>
      <c r="J191" s="17" t="s">
        <v>21</v>
      </c>
      <c r="K191" s="76"/>
      <c r="L191" s="83">
        <f t="shared" ca="1" si="83"/>
        <v>34</v>
      </c>
      <c r="M191" s="103"/>
    </row>
    <row r="192" spans="1:13" s="123" customFormat="1" ht="18.75" x14ac:dyDescent="0.3">
      <c r="A192" s="117">
        <v>46032</v>
      </c>
      <c r="B192" s="32" t="s">
        <v>295</v>
      </c>
      <c r="C192" s="32" t="s">
        <v>159</v>
      </c>
      <c r="D192" s="32" t="s">
        <v>9</v>
      </c>
      <c r="E192" s="15">
        <v>0</v>
      </c>
      <c r="F192" s="15"/>
      <c r="G192" s="115">
        <f t="shared" si="82"/>
        <v>37.921999999999997</v>
      </c>
      <c r="H192" s="115">
        <v>37.921999999999997</v>
      </c>
      <c r="I192" s="115">
        <v>4981.598</v>
      </c>
      <c r="J192" s="30" t="s">
        <v>296</v>
      </c>
      <c r="K192" s="118"/>
      <c r="L192" s="119">
        <f t="shared" ca="1" si="83"/>
        <v>123</v>
      </c>
      <c r="M192" s="120"/>
    </row>
    <row r="193" spans="1:13" s="123" customFormat="1" ht="18.75" x14ac:dyDescent="0.3">
      <c r="A193" s="117">
        <v>46073</v>
      </c>
      <c r="B193" s="32" t="s">
        <v>331</v>
      </c>
      <c r="C193" s="32" t="s">
        <v>159</v>
      </c>
      <c r="D193" s="32" t="s">
        <v>9</v>
      </c>
      <c r="E193" s="15">
        <f>5879.747-846-650-615-3319+1000-914+25-488+64-260-160</f>
        <v>-283.2529999999997</v>
      </c>
      <c r="F193" s="15"/>
      <c r="G193" s="115">
        <f t="shared" si="82"/>
        <v>1939.5799999999997</v>
      </c>
      <c r="H193" s="115">
        <v>1656.327</v>
      </c>
      <c r="I193" s="115">
        <v>5879.7470000000003</v>
      </c>
      <c r="J193" s="30" t="s">
        <v>333</v>
      </c>
      <c r="K193" s="118"/>
      <c r="L193" s="119">
        <f t="shared" ca="1" si="83"/>
        <v>82</v>
      </c>
      <c r="M193" s="120"/>
    </row>
    <row r="194" spans="1:13" s="123" customFormat="1" ht="18.75" x14ac:dyDescent="0.3">
      <c r="A194" s="117">
        <v>46136</v>
      </c>
      <c r="B194" s="32" t="s">
        <v>417</v>
      </c>
      <c r="C194" s="32" t="s">
        <v>159</v>
      </c>
      <c r="D194" s="32" t="s">
        <v>9</v>
      </c>
      <c r="E194" s="15">
        <v>0</v>
      </c>
      <c r="F194" s="15"/>
      <c r="G194" s="115">
        <f t="shared" si="82"/>
        <v>28.79</v>
      </c>
      <c r="H194" s="115">
        <v>28.79</v>
      </c>
      <c r="I194" s="115">
        <v>1000</v>
      </c>
      <c r="J194" s="30" t="s">
        <v>32</v>
      </c>
      <c r="K194" s="118"/>
      <c r="L194" s="119">
        <f t="shared" ca="1" si="83"/>
        <v>19</v>
      </c>
      <c r="M194" s="120"/>
    </row>
    <row r="195" spans="1:13" ht="18.75" x14ac:dyDescent="0.3">
      <c r="A195" s="21">
        <v>46010</v>
      </c>
      <c r="B195" s="13" t="s">
        <v>289</v>
      </c>
      <c r="C195" s="13" t="s">
        <v>159</v>
      </c>
      <c r="D195" s="13" t="s">
        <v>16</v>
      </c>
      <c r="E195" s="14">
        <v>0</v>
      </c>
      <c r="F195" s="15"/>
      <c r="G195" s="16">
        <f t="shared" si="82"/>
        <v>24.128</v>
      </c>
      <c r="H195" s="16">
        <v>24.128</v>
      </c>
      <c r="I195" s="16">
        <v>5242.9709999999995</v>
      </c>
      <c r="J195" s="17" t="s">
        <v>23</v>
      </c>
      <c r="K195" s="76"/>
      <c r="L195" s="83">
        <f t="shared" ca="1" si="83"/>
        <v>145</v>
      </c>
      <c r="M195" s="103"/>
    </row>
    <row r="196" spans="1:13" ht="18.75" x14ac:dyDescent="0.3">
      <c r="A196" s="21">
        <v>46009</v>
      </c>
      <c r="B196" s="13" t="s">
        <v>290</v>
      </c>
      <c r="C196" s="13" t="s">
        <v>159</v>
      </c>
      <c r="D196" s="13" t="s">
        <v>16</v>
      </c>
      <c r="E196" s="14">
        <v>0</v>
      </c>
      <c r="F196" s="15"/>
      <c r="G196" s="16">
        <f t="shared" ref="G196:G197" si="84">H196-E196</f>
        <v>8.0000000000000002E-3</v>
      </c>
      <c r="H196" s="16">
        <v>8.0000000000000002E-3</v>
      </c>
      <c r="I196" s="16">
        <v>5185.6229999999996</v>
      </c>
      <c r="J196" s="17" t="s">
        <v>23</v>
      </c>
      <c r="K196" s="76"/>
      <c r="L196" s="83">
        <f t="shared" ref="L196:L197" ca="1" si="85">TODAY()-A196</f>
        <v>146</v>
      </c>
      <c r="M196" s="103"/>
    </row>
    <row r="197" spans="1:13" ht="18.75" x14ac:dyDescent="0.3">
      <c r="A197" s="21">
        <v>46099</v>
      </c>
      <c r="B197" s="13" t="s">
        <v>369</v>
      </c>
      <c r="C197" s="13" t="s">
        <v>159</v>
      </c>
      <c r="D197" s="13" t="s">
        <v>16</v>
      </c>
      <c r="E197" s="14">
        <f>8521.987-80-3922-500-1461-50-22-150-170-16.102-1542-358-500-25+25</f>
        <v>-249.11500000000069</v>
      </c>
      <c r="F197" s="15"/>
      <c r="G197" s="16">
        <f t="shared" si="84"/>
        <v>1538.9500000000007</v>
      </c>
      <c r="H197" s="16">
        <v>1289.835</v>
      </c>
      <c r="I197" s="16">
        <v>8521.9869999999992</v>
      </c>
      <c r="J197" s="17" t="s">
        <v>23</v>
      </c>
      <c r="K197" s="76"/>
      <c r="L197" s="83">
        <f t="shared" ca="1" si="85"/>
        <v>56</v>
      </c>
      <c r="M197" s="103"/>
    </row>
    <row r="198" spans="1:13" ht="19.5" thickBot="1" x14ac:dyDescent="0.35">
      <c r="A198" s="22"/>
      <c r="B198" s="32" t="s">
        <v>27</v>
      </c>
      <c r="C198" s="13"/>
      <c r="D198" s="13"/>
      <c r="E198" s="23">
        <f>SUBTOTAL(9,E187:E197)</f>
        <v>-165.37700000000029</v>
      </c>
      <c r="F198" s="24">
        <f>E198</f>
        <v>-165.37700000000029</v>
      </c>
      <c r="G198" s="23">
        <f>SUBTOTAL(9,G187:G197)</f>
        <v>5468.7049999999999</v>
      </c>
      <c r="H198" s="23">
        <f>SUBTOTAL(9,H187:H197)</f>
        <v>5303.3279999999995</v>
      </c>
      <c r="I198" s="23"/>
      <c r="J198" s="43"/>
      <c r="K198" s="78"/>
      <c r="L198" s="43"/>
      <c r="M198" s="82">
        <v>340.29989425974929</v>
      </c>
    </row>
    <row r="199" spans="1:13" ht="19.5" thickBot="1" x14ac:dyDescent="0.35">
      <c r="A199" s="46"/>
      <c r="B199" s="47" t="s">
        <v>171</v>
      </c>
      <c r="C199" s="48"/>
      <c r="D199" s="48"/>
      <c r="E199" s="49"/>
      <c r="F199" s="50">
        <f>SUM(F3:F198)</f>
        <v>39991.575000000004</v>
      </c>
      <c r="G199" s="50">
        <f>SUMIF(B2:B198,B198,G2:G198)</f>
        <v>30135.404000000002</v>
      </c>
      <c r="H199" s="50">
        <f>SUMIF(B2:B198,B198,H2:H198)</f>
        <v>70082.313999999984</v>
      </c>
      <c r="I199" s="50"/>
      <c r="J199" s="51"/>
      <c r="K199" s="79"/>
      <c r="L199" s="52"/>
      <c r="M199" s="53"/>
    </row>
    <row r="201" spans="1:13" ht="18.75" x14ac:dyDescent="0.3">
      <c r="H201" s="125"/>
    </row>
    <row r="202" spans="1:13" ht="18.75" x14ac:dyDescent="0.3">
      <c r="H202" s="125"/>
      <c r="I202" s="125"/>
    </row>
    <row r="203" spans="1:13" ht="18.75" x14ac:dyDescent="0.3">
      <c r="H203" s="125"/>
      <c r="I203" s="125"/>
      <c r="J203" s="135"/>
    </row>
    <row r="204" spans="1:13" ht="18.75" x14ac:dyDescent="0.3">
      <c r="G204" s="54"/>
      <c r="H204" s="125"/>
      <c r="I204" s="54"/>
      <c r="J204" s="135"/>
    </row>
    <row r="205" spans="1:13" x14ac:dyDescent="0.3">
      <c r="G205" s="54"/>
      <c r="H205" s="54"/>
      <c r="I205" s="54"/>
    </row>
    <row r="206" spans="1:13" x14ac:dyDescent="0.3">
      <c r="G206" s="54"/>
      <c r="H206" s="54"/>
      <c r="I206" s="54"/>
    </row>
    <row r="207" spans="1:13" x14ac:dyDescent="0.3">
      <c r="G207" s="54"/>
      <c r="H207" s="54"/>
      <c r="I207" s="54"/>
    </row>
    <row r="208" spans="1:13" x14ac:dyDescent="0.3">
      <c r="G208" s="54"/>
      <c r="H208" s="54"/>
      <c r="I208" s="54"/>
    </row>
    <row r="209" spans="7:9" x14ac:dyDescent="0.3">
      <c r="G209" s="54"/>
      <c r="H209" s="54"/>
      <c r="I209" s="54"/>
    </row>
    <row r="210" spans="7:9" x14ac:dyDescent="0.3">
      <c r="G210" s="54"/>
      <c r="H210" s="54"/>
      <c r="I210" s="54"/>
    </row>
    <row r="211" spans="7:9" x14ac:dyDescent="0.3">
      <c r="G211" s="54"/>
      <c r="H211" s="54"/>
      <c r="I211" s="54"/>
    </row>
  </sheetData>
  <autoFilter ref="A2:L199">
    <sortState ref="A110:L127">
      <sortCondition ref="C2:C202"/>
    </sortState>
  </autoFilter>
  <mergeCells count="1">
    <mergeCell ref="A1:L1"/>
  </mergeCells>
  <conditionalFormatting sqref="E77:E78 H77:I78 H33:I33 H37:I39 H96:I96 E67:E68 H67:I68 H14:I14 H176:I176 H63:I63 E176 H29:I30 H71:I71 E71 H202:I203 H186:I186 H204 H126:I126 H201 E74 H74:I74 J26:K26 H195:I197 H122:I124 H189:I192 H180:I184 H178:I178 E178:E1048576 H107:I116 H51:I61 H167:I168 E130:E138 E143:E173 H170:I173 E81:E85 H41:I49 E99:E104 H99:I104 E19:E30 H93:I94 E88:E96 E107:E126 H118:I120 E32:E64 H88:I91 H81:I85 E1:E14 H1:I12 H144:I165 H131:I138 H19:I27">
    <cfRule type="cellIs" dxfId="48" priority="876" operator="lessThan">
      <formula>0</formula>
    </cfRule>
  </conditionalFormatting>
  <conditionalFormatting sqref="G198:I198">
    <cfRule type="cellIs" dxfId="47" priority="776" operator="lessThan">
      <formula>0</formula>
    </cfRule>
  </conditionalFormatting>
  <conditionalFormatting sqref="G95:G96 H95:I95">
    <cfRule type="cellIs" dxfId="46" priority="693" operator="lessThan">
      <formula>0</formula>
    </cfRule>
  </conditionalFormatting>
  <conditionalFormatting sqref="G121:I121">
    <cfRule type="cellIs" dxfId="45" priority="656" operator="lessThan">
      <formula>0</formula>
    </cfRule>
  </conditionalFormatting>
  <conditionalFormatting sqref="E73 H73:I73 H76:I76 E76">
    <cfRule type="cellIs" dxfId="44" priority="600" operator="lessThan">
      <formula>0</formula>
    </cfRule>
  </conditionalFormatting>
  <conditionalFormatting sqref="G117:I117">
    <cfRule type="cellIs" dxfId="43" priority="579" operator="lessThan">
      <formula>0</formula>
    </cfRule>
  </conditionalFormatting>
  <conditionalFormatting sqref="G185:I185">
    <cfRule type="cellIs" dxfId="42" priority="435" operator="lessThan">
      <formula>0</formula>
    </cfRule>
  </conditionalFormatting>
  <conditionalFormatting sqref="G92:I92">
    <cfRule type="cellIs" dxfId="41" priority="351" operator="lessThan">
      <formula>0</formula>
    </cfRule>
  </conditionalFormatting>
  <conditionalFormatting sqref="E175">
    <cfRule type="cellIs" dxfId="40" priority="324" operator="lessThan">
      <formula>0</formula>
    </cfRule>
  </conditionalFormatting>
  <conditionalFormatting sqref="E66 H66:I66 H70:I70 E70">
    <cfRule type="cellIs" dxfId="39" priority="306" operator="lessThan">
      <formula>0</formula>
    </cfRule>
  </conditionalFormatting>
  <conditionalFormatting sqref="G125:I125">
    <cfRule type="cellIs" dxfId="38" priority="287" operator="lessThan">
      <formula>0</formula>
    </cfRule>
  </conditionalFormatting>
  <conditionalFormatting sqref="G28:G29 H28:I28">
    <cfRule type="cellIs" dxfId="37" priority="275" operator="lessThan">
      <formula>0</formula>
    </cfRule>
  </conditionalFormatting>
  <conditionalFormatting sqref="E80 H80:I80">
    <cfRule type="cellIs" dxfId="36" priority="259" operator="lessThan">
      <formula>0</formula>
    </cfRule>
  </conditionalFormatting>
  <conditionalFormatting sqref="G175:I175">
    <cfRule type="cellIs" dxfId="35" priority="216" operator="lessThan">
      <formula>0</formula>
    </cfRule>
  </conditionalFormatting>
  <conditionalFormatting sqref="G50:I50">
    <cfRule type="cellIs" dxfId="34" priority="199" operator="lessThan">
      <formula>0</formula>
    </cfRule>
  </conditionalFormatting>
  <conditionalFormatting sqref="G13">
    <cfRule type="cellIs" dxfId="33" priority="180" operator="lessThan">
      <formula>0</formula>
    </cfRule>
  </conditionalFormatting>
  <conditionalFormatting sqref="G130:I130">
    <cfRule type="cellIs" dxfId="32" priority="147" operator="lessThan">
      <formula>0</formula>
    </cfRule>
  </conditionalFormatting>
  <conditionalFormatting sqref="G179">
    <cfRule type="cellIs" dxfId="31" priority="140" operator="lessThan">
      <formula>0</formula>
    </cfRule>
  </conditionalFormatting>
  <conditionalFormatting sqref="G66 G70">
    <cfRule type="cellIs" dxfId="30" priority="137" operator="lessThan">
      <formula>0</formula>
    </cfRule>
  </conditionalFormatting>
  <conditionalFormatting sqref="H87:I87 E86:E87">
    <cfRule type="cellIs" dxfId="29" priority="119" operator="lessThan">
      <formula>0</formula>
    </cfRule>
  </conditionalFormatting>
  <conditionalFormatting sqref="E79">
    <cfRule type="cellIs" dxfId="28" priority="112" operator="lessThan">
      <formula>0</formula>
    </cfRule>
  </conditionalFormatting>
  <conditionalFormatting sqref="G32:G33 G41 H32:I32">
    <cfRule type="cellIs" dxfId="27" priority="77" operator="lessThan">
      <formula>0</formula>
    </cfRule>
  </conditionalFormatting>
  <conditionalFormatting sqref="E72">
    <cfRule type="cellIs" dxfId="26" priority="76" operator="lessThan">
      <formula>0</formula>
    </cfRule>
  </conditionalFormatting>
  <conditionalFormatting sqref="E69">
    <cfRule type="cellIs" dxfId="25" priority="59" operator="lessThan">
      <formula>0</formula>
    </cfRule>
  </conditionalFormatting>
  <conditionalFormatting sqref="G69:I69">
    <cfRule type="cellIs" dxfId="24" priority="58" operator="lessThan">
      <formula>0</formula>
    </cfRule>
  </conditionalFormatting>
  <conditionalFormatting sqref="E31 H31:I31">
    <cfRule type="cellIs" dxfId="23" priority="53" operator="lessThan">
      <formula>0</formula>
    </cfRule>
  </conditionalFormatting>
  <conditionalFormatting sqref="G40:I40">
    <cfRule type="cellIs" dxfId="22" priority="49" operator="lessThan">
      <formula>0</formula>
    </cfRule>
  </conditionalFormatting>
  <conditionalFormatting sqref="E18">
    <cfRule type="cellIs" dxfId="21" priority="46" operator="lessThan">
      <formula>0</formula>
    </cfRule>
  </conditionalFormatting>
  <conditionalFormatting sqref="G18:I18">
    <cfRule type="cellIs" dxfId="20" priority="45" operator="lessThan">
      <formula>0</formula>
    </cfRule>
  </conditionalFormatting>
  <conditionalFormatting sqref="G35:I36">
    <cfRule type="cellIs" dxfId="19" priority="38" operator="lessThan">
      <formula>0</formula>
    </cfRule>
  </conditionalFormatting>
  <conditionalFormatting sqref="E65">
    <cfRule type="cellIs" dxfId="18" priority="29" operator="lessThan">
      <formula>0</formula>
    </cfRule>
  </conditionalFormatting>
  <conditionalFormatting sqref="G65:I65">
    <cfRule type="cellIs" dxfId="17" priority="27" operator="lessThan">
      <formula>0</formula>
    </cfRule>
  </conditionalFormatting>
  <conditionalFormatting sqref="H34:I34">
    <cfRule type="cellIs" dxfId="16" priority="25" operator="lessThan">
      <formula>0</formula>
    </cfRule>
  </conditionalFormatting>
  <conditionalFormatting sqref="H13:I13">
    <cfRule type="cellIs" dxfId="15" priority="23" operator="lessThan">
      <formula>0</formula>
    </cfRule>
  </conditionalFormatting>
  <conditionalFormatting sqref="E75">
    <cfRule type="cellIs" dxfId="14" priority="19" operator="lessThan">
      <formula>0</formula>
    </cfRule>
  </conditionalFormatting>
  <conditionalFormatting sqref="E139:E142 H139:I142">
    <cfRule type="cellIs" dxfId="13" priority="17" operator="lessThan">
      <formula>0</formula>
    </cfRule>
  </conditionalFormatting>
  <conditionalFormatting sqref="H177:I177 E177">
    <cfRule type="cellIs" dxfId="12" priority="16" operator="lessThan">
      <formula>0</formula>
    </cfRule>
  </conditionalFormatting>
  <conditionalFormatting sqref="H179:I179">
    <cfRule type="cellIs" dxfId="11" priority="15" operator="lessThan">
      <formula>0</formula>
    </cfRule>
  </conditionalFormatting>
  <conditionalFormatting sqref="E97 H97:I97">
    <cfRule type="cellIs" dxfId="10" priority="13" operator="lessThan">
      <formula>0</formula>
    </cfRule>
  </conditionalFormatting>
  <conditionalFormatting sqref="E98">
    <cfRule type="cellIs" dxfId="9" priority="12" operator="lessThan">
      <formula>0</formula>
    </cfRule>
  </conditionalFormatting>
  <conditionalFormatting sqref="G98:I98">
    <cfRule type="cellIs" dxfId="8" priority="11" operator="lessThan">
      <formula>0</formula>
    </cfRule>
  </conditionalFormatting>
  <conditionalFormatting sqref="E127:E129 H127:I129">
    <cfRule type="cellIs" dxfId="7" priority="10" operator="lessThan">
      <formula>0</formula>
    </cfRule>
  </conditionalFormatting>
  <conditionalFormatting sqref="H193:I194">
    <cfRule type="cellIs" dxfId="6" priority="9" operator="lessThan">
      <formula>0</formula>
    </cfRule>
  </conditionalFormatting>
  <conditionalFormatting sqref="H105:I106 E105:E106">
    <cfRule type="cellIs" dxfId="5" priority="8" operator="lessThan">
      <formula>0</formula>
    </cfRule>
  </conditionalFormatting>
  <conditionalFormatting sqref="E17 H17:I17">
    <cfRule type="cellIs" dxfId="4" priority="6" operator="lessThan">
      <formula>0</formula>
    </cfRule>
  </conditionalFormatting>
  <conditionalFormatting sqref="E174 H174:I174">
    <cfRule type="cellIs" dxfId="3" priority="5" operator="lessThan">
      <formula>0</formula>
    </cfRule>
  </conditionalFormatting>
  <conditionalFormatting sqref="G169">
    <cfRule type="cellIs" dxfId="2" priority="4" operator="lessThan">
      <formula>0</formula>
    </cfRule>
  </conditionalFormatting>
  <conditionalFormatting sqref="H169">
    <cfRule type="cellIs" dxfId="1" priority="3" operator="lessThan">
      <formula>0</formula>
    </cfRule>
  </conditionalFormatting>
  <conditionalFormatting sqref="E15:E16 H15:I16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25" x14ac:dyDescent="0.3"/>
  <cols>
    <col min="1" max="1" width="16.140625" style="1" customWidth="1"/>
    <col min="2" max="2" width="38" bestFit="1" customWidth="1"/>
    <col min="3" max="3" width="24.5703125" customWidth="1"/>
    <col min="4" max="4" width="14.28515625" customWidth="1"/>
    <col min="5" max="5" width="17.7109375" style="2" customWidth="1"/>
    <col min="6" max="6" width="14.140625" style="3" customWidth="1"/>
    <col min="7" max="7" width="23.28515625" customWidth="1"/>
    <col min="8" max="8" width="20.28515625" customWidth="1"/>
    <col min="9" max="9" width="34.7109375" style="4" customWidth="1"/>
    <col min="10" max="10" width="17.85546875" style="4" customWidth="1"/>
    <col min="11" max="11" width="23.5703125" style="5" customWidth="1"/>
    <col min="12" max="12" width="31.28515625" customWidth="1"/>
    <col min="13" max="13" width="12.85546875" customWidth="1"/>
    <col min="14" max="14" width="12.7109375" customWidth="1"/>
  </cols>
  <sheetData>
    <row r="4" spans="1:14" ht="18" thickBot="1" x14ac:dyDescent="0.35"/>
    <row r="5" spans="1:14" ht="33" customHeight="1" thickBot="1" x14ac:dyDescent="0.3">
      <c r="A5" s="143" t="s">
        <v>172</v>
      </c>
      <c r="B5" s="144"/>
      <c r="C5" s="144"/>
      <c r="D5" s="144"/>
      <c r="E5" s="144"/>
      <c r="F5" s="144"/>
      <c r="G5" s="144"/>
      <c r="H5" s="144"/>
      <c r="I5" s="144"/>
      <c r="J5" s="145"/>
      <c r="K5" s="6"/>
    </row>
    <row r="6" spans="1:14" ht="38.25" thickBot="1" x14ac:dyDescent="0.35">
      <c r="A6" s="7" t="s">
        <v>0</v>
      </c>
      <c r="B6" s="8" t="s">
        <v>1</v>
      </c>
      <c r="C6" s="8" t="s">
        <v>2</v>
      </c>
      <c r="D6" s="8" t="s">
        <v>3</v>
      </c>
      <c r="E6" s="9" t="s">
        <v>4</v>
      </c>
      <c r="F6" s="9" t="s">
        <v>4</v>
      </c>
      <c r="G6" s="9" t="s">
        <v>5</v>
      </c>
      <c r="H6" s="9" t="s">
        <v>6</v>
      </c>
      <c r="I6" s="9" t="s">
        <v>7</v>
      </c>
      <c r="J6" s="10"/>
      <c r="K6" s="11" t="s">
        <v>8</v>
      </c>
      <c r="M6" s="65" t="s">
        <v>224</v>
      </c>
      <c r="N6" t="s">
        <v>173</v>
      </c>
    </row>
    <row r="7" spans="1:14" ht="18.75" x14ac:dyDescent="0.3">
      <c r="A7" s="12">
        <v>44893</v>
      </c>
      <c r="B7" s="13" t="s">
        <v>10</v>
      </c>
      <c r="C7" s="13" t="s">
        <v>11</v>
      </c>
      <c r="D7" s="13" t="s">
        <v>9</v>
      </c>
      <c r="E7" s="14">
        <v>5.6970000000001164</v>
      </c>
      <c r="F7" s="15"/>
      <c r="G7" s="16">
        <v>0</v>
      </c>
      <c r="H7" s="16">
        <v>5.6970000000001164</v>
      </c>
      <c r="I7" s="17" t="s">
        <v>12</v>
      </c>
      <c r="J7" s="18"/>
      <c r="K7" s="19">
        <v>473</v>
      </c>
      <c r="M7" t="e">
        <v>#N/A</v>
      </c>
      <c r="N7" t="e">
        <v>#N/A</v>
      </c>
    </row>
    <row r="8" spans="1:14" ht="18.75" x14ac:dyDescent="0.3">
      <c r="A8" s="12">
        <v>44964</v>
      </c>
      <c r="B8" s="13" t="s">
        <v>14</v>
      </c>
      <c r="C8" s="13" t="s">
        <v>11</v>
      </c>
      <c r="D8" s="13" t="s">
        <v>9</v>
      </c>
      <c r="E8" s="14">
        <f t="shared" ref="E8:E15" si="0">H8-G8</f>
        <v>0</v>
      </c>
      <c r="F8" s="15"/>
      <c r="G8" s="16">
        <f>322.189-37.75-166.01-103.19</f>
        <v>15.239000000000033</v>
      </c>
      <c r="H8" s="16">
        <f>322.189-37.75-166.01-103.19</f>
        <v>15.239000000000033</v>
      </c>
      <c r="I8" s="17" t="s">
        <v>15</v>
      </c>
      <c r="J8" s="18"/>
      <c r="K8" s="20">
        <v>435</v>
      </c>
      <c r="M8">
        <v>0</v>
      </c>
      <c r="N8">
        <v>2.8421709430404007E-13</v>
      </c>
    </row>
    <row r="9" spans="1:14" ht="18.75" x14ac:dyDescent="0.3">
      <c r="A9" s="12">
        <v>44992</v>
      </c>
      <c r="B9" s="13" t="s">
        <v>17</v>
      </c>
      <c r="C9" s="13" t="s">
        <v>11</v>
      </c>
      <c r="D9" s="13" t="s">
        <v>9</v>
      </c>
      <c r="E9" s="14">
        <f t="shared" si="0"/>
        <v>753.14100000000008</v>
      </c>
      <c r="F9" s="15"/>
      <c r="G9" s="16">
        <f>80+18+282-9.83</f>
        <v>370.17</v>
      </c>
      <c r="H9" s="16">
        <f>1392.151-69.52-132.92-56.57-9.83</f>
        <v>1123.3110000000001</v>
      </c>
      <c r="I9" s="17" t="s">
        <v>18</v>
      </c>
      <c r="J9" s="18"/>
      <c r="K9" s="20">
        <v>435.07498157175701</v>
      </c>
      <c r="M9">
        <v>353.94100000000003</v>
      </c>
      <c r="N9">
        <v>-32.848999999999933</v>
      </c>
    </row>
    <row r="10" spans="1:14" ht="18.75" x14ac:dyDescent="0.3">
      <c r="A10" s="12">
        <v>45007</v>
      </c>
      <c r="B10" s="13" t="s">
        <v>20</v>
      </c>
      <c r="C10" s="13" t="s">
        <v>11</v>
      </c>
      <c r="D10" s="13" t="s">
        <v>13</v>
      </c>
      <c r="E10" s="14">
        <f t="shared" si="0"/>
        <v>120.46399999999994</v>
      </c>
      <c r="F10" s="15"/>
      <c r="G10" s="16">
        <f>693.44-64.12-25.08-24.21-60.09+88-35.06</f>
        <v>572.87999999999988</v>
      </c>
      <c r="H10" s="16">
        <f>901.904-64.12-25.08-24.21-60.09-35.06</f>
        <v>693.34399999999982</v>
      </c>
      <c r="I10" s="17" t="s">
        <v>21</v>
      </c>
      <c r="J10" s="18"/>
      <c r="K10" s="20">
        <v>455.07895326310899</v>
      </c>
      <c r="M10">
        <v>205.05399999999986</v>
      </c>
      <c r="N10">
        <v>71.653999999999883</v>
      </c>
    </row>
    <row r="11" spans="1:14" ht="18.75" x14ac:dyDescent="0.3">
      <c r="A11" s="12">
        <v>45026</v>
      </c>
      <c r="B11" s="13" t="s">
        <v>22</v>
      </c>
      <c r="C11" s="13" t="s">
        <v>11</v>
      </c>
      <c r="D11" s="13" t="s">
        <v>13</v>
      </c>
      <c r="E11" s="14">
        <f t="shared" si="0"/>
        <v>848.58600000000001</v>
      </c>
      <c r="F11" s="15"/>
      <c r="G11" s="16">
        <v>200</v>
      </c>
      <c r="H11" s="16">
        <v>1048.586</v>
      </c>
      <c r="I11" s="17" t="s">
        <v>21</v>
      </c>
      <c r="J11" s="18"/>
      <c r="K11" s="20">
        <v>455.07995469010302</v>
      </c>
      <c r="M11">
        <v>848.58600000000001</v>
      </c>
      <c r="N11">
        <v>848.58600000000001</v>
      </c>
    </row>
    <row r="12" spans="1:14" ht="18.75" x14ac:dyDescent="0.3">
      <c r="A12" s="21">
        <v>44959</v>
      </c>
      <c r="B12" s="13" t="s">
        <v>174</v>
      </c>
      <c r="C12" s="13" t="s">
        <v>11</v>
      </c>
      <c r="D12" s="13" t="s">
        <v>16</v>
      </c>
      <c r="E12" s="14">
        <f t="shared" si="0"/>
        <v>123.40899999999998</v>
      </c>
      <c r="F12" s="15"/>
      <c r="G12" s="16">
        <f>105-24.84-7.11</f>
        <v>73.05</v>
      </c>
      <c r="H12" s="16">
        <f>228.409-24.84-7.11</f>
        <v>196.45899999999997</v>
      </c>
      <c r="I12" s="17" t="s">
        <v>23</v>
      </c>
      <c r="J12" s="18"/>
      <c r="K12" s="20">
        <v>441.98</v>
      </c>
      <c r="M12">
        <v>1.9309999999998126</v>
      </c>
      <c r="N12">
        <v>-52.34900000000016</v>
      </c>
    </row>
    <row r="13" spans="1:14" ht="18.75" x14ac:dyDescent="0.3">
      <c r="A13" s="21">
        <v>45004</v>
      </c>
      <c r="B13" s="13" t="s">
        <v>24</v>
      </c>
      <c r="C13" s="13" t="s">
        <v>11</v>
      </c>
      <c r="D13" s="13" t="s">
        <v>16</v>
      </c>
      <c r="E13" s="14">
        <f>H13-G13</f>
        <v>43.650999999999968</v>
      </c>
      <c r="F13" s="15"/>
      <c r="G13" s="16">
        <f>115.68-21.77</f>
        <v>93.910000000000011</v>
      </c>
      <c r="H13" s="16">
        <f>159.331-21.77</f>
        <v>137.56099999999998</v>
      </c>
      <c r="I13" s="17" t="s">
        <v>23</v>
      </c>
      <c r="J13" s="18"/>
      <c r="K13" s="20">
        <v>455.07914508269999</v>
      </c>
      <c r="M13">
        <v>117.81099999999992</v>
      </c>
      <c r="N13">
        <v>43.471000000000004</v>
      </c>
    </row>
    <row r="14" spans="1:14" ht="18.75" x14ac:dyDescent="0.3">
      <c r="A14" s="21">
        <v>45061</v>
      </c>
      <c r="B14" s="13" t="s">
        <v>213</v>
      </c>
      <c r="C14" s="13" t="s">
        <v>11</v>
      </c>
      <c r="D14" s="13" t="s">
        <v>16</v>
      </c>
      <c r="E14" s="14">
        <f>H14-G14</f>
        <v>43.650999999999968</v>
      </c>
      <c r="F14" s="15"/>
      <c r="G14" s="16">
        <f>115.68-21.77</f>
        <v>93.910000000000011</v>
      </c>
      <c r="H14" s="16">
        <f>159.331-21.77</f>
        <v>137.56099999999998</v>
      </c>
      <c r="I14" s="17" t="s">
        <v>23</v>
      </c>
      <c r="J14" s="18"/>
      <c r="K14" s="20">
        <v>455.07914508269999</v>
      </c>
      <c r="M14">
        <v>1000.042</v>
      </c>
      <c r="N14">
        <v>1000.0419999999999</v>
      </c>
    </row>
    <row r="15" spans="1:14" ht="18.75" x14ac:dyDescent="0.3">
      <c r="A15" s="21">
        <v>44855</v>
      </c>
      <c r="B15" s="13" t="s">
        <v>25</v>
      </c>
      <c r="C15" s="13" t="s">
        <v>11</v>
      </c>
      <c r="D15" s="13" t="s">
        <v>19</v>
      </c>
      <c r="E15" s="14">
        <f t="shared" si="0"/>
        <v>2.0150000000000001</v>
      </c>
      <c r="F15" s="15"/>
      <c r="G15" s="16">
        <v>0</v>
      </c>
      <c r="H15" s="16">
        <v>2.0150000000000001</v>
      </c>
      <c r="I15" s="17" t="s">
        <v>26</v>
      </c>
      <c r="J15" s="18"/>
      <c r="K15" s="20">
        <v>495</v>
      </c>
      <c r="M15">
        <v>2.055000000000291</v>
      </c>
      <c r="N15">
        <v>1.095000000000141</v>
      </c>
    </row>
    <row r="16" spans="1:14" ht="18.75" x14ac:dyDescent="0.3">
      <c r="A16" s="22"/>
      <c r="B16" s="15" t="s">
        <v>27</v>
      </c>
      <c r="C16" s="15"/>
      <c r="D16" s="15"/>
      <c r="E16" s="23">
        <f>SUBTOTAL(9,E7:E15)</f>
        <v>1940.6140000000003</v>
      </c>
      <c r="F16" s="24">
        <f>E16</f>
        <v>1940.6140000000003</v>
      </c>
      <c r="G16" s="23">
        <f>SUBTOTAL(9,G7:G15)</f>
        <v>1419.1590000000001</v>
      </c>
      <c r="H16" s="23">
        <f>SUBTOTAL(9,H7:H15)</f>
        <v>3359.7730000000001</v>
      </c>
      <c r="I16" s="17"/>
      <c r="J16" s="18"/>
      <c r="K16" s="20"/>
    </row>
    <row r="17" spans="1:14" ht="18.75" x14ac:dyDescent="0.3">
      <c r="A17" s="22"/>
      <c r="B17" s="15"/>
      <c r="C17" s="15"/>
      <c r="D17" s="15"/>
      <c r="E17" s="23"/>
      <c r="F17" s="24"/>
      <c r="G17" s="23"/>
      <c r="H17" s="23"/>
      <c r="I17" s="17"/>
      <c r="J17" s="18"/>
      <c r="K17" s="20"/>
    </row>
    <row r="18" spans="1:14" s="27" customFormat="1" ht="18.75" x14ac:dyDescent="0.3">
      <c r="A18" s="12">
        <v>44893</v>
      </c>
      <c r="B18" s="13" t="s">
        <v>175</v>
      </c>
      <c r="C18" s="14" t="s">
        <v>28</v>
      </c>
      <c r="D18" s="14" t="s">
        <v>9</v>
      </c>
      <c r="E18" s="14">
        <f t="shared" ref="E18:E19" si="1">H18-G18</f>
        <v>528.90800000000002</v>
      </c>
      <c r="F18" s="25"/>
      <c r="G18" s="26">
        <f>20</f>
        <v>20</v>
      </c>
      <c r="H18" s="26">
        <f>565.828-16.92</f>
        <v>548.90800000000002</v>
      </c>
      <c r="I18" s="17" t="s">
        <v>29</v>
      </c>
      <c r="J18" s="18"/>
      <c r="K18" s="20">
        <v>1290</v>
      </c>
      <c r="M18">
        <v>56.535999999999831</v>
      </c>
      <c r="N18">
        <v>36.215999999999951</v>
      </c>
    </row>
    <row r="19" spans="1:14" s="27" customFormat="1" ht="18.75" x14ac:dyDescent="0.3">
      <c r="A19" s="12">
        <v>44893</v>
      </c>
      <c r="B19" s="13" t="s">
        <v>176</v>
      </c>
      <c r="C19" s="14" t="s">
        <v>28</v>
      </c>
      <c r="D19" s="14" t="s">
        <v>9</v>
      </c>
      <c r="E19" s="14">
        <f t="shared" si="1"/>
        <v>528.90800000000002</v>
      </c>
      <c r="F19" s="25"/>
      <c r="G19" s="26">
        <f>20</f>
        <v>20</v>
      </c>
      <c r="H19" s="26">
        <f>565.828-16.92</f>
        <v>548.90800000000002</v>
      </c>
      <c r="I19" s="17" t="s">
        <v>29</v>
      </c>
      <c r="J19" s="18"/>
      <c r="K19" s="20">
        <v>1290</v>
      </c>
      <c r="M19">
        <v>482.28800000000001</v>
      </c>
      <c r="N19">
        <v>482.28800000000001</v>
      </c>
    </row>
    <row r="20" spans="1:14" s="27" customFormat="1" ht="18.75" x14ac:dyDescent="0.3">
      <c r="A20" s="12"/>
      <c r="B20" s="15" t="s">
        <v>27</v>
      </c>
      <c r="C20" s="14"/>
      <c r="D20" s="14"/>
      <c r="E20" s="23">
        <f>SUBTOTAL(9,E19:E19)</f>
        <v>528.90800000000002</v>
      </c>
      <c r="F20" s="24">
        <f>E20</f>
        <v>528.90800000000002</v>
      </c>
      <c r="G20" s="23">
        <f>SUBTOTAL(9,G19:G19)</f>
        <v>20</v>
      </c>
      <c r="H20" s="23">
        <f>SUBTOTAL(9,H19:H19)</f>
        <v>548.90800000000002</v>
      </c>
      <c r="I20" s="17"/>
      <c r="J20" s="18"/>
      <c r="K20" s="20"/>
    </row>
    <row r="21" spans="1:14" ht="18.75" x14ac:dyDescent="0.3">
      <c r="A21" s="22"/>
      <c r="B21" s="15"/>
      <c r="C21" s="15"/>
      <c r="D21" s="15"/>
      <c r="E21" s="15"/>
      <c r="F21" s="24"/>
      <c r="G21" s="23"/>
      <c r="H21" s="23"/>
      <c r="I21" s="17"/>
      <c r="J21" s="18"/>
      <c r="K21" s="20"/>
    </row>
    <row r="22" spans="1:14" ht="18.75" x14ac:dyDescent="0.3">
      <c r="A22" s="21">
        <v>44910</v>
      </c>
      <c r="B22" s="14" t="s">
        <v>30</v>
      </c>
      <c r="C22" s="14" t="s">
        <v>31</v>
      </c>
      <c r="D22" s="14" t="s">
        <v>9</v>
      </c>
      <c r="E22" s="14">
        <f t="shared" ref="E22:E24" si="2">H22-G22</f>
        <v>0</v>
      </c>
      <c r="F22" s="24"/>
      <c r="G22" s="26">
        <v>10.776999999999999</v>
      </c>
      <c r="H22" s="26">
        <v>10.776999999999999</v>
      </c>
      <c r="I22" s="17" t="s">
        <v>32</v>
      </c>
      <c r="J22" s="18"/>
      <c r="K22" s="20">
        <v>680.11914634146342</v>
      </c>
      <c r="M22">
        <v>-10.642999999999972</v>
      </c>
      <c r="N22">
        <v>-0.41299999999995407</v>
      </c>
    </row>
    <row r="23" spans="1:14" ht="18.75" x14ac:dyDescent="0.3">
      <c r="A23" s="21">
        <v>44847</v>
      </c>
      <c r="B23" s="14" t="s">
        <v>33</v>
      </c>
      <c r="C23" s="14" t="s">
        <v>31</v>
      </c>
      <c r="D23" s="14" t="s">
        <v>16</v>
      </c>
      <c r="E23" s="14">
        <f t="shared" si="2"/>
        <v>0</v>
      </c>
      <c r="F23" s="24"/>
      <c r="G23" s="26">
        <v>22.535</v>
      </c>
      <c r="H23" s="26">
        <v>22.535</v>
      </c>
      <c r="I23" s="17" t="s">
        <v>23</v>
      </c>
      <c r="J23" s="18"/>
      <c r="K23" s="20">
        <v>670</v>
      </c>
      <c r="M23">
        <v>23.591000000000065</v>
      </c>
      <c r="N23">
        <v>-0.73900000000003274</v>
      </c>
    </row>
    <row r="24" spans="1:14" ht="18.75" x14ac:dyDescent="0.3">
      <c r="A24" s="21">
        <v>44789</v>
      </c>
      <c r="B24" s="14" t="s">
        <v>34</v>
      </c>
      <c r="C24" s="14" t="s">
        <v>31</v>
      </c>
      <c r="D24" s="14" t="s">
        <v>19</v>
      </c>
      <c r="E24" s="14">
        <f t="shared" si="2"/>
        <v>0</v>
      </c>
      <c r="F24" s="24"/>
      <c r="G24" s="26">
        <v>2.1280000000000001</v>
      </c>
      <c r="H24" s="26">
        <v>2.1280000000000001</v>
      </c>
      <c r="I24" s="17" t="s">
        <v>19</v>
      </c>
      <c r="J24" s="18"/>
      <c r="K24" s="20">
        <v>762</v>
      </c>
      <c r="M24">
        <v>7.32000000000005</v>
      </c>
      <c r="N24">
        <v>0.43000000000006366</v>
      </c>
    </row>
    <row r="25" spans="1:14" ht="18.75" x14ac:dyDescent="0.3">
      <c r="A25" s="22"/>
      <c r="B25" s="15" t="s">
        <v>27</v>
      </c>
      <c r="C25" s="15"/>
      <c r="D25" s="15"/>
      <c r="E25" s="23">
        <f>SUBTOTAL(9,E22:E24)</f>
        <v>0</v>
      </c>
      <c r="F25" s="24">
        <f>E25</f>
        <v>0</v>
      </c>
      <c r="G25" s="23">
        <f>SUBTOTAL(9,G22:G24)</f>
        <v>35.44</v>
      </c>
      <c r="H25" s="23">
        <f>SUBTOTAL(9,H22:H24)</f>
        <v>35.44</v>
      </c>
      <c r="I25" s="17"/>
      <c r="J25" s="18"/>
      <c r="K25" s="20"/>
    </row>
    <row r="26" spans="1:14" ht="18.75" x14ac:dyDescent="0.3">
      <c r="A26" s="22"/>
      <c r="B26" s="28"/>
      <c r="C26" s="28"/>
      <c r="D26" s="28"/>
      <c r="E26" s="29"/>
      <c r="F26" s="29"/>
      <c r="G26" s="29"/>
      <c r="H26" s="30"/>
      <c r="I26" s="17"/>
      <c r="J26" s="18"/>
      <c r="K26" s="20"/>
    </row>
    <row r="27" spans="1:14" ht="18.75" x14ac:dyDescent="0.3">
      <c r="A27" s="21">
        <v>44400</v>
      </c>
      <c r="B27" s="13" t="s">
        <v>177</v>
      </c>
      <c r="C27" s="13" t="s">
        <v>35</v>
      </c>
      <c r="D27" s="13" t="s">
        <v>9</v>
      </c>
      <c r="E27" s="14">
        <f t="shared" ref="E27:E36" si="3">H27-G27</f>
        <v>2.4209999999999994</v>
      </c>
      <c r="F27" s="15"/>
      <c r="G27" s="26">
        <v>0</v>
      </c>
      <c r="H27" s="26">
        <v>2.4209999999999994</v>
      </c>
      <c r="I27" s="17" t="s">
        <v>36</v>
      </c>
      <c r="J27" s="18"/>
      <c r="K27" s="20">
        <v>2225</v>
      </c>
      <c r="M27">
        <v>2.4210000000000491</v>
      </c>
      <c r="N27">
        <v>-2.4440000000000204</v>
      </c>
    </row>
    <row r="28" spans="1:14" ht="18.75" x14ac:dyDescent="0.3">
      <c r="A28" s="21">
        <v>44696</v>
      </c>
      <c r="B28" s="13" t="s">
        <v>37</v>
      </c>
      <c r="C28" s="13" t="s">
        <v>35</v>
      </c>
      <c r="D28" s="13" t="s">
        <v>9</v>
      </c>
      <c r="E28" s="14">
        <f t="shared" si="3"/>
        <v>9.0749999999999993</v>
      </c>
      <c r="F28" s="15"/>
      <c r="G28" s="26">
        <v>0</v>
      </c>
      <c r="H28" s="26">
        <v>9.0749999999999993</v>
      </c>
      <c r="I28" s="17" t="s">
        <v>38</v>
      </c>
      <c r="J28" s="18"/>
      <c r="K28" s="20">
        <v>1710</v>
      </c>
      <c r="M28">
        <v>0</v>
      </c>
      <c r="N28">
        <v>-4.4408920985006262E-15</v>
      </c>
    </row>
    <row r="29" spans="1:14" ht="18.75" x14ac:dyDescent="0.3">
      <c r="A29" s="21">
        <v>44773</v>
      </c>
      <c r="B29" s="13" t="s">
        <v>39</v>
      </c>
      <c r="C29" s="13" t="s">
        <v>35</v>
      </c>
      <c r="D29" s="13" t="s">
        <v>9</v>
      </c>
      <c r="E29" s="14">
        <f t="shared" si="3"/>
        <v>490.36</v>
      </c>
      <c r="F29" s="15"/>
      <c r="G29" s="26">
        <v>0</v>
      </c>
      <c r="H29" s="26">
        <v>490.36</v>
      </c>
      <c r="I29" s="17" t="s">
        <v>40</v>
      </c>
      <c r="J29" s="31" t="s">
        <v>41</v>
      </c>
      <c r="K29" s="20">
        <v>1577</v>
      </c>
      <c r="M29" t="e">
        <v>#N/A</v>
      </c>
      <c r="N29" t="e">
        <v>#N/A</v>
      </c>
    </row>
    <row r="30" spans="1:14" ht="18.75" x14ac:dyDescent="0.3">
      <c r="A30" s="21">
        <v>44843</v>
      </c>
      <c r="B30" s="13" t="s">
        <v>42</v>
      </c>
      <c r="C30" s="13" t="s">
        <v>35</v>
      </c>
      <c r="D30" s="13" t="s">
        <v>9</v>
      </c>
      <c r="E30" s="14">
        <f t="shared" si="3"/>
        <v>0</v>
      </c>
      <c r="F30" s="15"/>
      <c r="G30" s="26">
        <f>171.643-26.12-26.4-20.02</f>
        <v>99.102999999999994</v>
      </c>
      <c r="H30" s="26">
        <f>171.643-26.12-26.4-20.02</f>
        <v>99.102999999999994</v>
      </c>
      <c r="I30" s="17" t="s">
        <v>40</v>
      </c>
      <c r="J30" s="18"/>
      <c r="K30" s="20">
        <v>1332</v>
      </c>
      <c r="M30">
        <v>89.240000000000123</v>
      </c>
      <c r="N30">
        <v>2.0799999999999272</v>
      </c>
    </row>
    <row r="31" spans="1:14" ht="18.75" x14ac:dyDescent="0.3">
      <c r="A31" s="21">
        <v>44884</v>
      </c>
      <c r="B31" s="13" t="s">
        <v>178</v>
      </c>
      <c r="C31" s="13" t="s">
        <v>35</v>
      </c>
      <c r="D31" s="13" t="s">
        <v>9</v>
      </c>
      <c r="E31" s="14">
        <f t="shared" si="3"/>
        <v>705.59799999999996</v>
      </c>
      <c r="F31" s="15"/>
      <c r="G31" s="26">
        <v>0</v>
      </c>
      <c r="H31" s="26">
        <v>705.59799999999996</v>
      </c>
      <c r="I31" s="17" t="s">
        <v>40</v>
      </c>
      <c r="J31" s="18"/>
      <c r="K31" s="20">
        <v>1460</v>
      </c>
      <c r="M31">
        <v>594.01739999999995</v>
      </c>
      <c r="N31">
        <v>-4.9826000000000477</v>
      </c>
    </row>
    <row r="32" spans="1:14" ht="18.75" x14ac:dyDescent="0.3">
      <c r="A32" s="21">
        <v>44884</v>
      </c>
      <c r="B32" s="13" t="s">
        <v>179</v>
      </c>
      <c r="C32" s="13" t="s">
        <v>35</v>
      </c>
      <c r="D32" s="13" t="s">
        <v>9</v>
      </c>
      <c r="E32" s="14">
        <f t="shared" si="3"/>
        <v>705.59799999999996</v>
      </c>
      <c r="F32" s="15"/>
      <c r="G32" s="26">
        <v>0</v>
      </c>
      <c r="H32" s="26">
        <v>705.59799999999996</v>
      </c>
      <c r="I32" s="17" t="s">
        <v>40</v>
      </c>
      <c r="J32" s="18"/>
      <c r="K32" s="20">
        <v>1460</v>
      </c>
      <c r="M32">
        <v>710.5806</v>
      </c>
      <c r="N32">
        <v>628.58059999999989</v>
      </c>
    </row>
    <row r="33" spans="1:14" ht="18.75" x14ac:dyDescent="0.3">
      <c r="A33" s="21">
        <v>44962</v>
      </c>
      <c r="B33" s="13" t="s">
        <v>180</v>
      </c>
      <c r="C33" s="13" t="s">
        <v>35</v>
      </c>
      <c r="D33" s="13" t="s">
        <v>9</v>
      </c>
      <c r="E33" s="14">
        <f t="shared" si="3"/>
        <v>0</v>
      </c>
      <c r="F33" s="15"/>
      <c r="G33" s="26">
        <f>265+33.707</f>
        <v>298.70699999999999</v>
      </c>
      <c r="H33" s="26">
        <v>298.70699999999999</v>
      </c>
      <c r="I33" s="17" t="s">
        <v>40</v>
      </c>
      <c r="J33" s="18"/>
      <c r="K33" s="20">
        <v>1375</v>
      </c>
      <c r="M33">
        <v>298.70699999999999</v>
      </c>
      <c r="N33">
        <v>298.70699999999999</v>
      </c>
    </row>
    <row r="34" spans="1:14" ht="18.75" x14ac:dyDescent="0.3">
      <c r="A34" s="21">
        <v>44971</v>
      </c>
      <c r="B34" s="13" t="s">
        <v>181</v>
      </c>
      <c r="C34" s="13" t="s">
        <v>35</v>
      </c>
      <c r="D34" s="13" t="s">
        <v>9</v>
      </c>
      <c r="E34" s="14">
        <f t="shared" si="3"/>
        <v>0</v>
      </c>
      <c r="F34" s="15"/>
      <c r="G34" s="26">
        <f>369.602-15.26-71.12-28.11</f>
        <v>255.11199999999997</v>
      </c>
      <c r="H34" s="26">
        <f>369.602-15.26-71.12-28.11</f>
        <v>255.11199999999997</v>
      </c>
      <c r="I34" s="17" t="s">
        <v>43</v>
      </c>
      <c r="J34" s="18"/>
      <c r="K34" s="20">
        <v>1366.65</v>
      </c>
      <c r="M34">
        <v>172.87200000000018</v>
      </c>
      <c r="N34">
        <v>-23.277999999999793</v>
      </c>
    </row>
    <row r="35" spans="1:14" ht="18.75" x14ac:dyDescent="0.3">
      <c r="A35" s="21">
        <v>45004</v>
      </c>
      <c r="B35" s="13" t="s">
        <v>44</v>
      </c>
      <c r="C35" s="13" t="s">
        <v>35</v>
      </c>
      <c r="D35" s="13" t="s">
        <v>9</v>
      </c>
      <c r="E35" s="14">
        <f t="shared" si="3"/>
        <v>1772.7069999999999</v>
      </c>
      <c r="F35" s="15"/>
      <c r="G35" s="26">
        <f>27+140+200</f>
        <v>367</v>
      </c>
      <c r="H35" s="26">
        <v>2139.7069999999999</v>
      </c>
      <c r="I35" s="17" t="s">
        <v>45</v>
      </c>
      <c r="J35" s="18"/>
      <c r="K35" s="20">
        <v>780.63691570676497</v>
      </c>
      <c r="M35">
        <v>2132.9670000000001</v>
      </c>
      <c r="N35">
        <v>1494.2669999999998</v>
      </c>
    </row>
    <row r="36" spans="1:14" ht="18.75" x14ac:dyDescent="0.3">
      <c r="A36" s="21">
        <v>45034</v>
      </c>
      <c r="B36" s="13" t="s">
        <v>182</v>
      </c>
      <c r="C36" s="13" t="s">
        <v>35</v>
      </c>
      <c r="D36" s="13" t="s">
        <v>9</v>
      </c>
      <c r="E36" s="14">
        <f t="shared" si="3"/>
        <v>297.28300000000002</v>
      </c>
      <c r="F36" s="15"/>
      <c r="G36" s="26">
        <v>0</v>
      </c>
      <c r="H36" s="26">
        <v>297.28300000000002</v>
      </c>
      <c r="I36" s="17" t="s">
        <v>29</v>
      </c>
      <c r="J36" s="18"/>
      <c r="K36" s="20"/>
      <c r="M36">
        <v>297.28300000000002</v>
      </c>
      <c r="N36">
        <v>297.28300000000002</v>
      </c>
    </row>
    <row r="37" spans="1:14" s="33" customFormat="1" ht="18.75" x14ac:dyDescent="0.3">
      <c r="A37" s="22"/>
      <c r="B37" s="32" t="s">
        <v>27</v>
      </c>
      <c r="C37" s="13"/>
      <c r="D37" s="13"/>
      <c r="E37" s="23">
        <f>SUBTOTAL(9,E27:E36)</f>
        <v>3983.0419999999999</v>
      </c>
      <c r="F37" s="24">
        <f>E37</f>
        <v>3983.0419999999999</v>
      </c>
      <c r="G37" s="23">
        <f>SUBTOTAL(9,G27:G36)</f>
        <v>1019.922</v>
      </c>
      <c r="H37" s="23">
        <f>SUBTOTAL(9,H27:H36)</f>
        <v>5002.9639999999999</v>
      </c>
      <c r="I37" s="17"/>
      <c r="J37" s="18"/>
      <c r="K37" s="20"/>
    </row>
    <row r="38" spans="1:14" ht="18.75" x14ac:dyDescent="0.3">
      <c r="A38" s="22"/>
      <c r="B38" s="32"/>
      <c r="C38" s="13"/>
      <c r="D38" s="13"/>
      <c r="E38" s="15"/>
      <c r="F38" s="15"/>
      <c r="G38" s="15"/>
      <c r="H38" s="34"/>
      <c r="I38" s="17"/>
      <c r="J38" s="18"/>
      <c r="K38" s="20"/>
    </row>
    <row r="39" spans="1:14" ht="18.75" x14ac:dyDescent="0.3">
      <c r="A39" s="21">
        <v>44904</v>
      </c>
      <c r="B39" s="13" t="s">
        <v>183</v>
      </c>
      <c r="C39" s="13" t="s">
        <v>46</v>
      </c>
      <c r="D39" s="13" t="s">
        <v>9</v>
      </c>
      <c r="E39" s="14">
        <f t="shared" ref="E39:E48" si="4">H39-G39</f>
        <v>0</v>
      </c>
      <c r="F39" s="15"/>
      <c r="G39" s="26">
        <v>3.1539999999999999</v>
      </c>
      <c r="H39" s="26">
        <v>3.1539999999999999</v>
      </c>
      <c r="I39" s="17" t="s">
        <v>47</v>
      </c>
      <c r="J39" s="18"/>
      <c r="K39" s="20">
        <v>970.16994580646303</v>
      </c>
      <c r="M39">
        <v>10.041999999999916</v>
      </c>
      <c r="N39">
        <v>10.042000000000144</v>
      </c>
    </row>
    <row r="40" spans="1:14" ht="18.75" x14ac:dyDescent="0.3">
      <c r="A40" s="21">
        <v>44904</v>
      </c>
      <c r="B40" s="13" t="s">
        <v>184</v>
      </c>
      <c r="C40" s="13" t="s">
        <v>46</v>
      </c>
      <c r="D40" s="13" t="s">
        <v>9</v>
      </c>
      <c r="E40" s="14">
        <f t="shared" si="4"/>
        <v>0</v>
      </c>
      <c r="F40" s="15"/>
      <c r="G40" s="26">
        <v>3.1539999999999999</v>
      </c>
      <c r="H40" s="26">
        <v>3.1539999999999999</v>
      </c>
      <c r="I40" s="17" t="s">
        <v>47</v>
      </c>
      <c r="J40" s="18"/>
      <c r="K40" s="20">
        <v>970.16994580646303</v>
      </c>
      <c r="M40">
        <v>3.1559999999999491</v>
      </c>
      <c r="N40">
        <v>3.1559999999994943</v>
      </c>
    </row>
    <row r="41" spans="1:14" ht="18.75" x14ac:dyDescent="0.3">
      <c r="A41" s="21">
        <v>44911</v>
      </c>
      <c r="B41" s="13" t="s">
        <v>48</v>
      </c>
      <c r="C41" s="13" t="s">
        <v>46</v>
      </c>
      <c r="D41" s="13" t="s">
        <v>9</v>
      </c>
      <c r="E41" s="14">
        <f t="shared" si="4"/>
        <v>27.477</v>
      </c>
      <c r="F41" s="15"/>
      <c r="G41" s="26">
        <v>15.52</v>
      </c>
      <c r="H41" s="26">
        <v>42.997</v>
      </c>
      <c r="I41" s="17" t="s">
        <v>29</v>
      </c>
      <c r="J41" s="18"/>
      <c r="K41" s="20">
        <v>920.16353236038913</v>
      </c>
      <c r="M41">
        <v>0.29300000000012005</v>
      </c>
      <c r="N41">
        <v>-1.3799999999999457</v>
      </c>
    </row>
    <row r="42" spans="1:14" ht="18.75" x14ac:dyDescent="0.3">
      <c r="A42" s="21">
        <v>44978</v>
      </c>
      <c r="B42" s="35" t="s">
        <v>185</v>
      </c>
      <c r="C42" s="13" t="s">
        <v>46</v>
      </c>
      <c r="D42" s="13" t="s">
        <v>9</v>
      </c>
      <c r="E42" s="14">
        <f t="shared" si="4"/>
        <v>0</v>
      </c>
      <c r="F42" s="15"/>
      <c r="G42" s="26">
        <f>285.963-27.53-44.66-16.08</f>
        <v>197.69299999999998</v>
      </c>
      <c r="H42" s="26">
        <f>285.963-27.53-44.66-16.08</f>
        <v>197.69299999999998</v>
      </c>
      <c r="I42" s="17" t="s">
        <v>18</v>
      </c>
      <c r="J42" s="18"/>
      <c r="K42" s="20">
        <v>1015.17464507461</v>
      </c>
      <c r="M42">
        <v>33.633000000000493</v>
      </c>
      <c r="N42">
        <v>-50.766999999999825</v>
      </c>
    </row>
    <row r="43" spans="1:14" ht="18.75" x14ac:dyDescent="0.3">
      <c r="A43" s="21">
        <v>45009</v>
      </c>
      <c r="B43" s="35" t="s">
        <v>49</v>
      </c>
      <c r="C43" s="13" t="s">
        <v>46</v>
      </c>
      <c r="D43" s="13" t="s">
        <v>9</v>
      </c>
      <c r="E43" s="14">
        <f t="shared" si="4"/>
        <v>0</v>
      </c>
      <c r="F43" s="15"/>
      <c r="G43" s="26">
        <f>80+51+21+50+20+224+25-107+200+21+22-24.77+25-42.77-39.44-94.18+113.735-38.54-41.69-49.23-22.04-38.76-47.64</f>
        <v>306.6749999999999</v>
      </c>
      <c r="H43" s="26">
        <f>80+51+21+50+20+224+25-107+200+21+22-24.77+25-42.77-39.44-94.18+113.735-38.54-41.69-49.23-22.04-38.76-47.64</f>
        <v>306.6749999999999</v>
      </c>
      <c r="I43" s="17" t="s">
        <v>18</v>
      </c>
      <c r="J43" s="18"/>
      <c r="K43" s="20">
        <v>1030.17871517803</v>
      </c>
      <c r="M43">
        <v>103.99500000000012</v>
      </c>
      <c r="N43">
        <v>-4.1749999999999545</v>
      </c>
    </row>
    <row r="44" spans="1:14" ht="18.75" x14ac:dyDescent="0.3">
      <c r="A44" s="21">
        <v>45034</v>
      </c>
      <c r="B44" s="35" t="s">
        <v>50</v>
      </c>
      <c r="C44" s="13" t="s">
        <v>46</v>
      </c>
      <c r="D44" s="13" t="s">
        <v>9</v>
      </c>
      <c r="E44" s="14">
        <f t="shared" si="4"/>
        <v>248.90699999999998</v>
      </c>
      <c r="F44" s="15"/>
      <c r="G44" s="26">
        <v>65</v>
      </c>
      <c r="H44" s="26">
        <v>313.90699999999998</v>
      </c>
      <c r="I44" s="17" t="s">
        <v>18</v>
      </c>
      <c r="J44" s="18"/>
      <c r="K44" s="20"/>
      <c r="M44">
        <v>134.80699999999999</v>
      </c>
      <c r="N44">
        <v>-318.15299999999996</v>
      </c>
    </row>
    <row r="45" spans="1:14" ht="18.75" x14ac:dyDescent="0.3">
      <c r="A45" s="21">
        <v>45060</v>
      </c>
      <c r="B45" s="35" t="s">
        <v>214</v>
      </c>
      <c r="C45" s="13" t="s">
        <v>46</v>
      </c>
      <c r="D45" s="13" t="s">
        <v>9</v>
      </c>
      <c r="E45" s="14">
        <f t="shared" si="4"/>
        <v>248.90699999999998</v>
      </c>
      <c r="F45" s="15"/>
      <c r="G45" s="26">
        <v>65</v>
      </c>
      <c r="H45" s="26">
        <v>313.90699999999998</v>
      </c>
      <c r="I45" s="17" t="s">
        <v>223</v>
      </c>
      <c r="J45" s="18"/>
      <c r="K45" s="20"/>
      <c r="M45">
        <v>999.16300000000001</v>
      </c>
      <c r="N45">
        <v>999.16300000000001</v>
      </c>
    </row>
    <row r="46" spans="1:14" ht="18.75" x14ac:dyDescent="0.3">
      <c r="A46" s="21">
        <v>44941</v>
      </c>
      <c r="B46" s="13" t="s">
        <v>51</v>
      </c>
      <c r="C46" s="13" t="s">
        <v>46</v>
      </c>
      <c r="D46" s="13" t="s">
        <v>19</v>
      </c>
      <c r="E46" s="14">
        <f t="shared" si="4"/>
        <v>0</v>
      </c>
      <c r="F46" s="15"/>
      <c r="G46" s="26">
        <v>19.75</v>
      </c>
      <c r="H46" s="26">
        <v>19.75</v>
      </c>
      <c r="I46" s="17" t="s">
        <v>26</v>
      </c>
      <c r="J46" s="18"/>
      <c r="K46" s="20">
        <v>974.57917791423142</v>
      </c>
      <c r="M46">
        <v>0</v>
      </c>
      <c r="N46">
        <v>4.5474735088646412E-13</v>
      </c>
    </row>
    <row r="47" spans="1:14" ht="18.75" x14ac:dyDescent="0.3">
      <c r="A47" s="21">
        <v>45004</v>
      </c>
      <c r="B47" s="13" t="s">
        <v>52</v>
      </c>
      <c r="C47" s="13" t="s">
        <v>46</v>
      </c>
      <c r="D47" s="13" t="s">
        <v>19</v>
      </c>
      <c r="E47" s="36">
        <f t="shared" si="4"/>
        <v>-114.53300000000002</v>
      </c>
      <c r="F47" s="15"/>
      <c r="G47" s="26">
        <f>341+15+25-14.94+30</f>
        <v>396.06</v>
      </c>
      <c r="H47" s="26">
        <f>296.467-14.94</f>
        <v>281.52699999999999</v>
      </c>
      <c r="I47" s="17" t="s">
        <v>26</v>
      </c>
      <c r="J47" s="18"/>
      <c r="K47" s="20">
        <v>1030.17914864454</v>
      </c>
      <c r="M47">
        <v>4.7170000000000982</v>
      </c>
      <c r="N47">
        <v>-101.21999999999986</v>
      </c>
    </row>
    <row r="48" spans="1:14" ht="18.75" x14ac:dyDescent="0.3">
      <c r="A48" s="21">
        <v>45055</v>
      </c>
      <c r="B48" s="13" t="s">
        <v>215</v>
      </c>
      <c r="C48" s="13" t="s">
        <v>46</v>
      </c>
      <c r="D48" s="13" t="s">
        <v>19</v>
      </c>
      <c r="E48" s="36">
        <f t="shared" si="4"/>
        <v>-114.53300000000002</v>
      </c>
      <c r="F48" s="15"/>
      <c r="G48" s="26">
        <f>341+15+25-14.94+30</f>
        <v>396.06</v>
      </c>
      <c r="H48" s="26">
        <f>296.467-14.94</f>
        <v>281.52699999999999</v>
      </c>
      <c r="I48" s="17" t="s">
        <v>26</v>
      </c>
      <c r="J48" s="18"/>
      <c r="K48" s="20">
        <v>1030.17914864454</v>
      </c>
      <c r="M48">
        <v>977.11</v>
      </c>
      <c r="N48">
        <v>945.40699999999993</v>
      </c>
    </row>
    <row r="49" spans="1:14" ht="20.25" customHeight="1" x14ac:dyDescent="0.3">
      <c r="A49" s="22"/>
      <c r="B49" s="32" t="s">
        <v>27</v>
      </c>
      <c r="C49" s="13"/>
      <c r="D49" s="13"/>
      <c r="E49" s="23">
        <f>SUBTOTAL(9,E39:E48)</f>
        <v>296.22499999999991</v>
      </c>
      <c r="F49" s="24">
        <f>E49</f>
        <v>296.22499999999991</v>
      </c>
      <c r="G49" s="23">
        <f>SUBTOTAL(9,G39:G48)</f>
        <v>1468.0659999999998</v>
      </c>
      <c r="H49" s="23">
        <f>SUBTOTAL(9,H39:H48)</f>
        <v>1764.2909999999999</v>
      </c>
      <c r="I49" s="17"/>
      <c r="J49" s="18"/>
      <c r="K49" s="20"/>
    </row>
    <row r="50" spans="1:14" ht="18.75" x14ac:dyDescent="0.3">
      <c r="A50" s="22"/>
      <c r="B50" s="32"/>
      <c r="C50" s="13"/>
      <c r="D50" s="13"/>
      <c r="E50" s="15"/>
      <c r="F50" s="24"/>
      <c r="G50" s="23"/>
      <c r="H50" s="23"/>
      <c r="I50" s="17"/>
      <c r="J50" s="18"/>
      <c r="K50" s="20"/>
    </row>
    <row r="51" spans="1:14" ht="18.75" x14ac:dyDescent="0.3">
      <c r="A51" s="21">
        <v>44839</v>
      </c>
      <c r="B51" s="13" t="s">
        <v>186</v>
      </c>
      <c r="C51" s="13" t="s">
        <v>53</v>
      </c>
      <c r="D51" s="13" t="s">
        <v>9</v>
      </c>
      <c r="E51" s="14">
        <f t="shared" ref="E51:E56" si="5">H51-G51</f>
        <v>4.3049999999999997</v>
      </c>
      <c r="F51" s="24"/>
      <c r="G51" s="26">
        <v>0</v>
      </c>
      <c r="H51" s="26">
        <v>4.3049999999999997</v>
      </c>
      <c r="I51" s="17" t="s">
        <v>47</v>
      </c>
      <c r="J51" s="18"/>
      <c r="K51" s="20">
        <v>851.14810627318195</v>
      </c>
      <c r="M51">
        <v>4.305000000000291</v>
      </c>
      <c r="N51">
        <v>-17.374999999999091</v>
      </c>
    </row>
    <row r="52" spans="1:14" ht="18.75" x14ac:dyDescent="0.3">
      <c r="A52" s="21">
        <v>44978</v>
      </c>
      <c r="B52" s="35" t="s">
        <v>187</v>
      </c>
      <c r="C52" s="13" t="s">
        <v>53</v>
      </c>
      <c r="D52" s="13" t="s">
        <v>9</v>
      </c>
      <c r="E52" s="14">
        <f t="shared" si="5"/>
        <v>667.32299999999998</v>
      </c>
      <c r="F52" s="24"/>
      <c r="G52" s="26">
        <f>71+44-16.86+51-51.07-51.38</f>
        <v>46.689999999999991</v>
      </c>
      <c r="H52" s="26">
        <f>833.323-16.86-51.07-51.38</f>
        <v>714.01299999999992</v>
      </c>
      <c r="I52" s="17" t="s">
        <v>29</v>
      </c>
      <c r="J52" s="18"/>
      <c r="K52" s="20">
        <v>1000.1720589981708</v>
      </c>
      <c r="M52">
        <v>648.23300000000017</v>
      </c>
      <c r="N52">
        <v>464.23300000000063</v>
      </c>
    </row>
    <row r="53" spans="1:14" ht="18.75" x14ac:dyDescent="0.3">
      <c r="A53" s="21">
        <v>45009</v>
      </c>
      <c r="B53" s="35" t="s">
        <v>188</v>
      </c>
      <c r="C53" s="13" t="s">
        <v>53</v>
      </c>
      <c r="D53" s="13" t="s">
        <v>9</v>
      </c>
      <c r="E53" s="14">
        <f t="shared" si="5"/>
        <v>1066.547</v>
      </c>
      <c r="F53" s="24"/>
      <c r="G53" s="26">
        <v>500</v>
      </c>
      <c r="H53" s="26">
        <v>1566.547</v>
      </c>
      <c r="I53" s="17" t="s">
        <v>54</v>
      </c>
      <c r="J53" s="18"/>
      <c r="K53" s="20">
        <v>1030.1787151780288</v>
      </c>
      <c r="M53">
        <v>1566.547</v>
      </c>
      <c r="N53">
        <v>1566.547</v>
      </c>
    </row>
    <row r="54" spans="1:14" ht="18.75" x14ac:dyDescent="0.3">
      <c r="A54" s="21">
        <v>45034</v>
      </c>
      <c r="B54" s="13" t="s">
        <v>55</v>
      </c>
      <c r="C54" s="13" t="s">
        <v>53</v>
      </c>
      <c r="D54" s="13" t="s">
        <v>9</v>
      </c>
      <c r="E54" s="14">
        <f t="shared" si="5"/>
        <v>731.40499999999997</v>
      </c>
      <c r="F54" s="24"/>
      <c r="G54" s="26">
        <v>0</v>
      </c>
      <c r="H54" s="26">
        <v>731.40499999999997</v>
      </c>
      <c r="I54" s="17" t="s">
        <v>54</v>
      </c>
      <c r="J54" s="18"/>
      <c r="K54" s="20"/>
      <c r="M54">
        <v>731.40499999999997</v>
      </c>
      <c r="N54">
        <v>731.40499999999997</v>
      </c>
    </row>
    <row r="55" spans="1:14" ht="18.75" x14ac:dyDescent="0.3">
      <c r="A55" s="21">
        <v>45021</v>
      </c>
      <c r="B55" s="35" t="s">
        <v>56</v>
      </c>
      <c r="C55" s="13" t="s">
        <v>53</v>
      </c>
      <c r="D55" s="13" t="s">
        <v>13</v>
      </c>
      <c r="E55" s="14">
        <f t="shared" si="5"/>
        <v>0</v>
      </c>
      <c r="F55" s="24"/>
      <c r="G55" s="26">
        <f>504.115-22.96-45.89-22.96-8.19</f>
        <v>404.11500000000007</v>
      </c>
      <c r="H55" s="26">
        <f>504.115-22.96-45.89-22.96-8.19</f>
        <v>404.11500000000007</v>
      </c>
      <c r="I55" s="17" t="s">
        <v>13</v>
      </c>
      <c r="J55" s="18"/>
      <c r="K55" s="20"/>
      <c r="M55">
        <v>236.86500000000001</v>
      </c>
      <c r="N55">
        <v>0.43</v>
      </c>
    </row>
    <row r="56" spans="1:14" ht="18.75" x14ac:dyDescent="0.3">
      <c r="A56" s="21">
        <v>45029</v>
      </c>
      <c r="B56" s="13" t="s">
        <v>57</v>
      </c>
      <c r="C56" s="13" t="s">
        <v>53</v>
      </c>
      <c r="D56" s="13" t="s">
        <v>16</v>
      </c>
      <c r="E56" s="14">
        <f t="shared" si="5"/>
        <v>1097.454</v>
      </c>
      <c r="F56" s="24"/>
      <c r="G56" s="26">
        <f>57+10-16.04+10+30+25-29.04+53.5-18.47</f>
        <v>121.95000000000002</v>
      </c>
      <c r="H56" s="26">
        <f>1282.954-16.04-29.04-18.47</f>
        <v>1219.404</v>
      </c>
      <c r="I56" s="17" t="s">
        <v>23</v>
      </c>
      <c r="J56" s="18"/>
      <c r="K56" s="20">
        <v>971.25</v>
      </c>
      <c r="M56">
        <v>940.33400000000006</v>
      </c>
      <c r="N56">
        <v>785.67399999999998</v>
      </c>
    </row>
    <row r="57" spans="1:14" ht="18.75" x14ac:dyDescent="0.3">
      <c r="A57" s="22"/>
      <c r="B57" s="32" t="s">
        <v>27</v>
      </c>
      <c r="C57" s="13"/>
      <c r="D57" s="13"/>
      <c r="E57" s="23">
        <f>SUBTOTAL(9,E51:E56)</f>
        <v>3567.0339999999997</v>
      </c>
      <c r="F57" s="24">
        <f>E57</f>
        <v>3567.0339999999997</v>
      </c>
      <c r="G57" s="23">
        <f>SUBTOTAL(9,G51:G56)</f>
        <v>1072.7550000000001</v>
      </c>
      <c r="H57" s="23">
        <f>SUBTOTAL(9,H51:H56)</f>
        <v>4639.7889999999998</v>
      </c>
      <c r="I57" s="17"/>
      <c r="J57" s="18"/>
      <c r="K57" s="20"/>
    </row>
    <row r="58" spans="1:14" ht="18.75" x14ac:dyDescent="0.3">
      <c r="A58" s="22"/>
      <c r="B58" s="32"/>
      <c r="C58" s="13"/>
      <c r="D58" s="13"/>
      <c r="E58" s="15"/>
      <c r="F58" s="24"/>
      <c r="G58" s="23"/>
      <c r="H58" s="23"/>
      <c r="I58" s="17"/>
      <c r="J58" s="18"/>
      <c r="K58" s="20"/>
    </row>
    <row r="59" spans="1:14" ht="18.75" x14ac:dyDescent="0.3">
      <c r="A59" s="21">
        <v>44949</v>
      </c>
      <c r="B59" s="13" t="s">
        <v>189</v>
      </c>
      <c r="C59" s="13" t="s">
        <v>58</v>
      </c>
      <c r="D59" s="13" t="s">
        <v>9</v>
      </c>
      <c r="E59" s="14">
        <f t="shared" ref="E59:E64" si="6">H59-G59</f>
        <v>24.122</v>
      </c>
      <c r="F59" s="37"/>
      <c r="G59" s="26">
        <v>0</v>
      </c>
      <c r="H59" s="26">
        <f>53.042-28.92</f>
        <v>24.122</v>
      </c>
      <c r="I59" s="17" t="s">
        <v>40</v>
      </c>
      <c r="J59" s="18"/>
      <c r="K59" s="20">
        <v>825</v>
      </c>
      <c r="M59">
        <v>24.111999999999995</v>
      </c>
      <c r="N59">
        <v>24.111999999999995</v>
      </c>
    </row>
    <row r="60" spans="1:14" ht="18.75" x14ac:dyDescent="0.3">
      <c r="A60" s="21">
        <v>45004</v>
      </c>
      <c r="B60" s="13" t="s">
        <v>59</v>
      </c>
      <c r="C60" s="13" t="s">
        <v>58</v>
      </c>
      <c r="D60" s="13" t="s">
        <v>9</v>
      </c>
      <c r="E60" s="14">
        <f t="shared" si="6"/>
        <v>423.30700000000002</v>
      </c>
      <c r="F60" s="37"/>
      <c r="G60" s="26">
        <f>50-29.92-20.08</f>
        <v>0</v>
      </c>
      <c r="H60" s="26">
        <f>473.307-29.92-20.08</f>
        <v>423.30700000000002</v>
      </c>
      <c r="I60" s="17" t="s">
        <v>40</v>
      </c>
      <c r="J60" s="18"/>
      <c r="K60" s="20">
        <v>855</v>
      </c>
      <c r="M60">
        <v>423.30700000000002</v>
      </c>
      <c r="N60">
        <v>423.30700000000002</v>
      </c>
    </row>
    <row r="61" spans="1:14" ht="18.75" x14ac:dyDescent="0.3">
      <c r="A61" s="21">
        <v>45060</v>
      </c>
      <c r="B61" s="13" t="s">
        <v>220</v>
      </c>
      <c r="C61" s="13" t="s">
        <v>58</v>
      </c>
      <c r="D61" s="13" t="s">
        <v>9</v>
      </c>
      <c r="E61" s="14">
        <f t="shared" si="6"/>
        <v>423.30700000000002</v>
      </c>
      <c r="F61" s="37"/>
      <c r="G61" s="26">
        <f>50-29.92-20.08</f>
        <v>0</v>
      </c>
      <c r="H61" s="26">
        <f>473.307-29.92-20.08</f>
        <v>423.30700000000002</v>
      </c>
      <c r="I61" s="17" t="s">
        <v>47</v>
      </c>
      <c r="J61" s="18"/>
      <c r="K61" s="20">
        <v>855</v>
      </c>
      <c r="M61">
        <v>223.541</v>
      </c>
      <c r="N61">
        <v>223.541</v>
      </c>
    </row>
    <row r="62" spans="1:14" s="62" customFormat="1" ht="18.75" x14ac:dyDescent="0.3">
      <c r="A62" s="55"/>
      <c r="B62" s="40" t="s">
        <v>60</v>
      </c>
      <c r="C62" s="40" t="s">
        <v>58</v>
      </c>
      <c r="D62" s="40" t="s">
        <v>9</v>
      </c>
      <c r="E62" s="56">
        <f t="shared" si="6"/>
        <v>117.62</v>
      </c>
      <c r="F62" s="57"/>
      <c r="G62" s="58">
        <v>0</v>
      </c>
      <c r="H62" s="58">
        <v>117.62</v>
      </c>
      <c r="I62" s="59" t="s">
        <v>40</v>
      </c>
      <c r="J62" s="60"/>
      <c r="K62" s="61"/>
      <c r="M62" s="62" t="e">
        <v>#N/A</v>
      </c>
      <c r="N62" s="62" t="e">
        <v>#N/A</v>
      </c>
    </row>
    <row r="63" spans="1:14" ht="18.75" x14ac:dyDescent="0.3">
      <c r="A63" s="21">
        <v>45006</v>
      </c>
      <c r="B63" s="13" t="s">
        <v>61</v>
      </c>
      <c r="C63" s="13" t="s">
        <v>58</v>
      </c>
      <c r="D63" s="13" t="s">
        <v>13</v>
      </c>
      <c r="E63" s="14">
        <f t="shared" si="6"/>
        <v>141.67000000000002</v>
      </c>
      <c r="F63" s="37"/>
      <c r="G63" s="26">
        <f>25+20+24.5-17.691-1.489</f>
        <v>50.32</v>
      </c>
      <c r="H63" s="26">
        <f>236.961-4.19-23.09-17.691</f>
        <v>191.99</v>
      </c>
      <c r="I63" s="17" t="s">
        <v>21</v>
      </c>
      <c r="J63" s="18"/>
      <c r="K63" s="20">
        <v>925.00001999999995</v>
      </c>
      <c r="M63">
        <v>123.47000000000003</v>
      </c>
      <c r="N63">
        <v>55.470000000000027</v>
      </c>
    </row>
    <row r="64" spans="1:14" ht="18.75" x14ac:dyDescent="0.3">
      <c r="A64" s="21">
        <v>45052</v>
      </c>
      <c r="B64" s="13" t="s">
        <v>219</v>
      </c>
      <c r="C64" s="13" t="s">
        <v>58</v>
      </c>
      <c r="D64" s="13" t="s">
        <v>13</v>
      </c>
      <c r="E64" s="14">
        <f t="shared" si="6"/>
        <v>141.67000000000002</v>
      </c>
      <c r="F64" s="37"/>
      <c r="G64" s="26">
        <f>25+20+24.5-17.691-1.489</f>
        <v>50.32</v>
      </c>
      <c r="H64" s="26">
        <f>236.961-4.19-23.09-17.691</f>
        <v>191.99</v>
      </c>
      <c r="I64" s="17" t="s">
        <v>21</v>
      </c>
      <c r="J64" s="18"/>
      <c r="K64" s="20">
        <v>925.00001999999995</v>
      </c>
      <c r="M64">
        <v>286.29899999999998</v>
      </c>
      <c r="N64">
        <v>286.29899999999998</v>
      </c>
    </row>
    <row r="65" spans="1:14" ht="18.75" x14ac:dyDescent="0.3">
      <c r="A65" s="22"/>
      <c r="B65" s="32" t="s">
        <v>27</v>
      </c>
      <c r="C65" s="13"/>
      <c r="D65" s="13"/>
      <c r="E65" s="23">
        <f>SUBTOTAL(9,E59:E64)</f>
        <v>1271.6960000000001</v>
      </c>
      <c r="F65" s="24">
        <f>E65</f>
        <v>1271.6960000000001</v>
      </c>
      <c r="G65" s="23">
        <f>SUBTOTAL(9,G59:G64)</f>
        <v>100.64</v>
      </c>
      <c r="H65" s="23">
        <f>SUBTOTAL(9,H59:H64)</f>
        <v>1372.336</v>
      </c>
      <c r="I65" s="17"/>
      <c r="J65" s="18"/>
      <c r="K65" s="20"/>
    </row>
    <row r="66" spans="1:14" ht="18.75" x14ac:dyDescent="0.3">
      <c r="A66" s="22"/>
      <c r="B66" s="32"/>
      <c r="C66" s="13"/>
      <c r="D66" s="13"/>
      <c r="E66" s="15"/>
      <c r="F66" s="24"/>
      <c r="G66" s="15"/>
      <c r="H66" s="15"/>
      <c r="I66" s="17"/>
      <c r="J66" s="18"/>
      <c r="K66" s="20"/>
    </row>
    <row r="67" spans="1:14" ht="18.75" x14ac:dyDescent="0.3">
      <c r="A67" s="21">
        <v>44826</v>
      </c>
      <c r="B67" s="13" t="s">
        <v>62</v>
      </c>
      <c r="C67" s="13" t="s">
        <v>63</v>
      </c>
      <c r="D67" s="13" t="s">
        <v>9</v>
      </c>
      <c r="E67" s="14">
        <f>H67-G67</f>
        <v>116.05500000000001</v>
      </c>
      <c r="F67" s="24"/>
      <c r="G67" s="26">
        <v>18</v>
      </c>
      <c r="H67" s="26">
        <v>134.05500000000001</v>
      </c>
      <c r="I67" s="17" t="s">
        <v>29</v>
      </c>
      <c r="J67" s="18"/>
      <c r="K67" s="20">
        <v>1100.9074566164593</v>
      </c>
      <c r="M67">
        <v>116.29499999999996</v>
      </c>
      <c r="N67">
        <v>-83.705000000000041</v>
      </c>
    </row>
    <row r="68" spans="1:14" ht="18.75" x14ac:dyDescent="0.3">
      <c r="A68" s="21">
        <v>45004</v>
      </c>
      <c r="B68" s="13" t="s">
        <v>64</v>
      </c>
      <c r="C68" s="13" t="s">
        <v>63</v>
      </c>
      <c r="D68" s="13" t="s">
        <v>9</v>
      </c>
      <c r="E68" s="14">
        <f>H68-G68</f>
        <v>507.40800000000002</v>
      </c>
      <c r="F68" s="24"/>
      <c r="G68" s="26">
        <v>0</v>
      </c>
      <c r="H68" s="26">
        <v>507.40800000000002</v>
      </c>
      <c r="I68" s="17" t="s">
        <v>29</v>
      </c>
      <c r="J68" s="18"/>
      <c r="K68" s="20">
        <v>780.63691570676497</v>
      </c>
      <c r="M68">
        <v>507.40800000000002</v>
      </c>
      <c r="N68">
        <v>507.40800000000002</v>
      </c>
    </row>
    <row r="69" spans="1:14" ht="18.75" x14ac:dyDescent="0.3">
      <c r="A69" s="21"/>
      <c r="B69" s="32" t="s">
        <v>27</v>
      </c>
      <c r="C69" s="13"/>
      <c r="D69" s="13"/>
      <c r="E69" s="23">
        <f>SUBTOTAL(9,E67:E68)</f>
        <v>623.46299999999997</v>
      </c>
      <c r="F69" s="24">
        <f>E69</f>
        <v>623.46299999999997</v>
      </c>
      <c r="G69" s="23">
        <f>SUBTOTAL(9,G67:G68)</f>
        <v>18</v>
      </c>
      <c r="H69" s="23">
        <f>SUBTOTAL(9,H67:H68)</f>
        <v>641.46299999999997</v>
      </c>
      <c r="I69" s="17"/>
      <c r="J69" s="18"/>
      <c r="K69" s="20"/>
    </row>
    <row r="70" spans="1:14" ht="18.75" x14ac:dyDescent="0.3">
      <c r="A70" s="21"/>
      <c r="B70" s="13"/>
      <c r="C70" s="13"/>
      <c r="D70" s="13"/>
      <c r="E70" s="14"/>
      <c r="F70" s="24"/>
      <c r="G70" s="26"/>
      <c r="H70" s="26"/>
      <c r="I70" s="17"/>
      <c r="J70" s="18"/>
      <c r="K70" s="20"/>
    </row>
    <row r="71" spans="1:14" ht="18.75" x14ac:dyDescent="0.3">
      <c r="A71" s="21">
        <v>44869</v>
      </c>
      <c r="B71" s="13" t="s">
        <v>190</v>
      </c>
      <c r="C71" s="13" t="s">
        <v>65</v>
      </c>
      <c r="D71" s="13" t="s">
        <v>9</v>
      </c>
      <c r="E71" s="14">
        <f>H71-G71</f>
        <v>7.6079999999999997</v>
      </c>
      <c r="F71" s="24"/>
      <c r="G71" s="26">
        <v>0</v>
      </c>
      <c r="H71" s="26">
        <v>7.6079999999999997</v>
      </c>
      <c r="I71" s="17" t="s">
        <v>47</v>
      </c>
      <c r="J71" s="18"/>
      <c r="K71" s="20">
        <v>1180</v>
      </c>
      <c r="M71">
        <v>7.6079999999998336</v>
      </c>
      <c r="N71">
        <v>-0.44200000000000728</v>
      </c>
    </row>
    <row r="72" spans="1:14" ht="18.75" x14ac:dyDescent="0.3">
      <c r="A72" s="21"/>
      <c r="B72" s="32" t="s">
        <v>27</v>
      </c>
      <c r="C72" s="13"/>
      <c r="D72" s="13"/>
      <c r="E72" s="23">
        <f>SUBTOTAL(9,E71:E71)</f>
        <v>7.6079999999999997</v>
      </c>
      <c r="F72" s="24">
        <f>E72</f>
        <v>7.6079999999999997</v>
      </c>
      <c r="G72" s="23">
        <f>SUBTOTAL(9,G71:G71)</f>
        <v>0</v>
      </c>
      <c r="H72" s="23">
        <f>SUBTOTAL(9,H71:H71)</f>
        <v>7.6079999999999997</v>
      </c>
      <c r="I72" s="17"/>
      <c r="J72" s="18"/>
      <c r="K72" s="20"/>
    </row>
    <row r="73" spans="1:14" ht="18.75" x14ac:dyDescent="0.3">
      <c r="A73" s="22"/>
      <c r="B73" s="32"/>
      <c r="C73" s="13"/>
      <c r="D73" s="13"/>
      <c r="E73" s="15"/>
      <c r="F73" s="15"/>
      <c r="G73" s="15"/>
      <c r="H73" s="34"/>
      <c r="I73" s="17"/>
      <c r="J73" s="18"/>
      <c r="K73" s="20"/>
    </row>
    <row r="74" spans="1:14" ht="18.75" x14ac:dyDescent="0.3">
      <c r="A74" s="21">
        <v>44700</v>
      </c>
      <c r="B74" s="13" t="s">
        <v>66</v>
      </c>
      <c r="C74" s="13" t="s">
        <v>67</v>
      </c>
      <c r="D74" s="13" t="s">
        <v>9</v>
      </c>
      <c r="E74" s="14">
        <f t="shared" ref="E74:E82" si="7">H74-G74</f>
        <v>19.937000000000005</v>
      </c>
      <c r="F74" s="24"/>
      <c r="G74" s="26">
        <v>0</v>
      </c>
      <c r="H74" s="26">
        <f>79.757-24.54-25.7-9.58</f>
        <v>19.937000000000005</v>
      </c>
      <c r="I74" s="17" t="s">
        <v>29</v>
      </c>
      <c r="J74" s="18"/>
      <c r="K74" s="20">
        <v>2200</v>
      </c>
      <c r="M74">
        <v>19.936999999999443</v>
      </c>
      <c r="N74">
        <v>21.132000000000289</v>
      </c>
    </row>
    <row r="75" spans="1:14" s="62" customFormat="1" ht="18.75" x14ac:dyDescent="0.3">
      <c r="A75" s="55">
        <v>44705</v>
      </c>
      <c r="B75" s="40" t="s">
        <v>68</v>
      </c>
      <c r="C75" s="40" t="s">
        <v>67</v>
      </c>
      <c r="D75" s="40" t="s">
        <v>9</v>
      </c>
      <c r="E75" s="56">
        <f t="shared" si="7"/>
        <v>6.3780000000000001</v>
      </c>
      <c r="F75" s="63"/>
      <c r="G75" s="58">
        <v>0</v>
      </c>
      <c r="H75" s="58">
        <v>6.3780000000000001</v>
      </c>
      <c r="I75" s="59" t="s">
        <v>47</v>
      </c>
      <c r="J75" s="60"/>
      <c r="K75" s="61">
        <v>2300.400559704723</v>
      </c>
      <c r="M75" s="62" t="e">
        <v>#N/A</v>
      </c>
      <c r="N75" s="62" t="e">
        <v>#N/A</v>
      </c>
    </row>
    <row r="76" spans="1:14" ht="18.75" x14ac:dyDescent="0.3">
      <c r="A76" s="21">
        <v>44725</v>
      </c>
      <c r="B76" s="13" t="s">
        <v>69</v>
      </c>
      <c r="C76" s="13" t="s">
        <v>67</v>
      </c>
      <c r="D76" s="13" t="s">
        <v>9</v>
      </c>
      <c r="E76" s="14">
        <f t="shared" si="7"/>
        <v>314.18400000000003</v>
      </c>
      <c r="F76" s="24"/>
      <c r="G76" s="26">
        <f>30+21-24.58</f>
        <v>26.42</v>
      </c>
      <c r="H76" s="26">
        <f>375.204-10.02-24.58</f>
        <v>340.60400000000004</v>
      </c>
      <c r="I76" s="17" t="s">
        <v>70</v>
      </c>
      <c r="J76" s="18"/>
      <c r="K76" s="20">
        <v>2220.3866229603536</v>
      </c>
      <c r="M76">
        <v>200.44400000000007</v>
      </c>
      <c r="N76">
        <v>-40.315999999999917</v>
      </c>
    </row>
    <row r="77" spans="1:14" ht="18.75" x14ac:dyDescent="0.3">
      <c r="A77" s="21">
        <v>44736</v>
      </c>
      <c r="B77" s="13" t="s">
        <v>71</v>
      </c>
      <c r="C77" s="13" t="s">
        <v>67</v>
      </c>
      <c r="D77" s="13" t="s">
        <v>9</v>
      </c>
      <c r="E77" s="14">
        <f t="shared" si="7"/>
        <v>317.57000000000005</v>
      </c>
      <c r="F77" s="24"/>
      <c r="G77" s="26">
        <f>158.78-30.7</f>
        <v>128.08000000000001</v>
      </c>
      <c r="H77" s="26">
        <f>476.35-30.7</f>
        <v>445.65000000000003</v>
      </c>
      <c r="I77" s="17" t="s">
        <v>29</v>
      </c>
      <c r="J77" s="18"/>
      <c r="K77" s="20">
        <v>2351.9034198930826</v>
      </c>
      <c r="M77">
        <v>398.43000000000006</v>
      </c>
      <c r="N77">
        <v>241.90999999999997</v>
      </c>
    </row>
    <row r="78" spans="1:14" ht="18.75" x14ac:dyDescent="0.3">
      <c r="A78" s="21">
        <v>44747</v>
      </c>
      <c r="B78" s="13" t="s">
        <v>72</v>
      </c>
      <c r="C78" s="13" t="s">
        <v>67</v>
      </c>
      <c r="D78" s="13" t="s">
        <v>9</v>
      </c>
      <c r="E78" s="14">
        <f t="shared" si="7"/>
        <v>98.27000000000001</v>
      </c>
      <c r="F78" s="24"/>
      <c r="G78" s="26">
        <v>0</v>
      </c>
      <c r="H78" s="26">
        <f>127.95-29.68</f>
        <v>98.27000000000001</v>
      </c>
      <c r="I78" s="17" t="s">
        <v>29</v>
      </c>
      <c r="J78" s="18"/>
      <c r="K78" s="20">
        <v>2056.6737332548364</v>
      </c>
      <c r="M78">
        <v>48.429999999999893</v>
      </c>
      <c r="N78">
        <v>38.329999999999927</v>
      </c>
    </row>
    <row r="79" spans="1:14" ht="18.75" x14ac:dyDescent="0.3">
      <c r="A79" s="21">
        <v>44834</v>
      </c>
      <c r="B79" s="13" t="s">
        <v>73</v>
      </c>
      <c r="C79" s="13" t="s">
        <v>67</v>
      </c>
      <c r="D79" s="13" t="s">
        <v>9</v>
      </c>
      <c r="E79" s="14">
        <f t="shared" si="7"/>
        <v>1024.1690000000001</v>
      </c>
      <c r="F79" s="24"/>
      <c r="G79" s="26">
        <v>0</v>
      </c>
      <c r="H79" s="26">
        <v>1024.1690000000001</v>
      </c>
      <c r="I79" s="17" t="s">
        <v>70</v>
      </c>
      <c r="J79" s="18"/>
      <c r="K79" s="20">
        <v>2301.8649111652999</v>
      </c>
      <c r="M79">
        <v>1024.1690000000001</v>
      </c>
      <c r="N79">
        <v>1024.1690000000001</v>
      </c>
    </row>
    <row r="80" spans="1:14" ht="18.75" x14ac:dyDescent="0.3">
      <c r="A80" s="21">
        <v>45009</v>
      </c>
      <c r="B80" s="13" t="s">
        <v>74</v>
      </c>
      <c r="C80" s="13" t="s">
        <v>67</v>
      </c>
      <c r="D80" s="13" t="s">
        <v>9</v>
      </c>
      <c r="E80" s="14">
        <f t="shared" si="7"/>
        <v>0</v>
      </c>
      <c r="F80" s="24"/>
      <c r="G80" s="26">
        <f>30+128+250-24.02-26.08+55-29.34+12.371-29.14-24.56-45.7-29.9-49.28-12.056-28.6-21.14-20.78-71.26</f>
        <v>63.515000000000057</v>
      </c>
      <c r="H80" s="26">
        <f>30+128+250-24.02-26.08+55-29.34+12.371-29.14-24.56-45.7-29.9-49.28-12.056-28.6-21.14-20.78-71.26</f>
        <v>63.515000000000057</v>
      </c>
      <c r="I80" s="17" t="s">
        <v>29</v>
      </c>
      <c r="J80" s="18"/>
      <c r="K80" s="20">
        <v>1205.2090879478401</v>
      </c>
      <c r="M80">
        <v>63.514999999999986</v>
      </c>
      <c r="N80">
        <v>43.514999999999986</v>
      </c>
    </row>
    <row r="81" spans="1:14" ht="18.75" x14ac:dyDescent="0.3">
      <c r="A81" s="21">
        <v>45034</v>
      </c>
      <c r="B81" s="13" t="s">
        <v>75</v>
      </c>
      <c r="C81" s="13" t="s">
        <v>67</v>
      </c>
      <c r="D81" s="13" t="s">
        <v>9</v>
      </c>
      <c r="E81" s="14">
        <f t="shared" si="7"/>
        <v>0</v>
      </c>
      <c r="F81" s="24"/>
      <c r="G81" s="26">
        <f>30+101+25+25+60+73.143-29.84</f>
        <v>284.30300000000005</v>
      </c>
      <c r="H81" s="26">
        <f>30+101+25+25+60+73.143-29.84</f>
        <v>284.30300000000005</v>
      </c>
      <c r="I81" s="17" t="s">
        <v>29</v>
      </c>
      <c r="J81" s="18"/>
      <c r="K81" s="20"/>
      <c r="M81">
        <v>284.303</v>
      </c>
      <c r="N81">
        <v>254.14299999999997</v>
      </c>
    </row>
    <row r="82" spans="1:14" ht="18.75" x14ac:dyDescent="0.3">
      <c r="A82" s="21">
        <v>45055</v>
      </c>
      <c r="B82" s="13" t="s">
        <v>216</v>
      </c>
      <c r="C82" s="13" t="s">
        <v>67</v>
      </c>
      <c r="D82" s="13" t="s">
        <v>19</v>
      </c>
      <c r="E82" s="14">
        <f t="shared" si="7"/>
        <v>0</v>
      </c>
      <c r="F82" s="24"/>
      <c r="G82" s="26">
        <f>30+101+25+25+60+73.143-29.84</f>
        <v>284.30300000000005</v>
      </c>
      <c r="H82" s="26">
        <f>30+101+25+25+60+73.143-29.84</f>
        <v>284.30300000000005</v>
      </c>
      <c r="I82" s="17" t="s">
        <v>26</v>
      </c>
      <c r="J82" s="18"/>
      <c r="K82" s="20"/>
      <c r="M82">
        <v>971.14100000000008</v>
      </c>
      <c r="N82">
        <v>786.58100000000002</v>
      </c>
    </row>
    <row r="83" spans="1:14" ht="18.75" x14ac:dyDescent="0.3">
      <c r="A83" s="22"/>
      <c r="B83" s="32" t="s">
        <v>27</v>
      </c>
      <c r="C83" s="13"/>
      <c r="D83" s="13"/>
      <c r="E83" s="23">
        <f>SUBTOTAL(9,E74:E82)</f>
        <v>1780.5080000000003</v>
      </c>
      <c r="F83" s="24">
        <f>E83</f>
        <v>1780.5080000000003</v>
      </c>
      <c r="G83" s="23">
        <f>SUBTOTAL(9,G74:G82)</f>
        <v>786.62100000000009</v>
      </c>
      <c r="H83" s="23">
        <f>SUBTOTAL(9,H74:H82)</f>
        <v>2567.1290000000004</v>
      </c>
      <c r="I83" s="17"/>
      <c r="J83" s="18"/>
      <c r="K83" s="20"/>
    </row>
    <row r="84" spans="1:14" ht="18.75" x14ac:dyDescent="0.3">
      <c r="A84" s="22"/>
      <c r="B84" s="32"/>
      <c r="C84" s="13"/>
      <c r="D84" s="13"/>
      <c r="E84" s="23"/>
      <c r="F84" s="24"/>
      <c r="G84" s="23"/>
      <c r="H84" s="23"/>
      <c r="I84" s="17"/>
      <c r="J84" s="18"/>
      <c r="K84" s="20"/>
    </row>
    <row r="85" spans="1:14" ht="18.75" x14ac:dyDescent="0.3">
      <c r="A85" s="21">
        <v>44995</v>
      </c>
      <c r="B85" s="13" t="s">
        <v>76</v>
      </c>
      <c r="C85" s="13" t="s">
        <v>77</v>
      </c>
      <c r="D85" s="13" t="s">
        <v>9</v>
      </c>
      <c r="E85" s="14">
        <f>H85-G85</f>
        <v>431.67200000000014</v>
      </c>
      <c r="F85" s="24"/>
      <c r="G85" s="26">
        <f>202-25.31-24.11-13.9</f>
        <v>138.67999999999998</v>
      </c>
      <c r="H85" s="26">
        <f>633.672-25.31-24.11-13.9</f>
        <v>570.35200000000009</v>
      </c>
      <c r="I85" s="17" t="s">
        <v>78</v>
      </c>
      <c r="J85" s="18"/>
      <c r="K85" s="20">
        <v>1040.8825627624774</v>
      </c>
      <c r="M85">
        <v>376.71199999999999</v>
      </c>
      <c r="N85">
        <v>98.252000000000066</v>
      </c>
    </row>
    <row r="86" spans="1:14" ht="18.75" x14ac:dyDescent="0.3">
      <c r="A86" s="21"/>
      <c r="B86" s="32" t="s">
        <v>27</v>
      </c>
      <c r="C86" s="13"/>
      <c r="D86" s="13"/>
      <c r="E86" s="23">
        <f>SUBTOTAL(9,E85:E85)</f>
        <v>431.67200000000014</v>
      </c>
      <c r="F86" s="24">
        <f>E86</f>
        <v>431.67200000000014</v>
      </c>
      <c r="G86" s="23">
        <f>SUBTOTAL(9,G85:G85)</f>
        <v>138.67999999999998</v>
      </c>
      <c r="H86" s="23">
        <f>SUBTOTAL(9,H85:H85)</f>
        <v>570.35200000000009</v>
      </c>
      <c r="I86" s="17"/>
      <c r="J86" s="18"/>
      <c r="K86" s="20"/>
    </row>
    <row r="87" spans="1:14" ht="18.75" x14ac:dyDescent="0.3">
      <c r="A87" s="22"/>
      <c r="B87" s="32"/>
      <c r="C87" s="13"/>
      <c r="D87" s="13"/>
      <c r="E87" s="15"/>
      <c r="F87" s="24"/>
      <c r="G87" s="15"/>
      <c r="H87" s="34"/>
      <c r="I87" s="17"/>
      <c r="J87" s="18"/>
      <c r="K87" s="20"/>
    </row>
    <row r="88" spans="1:14" ht="18.75" x14ac:dyDescent="0.3">
      <c r="A88" s="21">
        <v>44749</v>
      </c>
      <c r="B88" s="13" t="s">
        <v>79</v>
      </c>
      <c r="C88" s="13" t="s">
        <v>80</v>
      </c>
      <c r="D88" s="13" t="s">
        <v>9</v>
      </c>
      <c r="E88" s="14">
        <f>H88-G88</f>
        <v>12.34</v>
      </c>
      <c r="F88" s="24"/>
      <c r="G88" s="26">
        <v>0</v>
      </c>
      <c r="H88" s="26">
        <v>12.34</v>
      </c>
      <c r="I88" s="17" t="s">
        <v>32</v>
      </c>
      <c r="J88" s="18"/>
      <c r="K88" s="20">
        <v>1875.2699932515579</v>
      </c>
      <c r="M88">
        <v>12.340000000000146</v>
      </c>
      <c r="N88">
        <v>11.31599999999986</v>
      </c>
    </row>
    <row r="89" spans="1:14" ht="18.75" x14ac:dyDescent="0.3">
      <c r="A89" s="21">
        <v>44979</v>
      </c>
      <c r="B89" s="13" t="s">
        <v>191</v>
      </c>
      <c r="C89" s="13" t="s">
        <v>80</v>
      </c>
      <c r="D89" s="13" t="s">
        <v>9</v>
      </c>
      <c r="E89" s="14">
        <f>H89-G89</f>
        <v>260.3309999999999</v>
      </c>
      <c r="F89" s="24"/>
      <c r="G89" s="26">
        <f>519.67-31.32-40.06+106-59.78-45.94-30.18</f>
        <v>418.39</v>
      </c>
      <c r="H89" s="26">
        <f>887.001-32.32-40.06-59.78-45.94-30.18</f>
        <v>678.72099999999989</v>
      </c>
      <c r="I89" s="17" t="s">
        <v>70</v>
      </c>
      <c r="J89" s="18"/>
      <c r="K89" s="20">
        <v>1245.0000025254401</v>
      </c>
      <c r="M89">
        <v>469.68100000000004</v>
      </c>
      <c r="N89">
        <v>217.88099999999986</v>
      </c>
    </row>
    <row r="90" spans="1:14" ht="18.75" x14ac:dyDescent="0.3">
      <c r="A90" s="22"/>
      <c r="B90" s="32" t="s">
        <v>27</v>
      </c>
      <c r="C90" s="13"/>
      <c r="D90" s="13"/>
      <c r="E90" s="23">
        <f>SUBTOTAL(9,E88:E89)</f>
        <v>272.67099999999988</v>
      </c>
      <c r="F90" s="24">
        <f>E90</f>
        <v>272.67099999999988</v>
      </c>
      <c r="G90" s="23">
        <f>SUBTOTAL(9,G88:G89)</f>
        <v>418.39</v>
      </c>
      <c r="H90" s="23">
        <f>SUBTOTAL(9,H88:H89)</f>
        <v>691.06099999999992</v>
      </c>
      <c r="I90" s="17"/>
      <c r="J90" s="18"/>
      <c r="K90" s="20"/>
    </row>
    <row r="91" spans="1:14" ht="18.75" x14ac:dyDescent="0.3">
      <c r="A91" s="22"/>
      <c r="B91" s="32"/>
      <c r="C91" s="13"/>
      <c r="D91" s="13"/>
      <c r="E91" s="15"/>
      <c r="F91" s="24"/>
      <c r="G91" s="23"/>
      <c r="H91" s="23"/>
      <c r="I91" s="17"/>
      <c r="J91" s="18"/>
      <c r="K91" s="20"/>
    </row>
    <row r="92" spans="1:14" ht="18.75" x14ac:dyDescent="0.3">
      <c r="A92" s="21">
        <v>45004</v>
      </c>
      <c r="B92" s="13" t="s">
        <v>81</v>
      </c>
      <c r="C92" s="13" t="s">
        <v>82</v>
      </c>
      <c r="D92" s="13" t="s">
        <v>9</v>
      </c>
      <c r="E92" s="14">
        <f>H92-G92</f>
        <v>530.10500000000002</v>
      </c>
      <c r="F92" s="15"/>
      <c r="G92" s="26">
        <f>217.15-87.39+21</f>
        <v>150.76</v>
      </c>
      <c r="H92" s="26">
        <f>768.255-87.39</f>
        <v>680.86500000000001</v>
      </c>
      <c r="I92" s="17" t="s">
        <v>47</v>
      </c>
      <c r="J92" s="18"/>
      <c r="K92" s="20">
        <v>920</v>
      </c>
      <c r="M92">
        <v>494.36399999999981</v>
      </c>
      <c r="N92">
        <v>362.11399999999981</v>
      </c>
    </row>
    <row r="93" spans="1:14" ht="18.75" x14ac:dyDescent="0.3">
      <c r="A93" s="21">
        <v>44865</v>
      </c>
      <c r="B93" s="13" t="s">
        <v>192</v>
      </c>
      <c r="C93" s="13" t="s">
        <v>82</v>
      </c>
      <c r="D93" s="13" t="s">
        <v>16</v>
      </c>
      <c r="E93" s="14">
        <f>H93-G93</f>
        <v>7.7069999999999936</v>
      </c>
      <c r="F93" s="15"/>
      <c r="G93" s="26">
        <f>65.67-15.58</f>
        <v>50.09</v>
      </c>
      <c r="H93" s="26">
        <f>73.377-15.58</f>
        <v>57.796999999999997</v>
      </c>
      <c r="I93" s="17" t="s">
        <v>23</v>
      </c>
      <c r="J93" s="18"/>
      <c r="K93" s="20">
        <v>1230</v>
      </c>
      <c r="M93">
        <v>60.245999999999981</v>
      </c>
      <c r="N93">
        <v>9.4759999999999991</v>
      </c>
    </row>
    <row r="94" spans="1:14" ht="18.75" x14ac:dyDescent="0.3">
      <c r="A94" s="21">
        <v>44997</v>
      </c>
      <c r="B94" s="13" t="s">
        <v>193</v>
      </c>
      <c r="C94" s="13" t="s">
        <v>82</v>
      </c>
      <c r="D94" s="13" t="s">
        <v>16</v>
      </c>
      <c r="E94" s="14">
        <f>H94-G94</f>
        <v>148.07999999999996</v>
      </c>
      <c r="F94" s="15"/>
      <c r="G94" s="26">
        <f>190.37+20+25-49.87-41.82-7.72</f>
        <v>135.96</v>
      </c>
      <c r="H94" s="26">
        <f>383.45-49.87-41.82-7.72</f>
        <v>284.03999999999996</v>
      </c>
      <c r="I94" s="17" t="s">
        <v>23</v>
      </c>
      <c r="J94" s="18"/>
      <c r="K94" s="20">
        <v>900</v>
      </c>
      <c r="M94">
        <v>228.66000000000003</v>
      </c>
      <c r="N94">
        <v>101.33499999999998</v>
      </c>
    </row>
    <row r="95" spans="1:14" s="62" customFormat="1" ht="18.75" x14ac:dyDescent="0.3">
      <c r="A95" s="55">
        <v>44834</v>
      </c>
      <c r="B95" s="40" t="s">
        <v>83</v>
      </c>
      <c r="C95" s="40" t="s">
        <v>82</v>
      </c>
      <c r="D95" s="40" t="s">
        <v>19</v>
      </c>
      <c r="E95" s="56">
        <f>H95-G95</f>
        <v>6.4969999999999999</v>
      </c>
      <c r="F95" s="64"/>
      <c r="G95" s="58">
        <v>0</v>
      </c>
      <c r="H95" s="58">
        <f>26.157-19.66</f>
        <v>6.4969999999999999</v>
      </c>
      <c r="I95" s="59" t="s">
        <v>19</v>
      </c>
      <c r="J95" s="60"/>
      <c r="K95" s="61">
        <v>930</v>
      </c>
      <c r="M95" s="62" t="e">
        <v>#N/A</v>
      </c>
      <c r="N95" s="62" t="e">
        <v>#N/A</v>
      </c>
    </row>
    <row r="96" spans="1:14" ht="18.75" x14ac:dyDescent="0.3">
      <c r="A96" s="22"/>
      <c r="B96" s="32" t="s">
        <v>27</v>
      </c>
      <c r="C96" s="13"/>
      <c r="D96" s="13"/>
      <c r="E96" s="23">
        <f>SUBTOTAL(9,E92:E95)</f>
        <v>692.3889999999999</v>
      </c>
      <c r="F96" s="24">
        <f>E96</f>
        <v>692.3889999999999</v>
      </c>
      <c r="G96" s="23">
        <f>SUBTOTAL(9,G92:G95)</f>
        <v>336.81</v>
      </c>
      <c r="H96" s="23">
        <f>SUBTOTAL(9,H92:H95)</f>
        <v>1029.1990000000001</v>
      </c>
      <c r="I96" s="17"/>
      <c r="J96" s="18"/>
      <c r="K96" s="20"/>
    </row>
    <row r="97" spans="1:14" ht="18.75" x14ac:dyDescent="0.3">
      <c r="A97" s="22"/>
      <c r="B97" s="13"/>
      <c r="C97" s="13"/>
      <c r="D97" s="13"/>
      <c r="E97" s="14"/>
      <c r="F97" s="15"/>
      <c r="G97" s="15"/>
      <c r="H97" s="34"/>
      <c r="I97" s="17"/>
      <c r="J97" s="18"/>
      <c r="K97" s="20"/>
    </row>
    <row r="98" spans="1:14" ht="18.75" x14ac:dyDescent="0.3">
      <c r="A98" s="21">
        <v>44884</v>
      </c>
      <c r="B98" s="13" t="s">
        <v>194</v>
      </c>
      <c r="C98" s="13" t="s">
        <v>84</v>
      </c>
      <c r="D98" s="13" t="s">
        <v>9</v>
      </c>
      <c r="E98" s="14">
        <f>H98-G98</f>
        <v>0</v>
      </c>
      <c r="F98" s="15"/>
      <c r="G98" s="26">
        <f>101.37-9.92-24.01</f>
        <v>67.44</v>
      </c>
      <c r="H98" s="26">
        <f>101.37-9.92-24.01</f>
        <v>67.44</v>
      </c>
      <c r="I98" s="17" t="s">
        <v>47</v>
      </c>
      <c r="J98" s="18"/>
      <c r="K98" s="20">
        <v>1100.19155162675</v>
      </c>
      <c r="M98">
        <v>47.880000000000337</v>
      </c>
      <c r="N98">
        <v>15.370000000000573</v>
      </c>
    </row>
    <row r="99" spans="1:14" ht="18.75" x14ac:dyDescent="0.3">
      <c r="A99" s="21">
        <v>45004</v>
      </c>
      <c r="B99" s="13" t="s">
        <v>85</v>
      </c>
      <c r="C99" s="13" t="s">
        <v>84</v>
      </c>
      <c r="D99" s="13" t="s">
        <v>9</v>
      </c>
      <c r="E99" s="14">
        <f>H99-G99</f>
        <v>727.03700000000003</v>
      </c>
      <c r="F99" s="15"/>
      <c r="G99" s="26">
        <f>195-19.28-26.83-31.87-25.28</f>
        <v>91.739999999999981</v>
      </c>
      <c r="H99" s="26">
        <f>922.037-19.28-26.83-31.87-25.28</f>
        <v>818.77700000000004</v>
      </c>
      <c r="I99" s="17" t="s">
        <v>47</v>
      </c>
      <c r="J99" s="18"/>
      <c r="K99" s="20">
        <v>920.76043398005095</v>
      </c>
      <c r="M99">
        <v>818.77700000000004</v>
      </c>
      <c r="N99">
        <v>732.05700000000002</v>
      </c>
    </row>
    <row r="100" spans="1:14" ht="18.75" x14ac:dyDescent="0.3">
      <c r="A100" s="21">
        <v>45038</v>
      </c>
      <c r="B100" s="13" t="s">
        <v>86</v>
      </c>
      <c r="C100" s="13" t="s">
        <v>84</v>
      </c>
      <c r="D100" s="13" t="s">
        <v>9</v>
      </c>
      <c r="E100" s="14">
        <f>H100-G100</f>
        <v>708.95899999999995</v>
      </c>
      <c r="F100" s="15"/>
      <c r="G100" s="26">
        <v>0</v>
      </c>
      <c r="H100" s="26">
        <v>708.95899999999995</v>
      </c>
      <c r="I100" s="17" t="s">
        <v>47</v>
      </c>
      <c r="J100" s="18"/>
      <c r="K100" s="20"/>
      <c r="M100">
        <v>708.95899999999995</v>
      </c>
      <c r="N100">
        <v>708.95899999999995</v>
      </c>
    </row>
    <row r="101" spans="1:14" ht="18.75" x14ac:dyDescent="0.3">
      <c r="A101" s="22"/>
      <c r="B101" s="32" t="s">
        <v>27</v>
      </c>
      <c r="C101" s="13"/>
      <c r="D101" s="13"/>
      <c r="E101" s="23">
        <f>SUBTOTAL(9,E98:E100)</f>
        <v>1435.9960000000001</v>
      </c>
      <c r="F101" s="24">
        <f>E101</f>
        <v>1435.9960000000001</v>
      </c>
      <c r="G101" s="23">
        <f>SUBTOTAL(9,G98:G100)</f>
        <v>159.17999999999998</v>
      </c>
      <c r="H101" s="23">
        <f>SUBTOTAL(9,H98:H100)</f>
        <v>1595.1759999999999</v>
      </c>
      <c r="I101" s="17"/>
      <c r="J101" s="18"/>
      <c r="K101" s="20"/>
    </row>
    <row r="102" spans="1:14" ht="18.75" x14ac:dyDescent="0.3">
      <c r="A102" s="22"/>
      <c r="B102" s="32"/>
      <c r="C102" s="13"/>
      <c r="D102" s="13"/>
      <c r="E102" s="15"/>
      <c r="F102" s="15"/>
      <c r="G102" s="15"/>
      <c r="H102" s="34"/>
      <c r="I102" s="17"/>
      <c r="J102" s="18"/>
      <c r="K102" s="20"/>
    </row>
    <row r="103" spans="1:14" ht="18.75" x14ac:dyDescent="0.3">
      <c r="A103" s="21">
        <v>44764</v>
      </c>
      <c r="B103" s="13" t="s">
        <v>87</v>
      </c>
      <c r="C103" s="13" t="s">
        <v>88</v>
      </c>
      <c r="D103" s="13" t="s">
        <v>9</v>
      </c>
      <c r="E103" s="14">
        <f t="shared" ref="E103:E115" si="8">H103-G103</f>
        <v>0.93899999999999995</v>
      </c>
      <c r="F103" s="15"/>
      <c r="G103" s="26">
        <v>0</v>
      </c>
      <c r="H103" s="26">
        <v>0.93899999999999995</v>
      </c>
      <c r="I103" s="17" t="s">
        <v>47</v>
      </c>
      <c r="J103" s="18"/>
      <c r="K103" s="20">
        <v>1331.45</v>
      </c>
      <c r="M103">
        <v>0.93900000000030559</v>
      </c>
      <c r="N103">
        <v>-7.7609999999995125</v>
      </c>
    </row>
    <row r="104" spans="1:14" ht="18.75" x14ac:dyDescent="0.3">
      <c r="A104" s="21">
        <v>44892</v>
      </c>
      <c r="B104" s="13" t="s">
        <v>89</v>
      </c>
      <c r="C104" s="13" t="s">
        <v>88</v>
      </c>
      <c r="D104" s="13" t="s">
        <v>9</v>
      </c>
      <c r="E104" s="14">
        <f t="shared" si="8"/>
        <v>0</v>
      </c>
      <c r="F104" s="15"/>
      <c r="G104" s="26">
        <v>26.97</v>
      </c>
      <c r="H104" s="26">
        <v>26.97</v>
      </c>
      <c r="I104" s="17" t="s">
        <v>90</v>
      </c>
      <c r="J104" s="18"/>
      <c r="K104" s="20">
        <v>1118.5375775311952</v>
      </c>
      <c r="M104">
        <v>3.2229999999999563</v>
      </c>
      <c r="N104">
        <v>-24.867000000000189</v>
      </c>
    </row>
    <row r="105" spans="1:14" ht="18.75" x14ac:dyDescent="0.3">
      <c r="A105" s="21">
        <v>44566</v>
      </c>
      <c r="B105" s="13" t="s">
        <v>91</v>
      </c>
      <c r="C105" s="13" t="s">
        <v>88</v>
      </c>
      <c r="D105" s="13" t="s">
        <v>9</v>
      </c>
      <c r="E105" s="14">
        <f t="shared" si="8"/>
        <v>0</v>
      </c>
      <c r="F105" s="15"/>
      <c r="G105" s="26">
        <v>121.423</v>
      </c>
      <c r="H105" s="26">
        <v>121.423</v>
      </c>
      <c r="I105" s="17" t="s">
        <v>29</v>
      </c>
      <c r="J105" s="18"/>
      <c r="K105" s="20">
        <v>1037.0283001737214</v>
      </c>
      <c r="M105">
        <v>0</v>
      </c>
      <c r="N105">
        <v>-7.3299999999999272</v>
      </c>
    </row>
    <row r="106" spans="1:14" ht="18.75" x14ac:dyDescent="0.3">
      <c r="A106" s="21">
        <v>44592</v>
      </c>
      <c r="B106" s="13" t="s">
        <v>195</v>
      </c>
      <c r="C106" s="13" t="s">
        <v>88</v>
      </c>
      <c r="D106" s="13" t="s">
        <v>9</v>
      </c>
      <c r="E106" s="14">
        <f>H106-G106</f>
        <v>0</v>
      </c>
      <c r="F106" s="15"/>
      <c r="G106" s="26">
        <f>180.553-28.01-47.51-49.49</f>
        <v>55.543000000000013</v>
      </c>
      <c r="H106" s="26">
        <f>180.553-28.01-47.51-49.49</f>
        <v>55.543000000000013</v>
      </c>
      <c r="I106" s="17" t="s">
        <v>92</v>
      </c>
      <c r="J106" s="18"/>
      <c r="K106" s="20">
        <v>913.43126017726286</v>
      </c>
      <c r="M106">
        <v>0</v>
      </c>
      <c r="N106">
        <v>-1.0400000000000063</v>
      </c>
    </row>
    <row r="107" spans="1:14" ht="18.75" x14ac:dyDescent="0.3">
      <c r="A107" s="21">
        <v>44976</v>
      </c>
      <c r="B107" s="13" t="s">
        <v>93</v>
      </c>
      <c r="C107" s="13" t="s">
        <v>88</v>
      </c>
      <c r="D107" s="13" t="s">
        <v>9</v>
      </c>
      <c r="E107" s="14">
        <f t="shared" si="8"/>
        <v>1703.5439999999999</v>
      </c>
      <c r="F107" s="15"/>
      <c r="G107" s="26">
        <f>270-19.75+216+100-52.53+20-37.89</f>
        <v>495.83000000000004</v>
      </c>
      <c r="H107" s="26">
        <f>2309.544-19.75-52.53-37.89</f>
        <v>2199.3739999999998</v>
      </c>
      <c r="I107" s="17" t="s">
        <v>29</v>
      </c>
      <c r="J107" s="18"/>
      <c r="K107" s="20">
        <v>954.97628278089473</v>
      </c>
      <c r="M107">
        <v>1800.3140000000001</v>
      </c>
      <c r="N107">
        <v>598.35399999999981</v>
      </c>
    </row>
    <row r="108" spans="1:14" ht="18.75" x14ac:dyDescent="0.3">
      <c r="A108" s="21">
        <v>44997</v>
      </c>
      <c r="B108" s="13" t="s">
        <v>94</v>
      </c>
      <c r="C108" s="13" t="s">
        <v>88</v>
      </c>
      <c r="D108" s="13" t="s">
        <v>9</v>
      </c>
      <c r="E108" s="14">
        <f t="shared" si="8"/>
        <v>675.46800000000007</v>
      </c>
      <c r="F108" s="15"/>
      <c r="G108" s="26">
        <f>100-16.86+160-19.9-13.92</f>
        <v>209.32</v>
      </c>
      <c r="H108" s="26">
        <f>918.608-19.9-13.92</f>
        <v>884.78800000000001</v>
      </c>
      <c r="I108" s="17" t="s">
        <v>32</v>
      </c>
      <c r="J108" s="18"/>
      <c r="K108" s="20">
        <v>1005.1251051089312</v>
      </c>
      <c r="M108">
        <v>692.55799999999999</v>
      </c>
      <c r="N108">
        <v>283.77799999999996</v>
      </c>
    </row>
    <row r="109" spans="1:14" ht="18.75" x14ac:dyDescent="0.3">
      <c r="A109" s="21">
        <v>44997</v>
      </c>
      <c r="B109" s="13" t="s">
        <v>94</v>
      </c>
      <c r="C109" s="13" t="s">
        <v>88</v>
      </c>
      <c r="D109" s="13" t="s">
        <v>9</v>
      </c>
      <c r="E109" s="14">
        <f t="shared" si="8"/>
        <v>1612.19</v>
      </c>
      <c r="F109" s="15"/>
      <c r="G109" s="26">
        <v>0</v>
      </c>
      <c r="H109" s="26">
        <v>1612.19</v>
      </c>
      <c r="I109" s="17" t="s">
        <v>95</v>
      </c>
      <c r="J109" s="18"/>
      <c r="K109" s="20">
        <v>1005.12510510893</v>
      </c>
      <c r="M109">
        <v>692.55799999999999</v>
      </c>
      <c r="N109">
        <v>283.77799999999996</v>
      </c>
    </row>
    <row r="110" spans="1:14" ht="18.75" x14ac:dyDescent="0.3">
      <c r="A110" s="21">
        <v>44935</v>
      </c>
      <c r="B110" s="13" t="s">
        <v>196</v>
      </c>
      <c r="C110" s="13" t="s">
        <v>88</v>
      </c>
      <c r="D110" s="13" t="s">
        <v>13</v>
      </c>
      <c r="E110" s="14">
        <f t="shared" si="8"/>
        <v>0</v>
      </c>
      <c r="F110" s="15"/>
      <c r="G110" s="26">
        <f>236.648-24.9-24.96-15.93</f>
        <v>170.85799999999998</v>
      </c>
      <c r="H110" s="26">
        <f>236.648-24.9-24.96-15.93</f>
        <v>170.85799999999998</v>
      </c>
      <c r="I110" s="17" t="s">
        <v>21</v>
      </c>
      <c r="J110" s="18"/>
      <c r="K110" s="20">
        <v>870.27000343629402</v>
      </c>
      <c r="M110">
        <v>103.65899999999999</v>
      </c>
      <c r="N110">
        <v>74.49899999999991</v>
      </c>
    </row>
    <row r="111" spans="1:14" ht="18.75" x14ac:dyDescent="0.3">
      <c r="A111" s="21">
        <v>44935</v>
      </c>
      <c r="B111" s="13" t="s">
        <v>197</v>
      </c>
      <c r="C111" s="13" t="s">
        <v>88</v>
      </c>
      <c r="D111" s="13" t="s">
        <v>13</v>
      </c>
      <c r="E111" s="14">
        <f t="shared" si="8"/>
        <v>0</v>
      </c>
      <c r="F111" s="15"/>
      <c r="G111" s="26">
        <f>236.648-24.9-24.96-15.93</f>
        <v>170.85799999999998</v>
      </c>
      <c r="H111" s="26">
        <f>236.648-24.9-24.96-15.93</f>
        <v>170.85799999999998</v>
      </c>
      <c r="I111" s="17" t="s">
        <v>21</v>
      </c>
      <c r="J111" s="18"/>
      <c r="K111" s="20">
        <v>870.27000343629402</v>
      </c>
      <c r="M111">
        <v>38.735999999999422</v>
      </c>
      <c r="N111">
        <v>-74.184000000000424</v>
      </c>
    </row>
    <row r="112" spans="1:14" ht="18.75" x14ac:dyDescent="0.3">
      <c r="A112" s="21">
        <v>44927</v>
      </c>
      <c r="B112" s="13" t="s">
        <v>96</v>
      </c>
      <c r="C112" s="13" t="s">
        <v>88</v>
      </c>
      <c r="D112" s="13" t="s">
        <v>19</v>
      </c>
      <c r="E112" s="38">
        <f t="shared" si="8"/>
        <v>0</v>
      </c>
      <c r="F112" s="15"/>
      <c r="G112" s="26">
        <f>586.938-47.63-70.43-61.12</f>
        <v>407.75799999999998</v>
      </c>
      <c r="H112" s="26">
        <f>586.938-47.63-70.43-61.12</f>
        <v>407.75799999999998</v>
      </c>
      <c r="I112" s="17" t="s">
        <v>26</v>
      </c>
      <c r="J112" s="18"/>
      <c r="K112" s="20">
        <v>1037.0282893203669</v>
      </c>
      <c r="M112">
        <v>2.3620000000005348</v>
      </c>
      <c r="N112">
        <v>-397.2180000000003</v>
      </c>
    </row>
    <row r="113" spans="1:14" ht="18.75" x14ac:dyDescent="0.3">
      <c r="A113" s="21">
        <v>44964</v>
      </c>
      <c r="B113" s="13" t="s">
        <v>198</v>
      </c>
      <c r="C113" s="13" t="s">
        <v>88</v>
      </c>
      <c r="D113" s="13" t="s">
        <v>19</v>
      </c>
      <c r="E113" s="38">
        <f t="shared" si="8"/>
        <v>0</v>
      </c>
      <c r="F113" s="15"/>
      <c r="G113" s="26">
        <f>63+60+32+64.348</f>
        <v>219.34800000000001</v>
      </c>
      <c r="H113" s="26">
        <v>219.34800000000001</v>
      </c>
      <c r="I113" s="17" t="s">
        <v>26</v>
      </c>
      <c r="J113" s="18"/>
      <c r="K113" s="20">
        <v>960.99903545431528</v>
      </c>
      <c r="M113">
        <v>43.601999999999862</v>
      </c>
      <c r="N113">
        <v>-106.32799999999997</v>
      </c>
    </row>
    <row r="114" spans="1:14" ht="18.75" x14ac:dyDescent="0.3">
      <c r="A114" s="21">
        <v>45020</v>
      </c>
      <c r="B114" s="13" t="s">
        <v>97</v>
      </c>
      <c r="C114" s="13" t="s">
        <v>88</v>
      </c>
      <c r="D114" s="13" t="s">
        <v>19</v>
      </c>
      <c r="E114" s="38">
        <f t="shared" si="8"/>
        <v>1683.819</v>
      </c>
      <c r="F114" s="15"/>
      <c r="G114" s="26">
        <f>87+145</f>
        <v>232</v>
      </c>
      <c r="H114" s="26">
        <v>1915.819</v>
      </c>
      <c r="I114" s="17" t="s">
        <v>26</v>
      </c>
      <c r="J114" s="18"/>
      <c r="K114" s="20">
        <v>1030</v>
      </c>
      <c r="M114">
        <v>1879.819</v>
      </c>
      <c r="N114">
        <v>1595.1289999999999</v>
      </c>
    </row>
    <row r="115" spans="1:14" ht="18.75" x14ac:dyDescent="0.3">
      <c r="A115" s="21">
        <v>45054</v>
      </c>
      <c r="B115" s="13" t="s">
        <v>222</v>
      </c>
      <c r="C115" s="13" t="s">
        <v>88</v>
      </c>
      <c r="D115" s="13" t="s">
        <v>166</v>
      </c>
      <c r="E115" s="38">
        <f t="shared" si="8"/>
        <v>1683.819</v>
      </c>
      <c r="F115" s="15"/>
      <c r="G115" s="26">
        <f>87+145</f>
        <v>232</v>
      </c>
      <c r="H115" s="26">
        <v>1915.819</v>
      </c>
      <c r="I115" s="17" t="s">
        <v>166</v>
      </c>
      <c r="J115" s="18"/>
      <c r="K115" s="20">
        <v>1030</v>
      </c>
      <c r="M115">
        <v>2445.7159999999999</v>
      </c>
      <c r="N115">
        <v>1795.3209999999999</v>
      </c>
    </row>
    <row r="116" spans="1:14" ht="18.75" x14ac:dyDescent="0.3">
      <c r="A116" s="22"/>
      <c r="B116" s="32" t="s">
        <v>27</v>
      </c>
      <c r="C116" s="13"/>
      <c r="D116" s="13"/>
      <c r="E116" s="23">
        <f>SUBTOTAL(9,E103:E115)</f>
        <v>7359.7790000000005</v>
      </c>
      <c r="F116" s="24">
        <f>E116</f>
        <v>7359.7790000000005</v>
      </c>
      <c r="G116" s="23">
        <f>SUBTOTAL(9,G103:G115)</f>
        <v>2341.9079999999999</v>
      </c>
      <c r="H116" s="23">
        <f>SUBTOTAL(9,H103:H115)</f>
        <v>9701.6869999999999</v>
      </c>
      <c r="I116" s="17"/>
      <c r="J116" s="18"/>
      <c r="K116" s="20"/>
    </row>
    <row r="117" spans="1:14" ht="18.75" x14ac:dyDescent="0.3">
      <c r="A117" s="22"/>
      <c r="B117" s="13"/>
      <c r="C117" s="13"/>
      <c r="D117" s="13"/>
      <c r="E117" s="14"/>
      <c r="F117" s="15"/>
      <c r="G117" s="15"/>
      <c r="H117" s="23"/>
      <c r="I117" s="17"/>
      <c r="J117" s="18"/>
      <c r="K117" s="20"/>
    </row>
    <row r="118" spans="1:14" ht="19.5" customHeight="1" x14ac:dyDescent="0.3">
      <c r="A118" s="21">
        <v>44966</v>
      </c>
      <c r="B118" s="13" t="s">
        <v>98</v>
      </c>
      <c r="C118" s="13" t="s">
        <v>99</v>
      </c>
      <c r="D118" s="13" t="s">
        <v>13</v>
      </c>
      <c r="E118" s="36">
        <f t="shared" ref="E118:E120" si="9">H118-G118</f>
        <v>-24.771000000000065</v>
      </c>
      <c r="F118" s="24"/>
      <c r="G118" s="26">
        <v>50</v>
      </c>
      <c r="H118" s="26">
        <f>315.85+80-75.17+25-73.4-79.99+70-25.09-25.06-72.64-83.09-24.59+25+50-54.78+23.059-24.94-24.93</f>
        <v>25.228999999999935</v>
      </c>
      <c r="I118" s="17" t="s">
        <v>21</v>
      </c>
      <c r="J118" s="18"/>
      <c r="K118" s="20">
        <v>630.5353442094663</v>
      </c>
      <c r="M118">
        <v>25.228999999999814</v>
      </c>
      <c r="N118">
        <v>5.2190000000000509</v>
      </c>
    </row>
    <row r="119" spans="1:14" ht="19.5" customHeight="1" x14ac:dyDescent="0.3">
      <c r="A119" s="21">
        <v>45050</v>
      </c>
      <c r="B119" s="13" t="s">
        <v>217</v>
      </c>
      <c r="C119" s="13" t="s">
        <v>99</v>
      </c>
      <c r="D119" s="13" t="s">
        <v>13</v>
      </c>
      <c r="E119" s="36">
        <f t="shared" si="9"/>
        <v>-24.771000000000065</v>
      </c>
      <c r="F119" s="24"/>
      <c r="G119" s="26">
        <v>50</v>
      </c>
      <c r="H119" s="26">
        <f>315.85+80-75.17+25-73.4-79.99+70-25.09-25.06-72.64-83.09-24.59+25+50-54.78+23.059-24.94-24.93</f>
        <v>25.228999999999935</v>
      </c>
      <c r="I119" s="17" t="s">
        <v>21</v>
      </c>
      <c r="J119" s="18"/>
      <c r="K119" s="20">
        <v>630.5353442094663</v>
      </c>
      <c r="M119">
        <v>2.0800000000000978</v>
      </c>
      <c r="N119">
        <v>-129.0200000000001</v>
      </c>
    </row>
    <row r="120" spans="1:14" ht="19.5" customHeight="1" x14ac:dyDescent="0.3">
      <c r="A120" s="21">
        <v>45050</v>
      </c>
      <c r="B120" s="13" t="s">
        <v>218</v>
      </c>
      <c r="C120" s="13" t="s">
        <v>99</v>
      </c>
      <c r="D120" s="13" t="s">
        <v>13</v>
      </c>
      <c r="E120" s="36">
        <f t="shared" si="9"/>
        <v>-24.771000000000065</v>
      </c>
      <c r="F120" s="24"/>
      <c r="G120" s="26">
        <v>50</v>
      </c>
      <c r="H120" s="26">
        <f>315.85+80-75.17+25-73.4-79.99+70-25.09-25.06-72.64-83.09-24.59+25+50-54.78+23.059-24.94-24.93</f>
        <v>25.228999999999935</v>
      </c>
      <c r="I120" s="17" t="s">
        <v>21</v>
      </c>
      <c r="J120" s="18"/>
      <c r="K120" s="20">
        <v>630.5353442094663</v>
      </c>
      <c r="M120">
        <v>845.08300000000008</v>
      </c>
      <c r="N120">
        <v>526.77300000000002</v>
      </c>
    </row>
    <row r="121" spans="1:14" ht="19.5" customHeight="1" x14ac:dyDescent="0.3">
      <c r="A121" s="21"/>
      <c r="B121" s="32" t="s">
        <v>27</v>
      </c>
      <c r="C121" s="13"/>
      <c r="D121" s="13"/>
      <c r="E121" s="23">
        <f>SUBTOTAL(9,E120:E120)</f>
        <v>-24.771000000000065</v>
      </c>
      <c r="F121" s="24">
        <f>E121</f>
        <v>-24.771000000000065</v>
      </c>
      <c r="G121" s="23">
        <f>SUBTOTAL(9,G120:G120)</f>
        <v>50</v>
      </c>
      <c r="H121" s="23">
        <f>SUBTOTAL(9,H120:H120)</f>
        <v>25.228999999999935</v>
      </c>
      <c r="I121" s="17"/>
      <c r="J121" s="18"/>
      <c r="K121" s="20"/>
    </row>
    <row r="122" spans="1:14" ht="18.75" x14ac:dyDescent="0.3">
      <c r="A122" s="22"/>
      <c r="B122" s="32"/>
      <c r="C122" s="13"/>
      <c r="D122" s="13"/>
      <c r="E122" s="15"/>
      <c r="F122" s="15"/>
      <c r="G122" s="23"/>
      <c r="H122" s="23"/>
      <c r="I122" s="17"/>
      <c r="J122" s="18"/>
      <c r="K122" s="20"/>
    </row>
    <row r="123" spans="1:14" ht="18.75" x14ac:dyDescent="0.3">
      <c r="A123" s="21">
        <v>44997</v>
      </c>
      <c r="B123" s="13" t="s">
        <v>100</v>
      </c>
      <c r="C123" s="13" t="s">
        <v>101</v>
      </c>
      <c r="D123" s="13" t="s">
        <v>9</v>
      </c>
      <c r="E123" s="14">
        <f>H123-G123</f>
        <v>0</v>
      </c>
      <c r="F123" s="15"/>
      <c r="G123" s="26">
        <f>92.929-24.86-24.93</f>
        <v>43.139000000000003</v>
      </c>
      <c r="H123" s="26">
        <f>92.929-24.86-24.93</f>
        <v>43.139000000000003</v>
      </c>
      <c r="I123" s="17" t="s">
        <v>47</v>
      </c>
      <c r="J123" s="18"/>
      <c r="K123" s="20">
        <v>1120.1930576716391</v>
      </c>
      <c r="M123">
        <v>43.138999999999953</v>
      </c>
      <c r="N123">
        <v>-109.35099999999994</v>
      </c>
    </row>
    <row r="124" spans="1:14" s="62" customFormat="1" ht="18.75" x14ac:dyDescent="0.3">
      <c r="A124" s="55">
        <v>45018</v>
      </c>
      <c r="B124" s="40" t="s">
        <v>102</v>
      </c>
      <c r="C124" s="40" t="s">
        <v>101</v>
      </c>
      <c r="D124" s="40" t="s">
        <v>9</v>
      </c>
      <c r="E124" s="56">
        <f>H124-G124-50</f>
        <v>565.18500000000006</v>
      </c>
      <c r="F124" s="64"/>
      <c r="G124" s="58">
        <f>275+15-15-18.86-22.05+25-24.9-27.64</f>
        <v>206.54999999999995</v>
      </c>
      <c r="H124" s="58">
        <f>1026.455-31.27-9.83-24.68-30.85-14.64-18.86-22.05-24.9-27.64</f>
        <v>821.73500000000001</v>
      </c>
      <c r="I124" s="59" t="s">
        <v>47</v>
      </c>
      <c r="J124" s="39" t="s">
        <v>103</v>
      </c>
      <c r="K124" s="61"/>
      <c r="M124" s="62" t="e">
        <v>#N/A</v>
      </c>
      <c r="N124" s="62" t="e">
        <v>#N/A</v>
      </c>
    </row>
    <row r="125" spans="1:14" ht="18.75" x14ac:dyDescent="0.3">
      <c r="A125" s="22"/>
      <c r="B125" s="32" t="s">
        <v>27</v>
      </c>
      <c r="C125" s="13"/>
      <c r="D125" s="13"/>
      <c r="E125" s="23">
        <f>SUBTOTAL(9,E123:E124)</f>
        <v>565.18500000000006</v>
      </c>
      <c r="F125" s="24">
        <f>E125</f>
        <v>565.18500000000006</v>
      </c>
      <c r="G125" s="23">
        <f>SUBTOTAL(9,G123:G124)</f>
        <v>249.68899999999996</v>
      </c>
      <c r="H125" s="23">
        <f>SUBTOTAL(9,H123:H124)</f>
        <v>864.87400000000002</v>
      </c>
      <c r="I125" s="17"/>
      <c r="J125" s="18"/>
      <c r="K125" s="20"/>
    </row>
    <row r="126" spans="1:14" ht="18.75" x14ac:dyDescent="0.3">
      <c r="A126" s="22"/>
      <c r="B126" s="32"/>
      <c r="C126" s="13"/>
      <c r="D126" s="13"/>
      <c r="E126" s="15"/>
      <c r="F126" s="15"/>
      <c r="G126" s="15"/>
      <c r="H126" s="23"/>
      <c r="I126" s="17"/>
      <c r="J126" s="18"/>
      <c r="K126" s="20"/>
    </row>
    <row r="127" spans="1:14" ht="18.75" x14ac:dyDescent="0.3">
      <c r="A127" s="21">
        <v>44919</v>
      </c>
      <c r="B127" s="13" t="s">
        <v>104</v>
      </c>
      <c r="C127" s="13" t="s">
        <v>105</v>
      </c>
      <c r="D127" s="13" t="s">
        <v>9</v>
      </c>
      <c r="E127" s="14">
        <f>H127-G127</f>
        <v>0</v>
      </c>
      <c r="F127" s="24"/>
      <c r="G127" s="26">
        <v>127.99299999999999</v>
      </c>
      <c r="H127" s="26">
        <v>127.99299999999999</v>
      </c>
      <c r="I127" s="17" t="s">
        <v>47</v>
      </c>
      <c r="J127" s="18"/>
      <c r="K127" s="20">
        <v>1295.2259126271699</v>
      </c>
      <c r="M127">
        <v>20.188000000000102</v>
      </c>
      <c r="N127">
        <v>-33.652000000000044</v>
      </c>
    </row>
    <row r="128" spans="1:14" ht="18.75" x14ac:dyDescent="0.3">
      <c r="A128" s="21">
        <v>44943</v>
      </c>
      <c r="B128" s="13" t="s">
        <v>106</v>
      </c>
      <c r="C128" s="13" t="s">
        <v>105</v>
      </c>
      <c r="D128" s="13" t="s">
        <v>9</v>
      </c>
      <c r="E128" s="14">
        <f>H128-G128</f>
        <v>698.60799999999995</v>
      </c>
      <c r="F128" s="24"/>
      <c r="G128" s="26">
        <f>141+95-46.5-65.53-24.46</f>
        <v>99.509999999999991</v>
      </c>
      <c r="H128" s="26">
        <f>934.608-46.5-65.53-24.46</f>
        <v>798.11799999999994</v>
      </c>
      <c r="I128" s="17" t="s">
        <v>47</v>
      </c>
      <c r="J128" s="18"/>
      <c r="K128" s="20">
        <v>1210</v>
      </c>
      <c r="M128">
        <v>637.31799999999998</v>
      </c>
      <c r="N128">
        <v>428.04800000000012</v>
      </c>
    </row>
    <row r="129" spans="1:14" ht="18.75" x14ac:dyDescent="0.3">
      <c r="A129" s="21"/>
      <c r="B129" s="32" t="s">
        <v>27</v>
      </c>
      <c r="C129" s="13"/>
      <c r="D129" s="13"/>
      <c r="E129" s="23">
        <f>SUBTOTAL(9,E127:E128)</f>
        <v>698.60799999999995</v>
      </c>
      <c r="F129" s="24">
        <f>E129</f>
        <v>698.60799999999995</v>
      </c>
      <c r="G129" s="23">
        <f>SUBTOTAL(9,G127:G128)</f>
        <v>227.50299999999999</v>
      </c>
      <c r="H129" s="23">
        <f>SUBTOTAL(9,H127:H128)</f>
        <v>926.11099999999988</v>
      </c>
      <c r="I129" s="17"/>
      <c r="J129" s="18"/>
      <c r="K129" s="20"/>
    </row>
    <row r="130" spans="1:14" ht="18.75" x14ac:dyDescent="0.3">
      <c r="A130" s="22"/>
      <c r="B130" s="32"/>
      <c r="C130" s="13"/>
      <c r="D130" s="13"/>
      <c r="E130" s="15"/>
      <c r="F130" s="15"/>
      <c r="G130" s="15"/>
      <c r="H130" s="34"/>
      <c r="I130" s="17"/>
      <c r="J130" s="18"/>
      <c r="K130" s="20"/>
    </row>
    <row r="131" spans="1:14" ht="18.75" x14ac:dyDescent="0.3">
      <c r="A131" s="21">
        <v>44722</v>
      </c>
      <c r="B131" s="13" t="s">
        <v>107</v>
      </c>
      <c r="C131" s="13" t="s">
        <v>108</v>
      </c>
      <c r="D131" s="13" t="s">
        <v>9</v>
      </c>
      <c r="E131" s="14">
        <f>H131-G131</f>
        <v>1.159</v>
      </c>
      <c r="F131" s="15"/>
      <c r="G131" s="26">
        <v>0</v>
      </c>
      <c r="H131" s="26">
        <v>1.159</v>
      </c>
      <c r="I131" s="17" t="s">
        <v>109</v>
      </c>
      <c r="J131" s="18"/>
      <c r="K131" s="20">
        <v>1890</v>
      </c>
      <c r="M131">
        <v>1.1590000000001055</v>
      </c>
      <c r="N131">
        <v>2.3740000000001009</v>
      </c>
    </row>
    <row r="132" spans="1:14" ht="18.75" x14ac:dyDescent="0.3">
      <c r="A132" s="21">
        <v>44930</v>
      </c>
      <c r="B132" s="13" t="s">
        <v>110</v>
      </c>
      <c r="C132" s="13" t="s">
        <v>108</v>
      </c>
      <c r="D132" s="13" t="s">
        <v>13</v>
      </c>
      <c r="E132" s="14">
        <f>H132-G132</f>
        <v>109.333</v>
      </c>
      <c r="F132" s="15"/>
      <c r="G132" s="26">
        <f>202.96+84-24.9-23.42-21.06-22.59</f>
        <v>194.99000000000004</v>
      </c>
      <c r="H132" s="26">
        <f>396.293-24.9-23.42-21.06-22.59</f>
        <v>304.32300000000004</v>
      </c>
      <c r="I132" s="17" t="s">
        <v>21</v>
      </c>
      <c r="J132" s="18"/>
      <c r="K132" s="20">
        <v>1536.9055918352899</v>
      </c>
      <c r="M132">
        <v>244.01300000000026</v>
      </c>
      <c r="N132">
        <v>-14.797000000000025</v>
      </c>
    </row>
    <row r="133" spans="1:14" ht="18.75" x14ac:dyDescent="0.3">
      <c r="A133" s="21">
        <v>45005</v>
      </c>
      <c r="B133" s="13" t="s">
        <v>111</v>
      </c>
      <c r="C133" s="13" t="s">
        <v>108</v>
      </c>
      <c r="D133" s="13" t="s">
        <v>13</v>
      </c>
      <c r="E133" s="14">
        <f>H133-G133</f>
        <v>520.96699999999998</v>
      </c>
      <c r="F133" s="15"/>
      <c r="G133" s="26">
        <v>0</v>
      </c>
      <c r="H133" s="26">
        <v>520.96699999999998</v>
      </c>
      <c r="I133" s="17" t="s">
        <v>21</v>
      </c>
      <c r="J133" s="18"/>
      <c r="K133" s="20">
        <v>1403.23329522019</v>
      </c>
      <c r="M133">
        <v>498.50700000000001</v>
      </c>
      <c r="N133">
        <v>520.96699999999998</v>
      </c>
    </row>
    <row r="134" spans="1:14" ht="18.75" x14ac:dyDescent="0.3">
      <c r="A134" s="22"/>
      <c r="B134" s="32" t="s">
        <v>27</v>
      </c>
      <c r="C134" s="13"/>
      <c r="D134" s="13"/>
      <c r="E134" s="23">
        <f>SUBTOTAL(9,E131:E133)</f>
        <v>631.45899999999995</v>
      </c>
      <c r="F134" s="24">
        <f>E134</f>
        <v>631.45899999999995</v>
      </c>
      <c r="G134" s="23">
        <f>SUBTOTAL(9,G131:G133)</f>
        <v>194.99000000000004</v>
      </c>
      <c r="H134" s="23">
        <f>SUBTOTAL(9,H131:H133)</f>
        <v>826.44900000000007</v>
      </c>
      <c r="I134" s="17"/>
      <c r="J134" s="18"/>
      <c r="K134" s="20"/>
    </row>
    <row r="135" spans="1:14" ht="18.75" x14ac:dyDescent="0.3">
      <c r="A135" s="22"/>
      <c r="B135" s="32"/>
      <c r="C135" s="13"/>
      <c r="D135" s="13" t="s">
        <v>112</v>
      </c>
      <c r="E135" s="15"/>
      <c r="F135" s="15"/>
      <c r="G135" s="15"/>
      <c r="H135" s="34"/>
      <c r="I135" s="17"/>
      <c r="J135" s="18"/>
      <c r="K135" s="20"/>
    </row>
    <row r="136" spans="1:14" ht="18.75" x14ac:dyDescent="0.3">
      <c r="A136" s="21">
        <v>44969</v>
      </c>
      <c r="B136" s="13" t="s">
        <v>113</v>
      </c>
      <c r="C136" s="13" t="s">
        <v>114</v>
      </c>
      <c r="D136" s="13" t="s">
        <v>9</v>
      </c>
      <c r="E136" s="14">
        <f>H136-G136</f>
        <v>0</v>
      </c>
      <c r="F136" s="24"/>
      <c r="G136" s="26">
        <f>157+25-29.47+28-73.59+15.553-8.05-46.35</f>
        <v>68.092999999999989</v>
      </c>
      <c r="H136" s="26">
        <f>157+25-29.47+28-73.59+15.553-8.05-46.35</f>
        <v>68.092999999999989</v>
      </c>
      <c r="I136" s="17" t="s">
        <v>23</v>
      </c>
      <c r="J136" s="18"/>
      <c r="K136" s="20">
        <v>1192.5</v>
      </c>
      <c r="M136">
        <v>18.252999999999702</v>
      </c>
      <c r="N136">
        <v>-15.037000000000035</v>
      </c>
    </row>
    <row r="137" spans="1:14" s="62" customFormat="1" ht="18.75" x14ac:dyDescent="0.3">
      <c r="A137" s="55">
        <v>44988</v>
      </c>
      <c r="B137" s="40" t="s">
        <v>115</v>
      </c>
      <c r="C137" s="40" t="s">
        <v>114</v>
      </c>
      <c r="D137" s="40" t="s">
        <v>9</v>
      </c>
      <c r="E137" s="56">
        <f>H137-G137</f>
        <v>0</v>
      </c>
      <c r="F137" s="63"/>
      <c r="G137" s="58">
        <v>142.80500000000001</v>
      </c>
      <c r="H137" s="58">
        <v>142.80500000000001</v>
      </c>
      <c r="I137" s="59" t="s">
        <v>23</v>
      </c>
      <c r="J137" s="60"/>
      <c r="K137" s="61">
        <v>1113.50001746725</v>
      </c>
      <c r="M137" s="62" t="e">
        <v>#N/A</v>
      </c>
      <c r="N137" s="62">
        <v>42.50500000000001</v>
      </c>
    </row>
    <row r="138" spans="1:14" ht="18.75" x14ac:dyDescent="0.3">
      <c r="A138" s="21">
        <v>45041</v>
      </c>
      <c r="B138" s="13" t="s">
        <v>116</v>
      </c>
      <c r="C138" s="13" t="s">
        <v>114</v>
      </c>
      <c r="D138" s="13" t="s">
        <v>13</v>
      </c>
      <c r="E138" s="14">
        <f>H138-G138</f>
        <v>594.98399999999992</v>
      </c>
      <c r="F138" s="24"/>
      <c r="G138" s="26">
        <f>100+71+60-20.85+60+160-33.82</f>
        <v>396.33</v>
      </c>
      <c r="H138" s="26">
        <f>1045.984-20.85-33.82</f>
        <v>991.31399999999996</v>
      </c>
      <c r="I138" s="17" t="s">
        <v>21</v>
      </c>
      <c r="J138" s="18"/>
      <c r="K138" s="20"/>
      <c r="M138">
        <v>264.24400000000014</v>
      </c>
      <c r="N138">
        <v>-7.7559999999998581</v>
      </c>
    </row>
    <row r="139" spans="1:14" ht="18.75" x14ac:dyDescent="0.3">
      <c r="A139" s="21"/>
      <c r="B139" s="32" t="s">
        <v>27</v>
      </c>
      <c r="C139" s="13"/>
      <c r="D139" s="13"/>
      <c r="E139" s="23">
        <f>SUBTOTAL(9,E136:E138)</f>
        <v>594.98399999999992</v>
      </c>
      <c r="F139" s="24">
        <f>E139</f>
        <v>594.98399999999992</v>
      </c>
      <c r="G139" s="23">
        <f>SUBTOTAL(9,G136:G138)</f>
        <v>607.22799999999995</v>
      </c>
      <c r="H139" s="23">
        <f>SUBTOTAL(9,H136:H138)</f>
        <v>1202.212</v>
      </c>
      <c r="I139" s="17"/>
      <c r="J139" s="18"/>
      <c r="K139" s="20"/>
    </row>
    <row r="140" spans="1:14" ht="18.75" x14ac:dyDescent="0.3">
      <c r="A140" s="22"/>
      <c r="B140" s="32"/>
      <c r="C140" s="13"/>
      <c r="D140" s="13"/>
      <c r="E140" s="15"/>
      <c r="F140" s="15"/>
      <c r="G140" s="15"/>
      <c r="H140" s="34"/>
      <c r="I140" s="17"/>
      <c r="J140" s="18"/>
      <c r="K140" s="20"/>
    </row>
    <row r="141" spans="1:14" ht="18.75" x14ac:dyDescent="0.3">
      <c r="A141" s="21">
        <v>44904</v>
      </c>
      <c r="B141" s="13" t="s">
        <v>117</v>
      </c>
      <c r="C141" s="13" t="s">
        <v>118</v>
      </c>
      <c r="D141" s="13" t="s">
        <v>9</v>
      </c>
      <c r="E141" s="38">
        <f>H141-G141</f>
        <v>0</v>
      </c>
      <c r="F141" s="15"/>
      <c r="G141" s="26">
        <v>21.393999999999998</v>
      </c>
      <c r="H141" s="26">
        <v>21.393999999999998</v>
      </c>
      <c r="I141" s="17" t="s">
        <v>47</v>
      </c>
      <c r="J141" s="18"/>
      <c r="K141" s="20">
        <v>903.07</v>
      </c>
      <c r="M141">
        <v>21.503999999999678</v>
      </c>
      <c r="N141">
        <v>-5.6960000000000264</v>
      </c>
    </row>
    <row r="142" spans="1:14" s="62" customFormat="1" ht="18.75" x14ac:dyDescent="0.3">
      <c r="A142" s="55">
        <v>44989</v>
      </c>
      <c r="B142" s="40" t="s">
        <v>119</v>
      </c>
      <c r="C142" s="40" t="s">
        <v>118</v>
      </c>
      <c r="D142" s="40" t="s">
        <v>9</v>
      </c>
      <c r="E142" s="56">
        <f>H142-G142</f>
        <v>185.75800000000004</v>
      </c>
      <c r="F142" s="64"/>
      <c r="G142" s="58">
        <f>331.51-38.9-14.82-43.91+26+39-25.23</f>
        <v>273.64999999999998</v>
      </c>
      <c r="H142" s="58">
        <f>582.268-38.9-14.82-43.91-25.23</f>
        <v>459.40800000000002</v>
      </c>
      <c r="I142" s="59" t="s">
        <v>47</v>
      </c>
      <c r="J142" s="60"/>
      <c r="K142" s="61">
        <v>936.89</v>
      </c>
      <c r="M142" s="62">
        <v>181.09800000000007</v>
      </c>
      <c r="N142" s="62">
        <v>-223.16199999999981</v>
      </c>
    </row>
    <row r="143" spans="1:14" ht="18.75" x14ac:dyDescent="0.3">
      <c r="A143" s="21">
        <v>45036</v>
      </c>
      <c r="B143" s="13" t="s">
        <v>120</v>
      </c>
      <c r="C143" s="13" t="s">
        <v>118</v>
      </c>
      <c r="D143" s="13" t="s">
        <v>9</v>
      </c>
      <c r="E143" s="38">
        <f>H143-G143</f>
        <v>1061.152</v>
      </c>
      <c r="F143" s="15"/>
      <c r="G143" s="26">
        <v>0</v>
      </c>
      <c r="H143" s="26">
        <v>1061.152</v>
      </c>
      <c r="I143" s="17" t="s">
        <v>47</v>
      </c>
      <c r="J143" s="18"/>
      <c r="K143" s="20"/>
      <c r="M143">
        <v>1061.152</v>
      </c>
      <c r="N143">
        <v>1061.152</v>
      </c>
    </row>
    <row r="144" spans="1:14" ht="18.75" x14ac:dyDescent="0.3">
      <c r="A144" s="22"/>
      <c r="B144" s="32" t="s">
        <v>27</v>
      </c>
      <c r="C144" s="13"/>
      <c r="D144" s="13"/>
      <c r="E144" s="23">
        <f>SUBTOTAL(9,E141:E143)</f>
        <v>1246.9100000000001</v>
      </c>
      <c r="F144" s="24">
        <f>E144</f>
        <v>1246.9100000000001</v>
      </c>
      <c r="G144" s="23">
        <f>SUBTOTAL(9,G141:G143)</f>
        <v>295.04399999999998</v>
      </c>
      <c r="H144" s="23">
        <f>SUBTOTAL(9,H141:H143)</f>
        <v>1541.9540000000002</v>
      </c>
      <c r="I144" s="17"/>
      <c r="J144" s="18"/>
      <c r="K144" s="20"/>
    </row>
    <row r="145" spans="1:14" ht="18.75" x14ac:dyDescent="0.3">
      <c r="A145" s="22"/>
      <c r="B145" s="35"/>
      <c r="C145" s="13"/>
      <c r="D145" s="13"/>
      <c r="E145" s="15"/>
      <c r="F145" s="15"/>
      <c r="G145" s="15"/>
      <c r="H145" s="34"/>
      <c r="I145" s="17"/>
      <c r="J145" s="18"/>
      <c r="K145" s="20"/>
    </row>
    <row r="146" spans="1:14" ht="18.75" x14ac:dyDescent="0.3">
      <c r="A146" s="21">
        <v>44892</v>
      </c>
      <c r="B146" s="13" t="s">
        <v>121</v>
      </c>
      <c r="C146" s="13" t="s">
        <v>122</v>
      </c>
      <c r="D146" s="13" t="s">
        <v>9</v>
      </c>
      <c r="E146" s="38">
        <f t="shared" ref="E146:E151" si="10">H146-G146</f>
        <v>0</v>
      </c>
      <c r="F146" s="15"/>
      <c r="G146" s="26">
        <v>17.344000000000001</v>
      </c>
      <c r="H146" s="26">
        <v>17.344000000000001</v>
      </c>
      <c r="I146" s="17" t="s">
        <v>123</v>
      </c>
      <c r="J146" s="18"/>
      <c r="K146" s="20">
        <v>1130.0261544645684</v>
      </c>
      <c r="M146">
        <v>7.1659999999992579</v>
      </c>
      <c r="N146">
        <v>-113.59400000000051</v>
      </c>
    </row>
    <row r="147" spans="1:14" ht="18.75" x14ac:dyDescent="0.3">
      <c r="A147" s="21">
        <v>44566</v>
      </c>
      <c r="B147" s="13" t="s">
        <v>91</v>
      </c>
      <c r="C147" s="13" t="s">
        <v>122</v>
      </c>
      <c r="D147" s="13" t="s">
        <v>9</v>
      </c>
      <c r="E147" s="38">
        <f t="shared" si="10"/>
        <v>0</v>
      </c>
      <c r="F147" s="15"/>
      <c r="G147" s="26">
        <f>430.861-47.99-108.69-26.42-8.65</f>
        <v>239.11099999999996</v>
      </c>
      <c r="H147" s="26">
        <f>430.861-47.99-108.69-26.42-8.65</f>
        <v>239.11099999999996</v>
      </c>
      <c r="I147" s="17" t="s">
        <v>47</v>
      </c>
      <c r="J147" s="18"/>
      <c r="K147" s="20">
        <v>1037.0283001737214</v>
      </c>
      <c r="M147">
        <v>0</v>
      </c>
      <c r="N147">
        <v>-7.3299999999999272</v>
      </c>
    </row>
    <row r="148" spans="1:14" ht="18.75" x14ac:dyDescent="0.3">
      <c r="A148" s="21">
        <v>44976</v>
      </c>
      <c r="B148" s="13" t="s">
        <v>124</v>
      </c>
      <c r="C148" s="13" t="s">
        <v>122</v>
      </c>
      <c r="D148" s="13" t="s">
        <v>9</v>
      </c>
      <c r="E148" s="38">
        <f t="shared" si="10"/>
        <v>0</v>
      </c>
      <c r="F148" s="15"/>
      <c r="G148" s="26">
        <v>43.515000000000001</v>
      </c>
      <c r="H148" s="26">
        <v>43.515000000000001</v>
      </c>
      <c r="I148" s="17" t="s">
        <v>125</v>
      </c>
      <c r="J148" s="18"/>
      <c r="K148" s="20">
        <v>985.84867135170271</v>
      </c>
      <c r="M148">
        <v>14.536000000000058</v>
      </c>
      <c r="N148">
        <v>-107.52399999999989</v>
      </c>
    </row>
    <row r="149" spans="1:14" ht="18.75" x14ac:dyDescent="0.3">
      <c r="A149" s="21">
        <v>44997</v>
      </c>
      <c r="B149" s="13" t="s">
        <v>199</v>
      </c>
      <c r="C149" s="13" t="s">
        <v>122</v>
      </c>
      <c r="D149" s="13" t="s">
        <v>9</v>
      </c>
      <c r="E149" s="38">
        <f t="shared" si="10"/>
        <v>799.86000000000013</v>
      </c>
      <c r="F149" s="15"/>
      <c r="G149" s="26">
        <f>2102-54.7+20-35.94+75-38.14</f>
        <v>2068.2200000000003</v>
      </c>
      <c r="H149" s="26">
        <f>2996.86-54.7-35.94-38.14</f>
        <v>2868.0800000000004</v>
      </c>
      <c r="I149" s="17" t="s">
        <v>47</v>
      </c>
      <c r="J149" s="18"/>
      <c r="K149" s="20">
        <v>1023.11824649209</v>
      </c>
      <c r="M149">
        <v>574.23272425249172</v>
      </c>
      <c r="N149">
        <v>-324.31727574750812</v>
      </c>
    </row>
    <row r="150" spans="1:14" ht="18.75" x14ac:dyDescent="0.3">
      <c r="A150" s="21">
        <v>44997</v>
      </c>
      <c r="B150" s="13" t="s">
        <v>200</v>
      </c>
      <c r="C150" s="13" t="s">
        <v>122</v>
      </c>
      <c r="D150" s="13" t="s">
        <v>9</v>
      </c>
      <c r="E150" s="38">
        <f t="shared" si="10"/>
        <v>799.86000000000013</v>
      </c>
      <c r="F150" s="15"/>
      <c r="G150" s="26">
        <f>2102-54.7+20-35.94+75-38.14</f>
        <v>2068.2200000000003</v>
      </c>
      <c r="H150" s="26">
        <f>2996.86-54.7-35.94-38.14</f>
        <v>2868.0800000000004</v>
      </c>
      <c r="I150" s="17" t="s">
        <v>47</v>
      </c>
      <c r="J150" s="18"/>
      <c r="K150" s="20">
        <v>1023.11824649209</v>
      </c>
      <c r="M150">
        <v>1996.2472757475084</v>
      </c>
      <c r="N150">
        <v>1971.2472757475084</v>
      </c>
    </row>
    <row r="151" spans="1:14" ht="18.75" x14ac:dyDescent="0.3">
      <c r="A151" s="21">
        <v>45028</v>
      </c>
      <c r="B151" s="13" t="s">
        <v>126</v>
      </c>
      <c r="C151" s="13" t="s">
        <v>122</v>
      </c>
      <c r="D151" s="13" t="s">
        <v>9</v>
      </c>
      <c r="E151" s="38">
        <f t="shared" si="10"/>
        <v>523.26700000000005</v>
      </c>
      <c r="F151" s="15"/>
      <c r="G151" s="26">
        <v>0</v>
      </c>
      <c r="H151" s="26">
        <v>523.26700000000005</v>
      </c>
      <c r="I151" s="17" t="s">
        <v>32</v>
      </c>
      <c r="J151" s="18"/>
      <c r="K151" s="20">
        <v>1009.47</v>
      </c>
      <c r="M151">
        <v>523.26700000000005</v>
      </c>
      <c r="N151">
        <v>523.26700000000005</v>
      </c>
    </row>
    <row r="152" spans="1:14" ht="18.75" x14ac:dyDescent="0.3">
      <c r="A152" s="22"/>
      <c r="B152" s="32" t="s">
        <v>27</v>
      </c>
      <c r="C152" s="13"/>
      <c r="D152" s="13"/>
      <c r="E152" s="23">
        <f>SUBTOTAL(9,E146:E151)</f>
        <v>2122.9870000000001</v>
      </c>
      <c r="F152" s="24">
        <f>E152</f>
        <v>2122.9870000000001</v>
      </c>
      <c r="G152" s="23">
        <f>SUBTOTAL(9,G146:G151)</f>
        <v>4436.41</v>
      </c>
      <c r="H152" s="23">
        <f>SUBTOTAL(9,H146:H151)</f>
        <v>6559.3970000000008</v>
      </c>
      <c r="I152" s="17"/>
      <c r="J152" s="18"/>
      <c r="K152" s="20"/>
    </row>
    <row r="153" spans="1:14" ht="18.75" x14ac:dyDescent="0.3">
      <c r="A153" s="22"/>
      <c r="B153" s="32"/>
      <c r="C153" s="13"/>
      <c r="D153" s="13"/>
      <c r="E153" s="15"/>
      <c r="F153" s="15"/>
      <c r="G153" s="15"/>
      <c r="H153" s="34"/>
      <c r="I153" s="17"/>
      <c r="J153" s="18"/>
      <c r="K153" s="20"/>
    </row>
    <row r="154" spans="1:14" ht="18.75" x14ac:dyDescent="0.3">
      <c r="A154" s="21">
        <v>44993</v>
      </c>
      <c r="B154" s="13" t="s">
        <v>129</v>
      </c>
      <c r="C154" s="40" t="s">
        <v>127</v>
      </c>
      <c r="D154" s="13" t="s">
        <v>9</v>
      </c>
      <c r="E154" s="38">
        <f t="shared" ref="E154:E161" si="11">H154-G154</f>
        <v>0</v>
      </c>
      <c r="F154" s="15"/>
      <c r="G154" s="26">
        <f>100.894-23.42-25.1-49.38</f>
        <v>2.9939999999999998</v>
      </c>
      <c r="H154" s="26">
        <f>100.894-23.42-25.1-49.38</f>
        <v>2.9939999999999998</v>
      </c>
      <c r="I154" s="17" t="s">
        <v>130</v>
      </c>
      <c r="J154" s="18"/>
      <c r="K154" s="20">
        <v>1007.5023796576164</v>
      </c>
      <c r="M154">
        <v>0.31000000000005912</v>
      </c>
      <c r="N154">
        <v>-91.759999999999991</v>
      </c>
    </row>
    <row r="155" spans="1:14" ht="18.75" x14ac:dyDescent="0.3">
      <c r="A155" s="21">
        <v>44997</v>
      </c>
      <c r="B155" s="13" t="s">
        <v>201</v>
      </c>
      <c r="C155" s="40" t="s">
        <v>127</v>
      </c>
      <c r="D155" s="13" t="s">
        <v>9</v>
      </c>
      <c r="E155" s="38">
        <f t="shared" si="11"/>
        <v>1057.0990000000002</v>
      </c>
      <c r="F155" s="15"/>
      <c r="G155" s="26">
        <f>1020-190.4-17.98-29.79+95-23.12-22.36+24-59.13</f>
        <v>796.22</v>
      </c>
      <c r="H155" s="26">
        <f>2196.099-190.4-17.98-29.79-23.12-22.36-59.13</f>
        <v>1853.3190000000002</v>
      </c>
      <c r="I155" s="17" t="s">
        <v>131</v>
      </c>
      <c r="J155" s="18"/>
      <c r="K155" s="20">
        <v>1067.6300000000001</v>
      </c>
      <c r="M155">
        <v>972.65697182713143</v>
      </c>
      <c r="N155">
        <v>791.95397182713145</v>
      </c>
    </row>
    <row r="156" spans="1:14" ht="18.75" x14ac:dyDescent="0.3">
      <c r="A156" s="21">
        <v>44997</v>
      </c>
      <c r="B156" s="13" t="s">
        <v>202</v>
      </c>
      <c r="C156" s="40" t="s">
        <v>127</v>
      </c>
      <c r="D156" s="13" t="s">
        <v>9</v>
      </c>
      <c r="E156" s="38">
        <f t="shared" si="11"/>
        <v>1057.0990000000002</v>
      </c>
      <c r="F156" s="15"/>
      <c r="G156" s="26">
        <f>1020-190.4-17.98-29.79+95-23.12-22.36+24-59.13</f>
        <v>796.22</v>
      </c>
      <c r="H156" s="26">
        <f>2196.099-190.4-17.98-29.79-23.12-22.36-59.13</f>
        <v>1853.3190000000002</v>
      </c>
      <c r="I156" s="17" t="s">
        <v>131</v>
      </c>
      <c r="J156" s="18"/>
      <c r="K156" s="20">
        <v>1067.6300000000001</v>
      </c>
      <c r="M156">
        <v>0</v>
      </c>
      <c r="N156">
        <v>-371.25699999999949</v>
      </c>
    </row>
    <row r="157" spans="1:14" ht="18.75" x14ac:dyDescent="0.3">
      <c r="A157" s="21">
        <v>45028</v>
      </c>
      <c r="B157" s="13" t="s">
        <v>132</v>
      </c>
      <c r="C157" s="40" t="s">
        <v>127</v>
      </c>
      <c r="D157" s="13" t="s">
        <v>9</v>
      </c>
      <c r="E157" s="38">
        <f t="shared" si="11"/>
        <v>1929.873</v>
      </c>
      <c r="F157" s="15"/>
      <c r="G157" s="26">
        <v>0</v>
      </c>
      <c r="H157" s="26">
        <v>1929.873</v>
      </c>
      <c r="I157" s="17" t="s">
        <v>133</v>
      </c>
      <c r="J157" s="18"/>
      <c r="K157" s="20">
        <v>1078.829999</v>
      </c>
      <c r="M157">
        <v>1922.2450000000001</v>
      </c>
      <c r="N157">
        <v>1922.2450000000001</v>
      </c>
    </row>
    <row r="158" spans="1:14" ht="18.75" x14ac:dyDescent="0.3">
      <c r="A158" s="21">
        <v>44927</v>
      </c>
      <c r="B158" s="13" t="s">
        <v>134</v>
      </c>
      <c r="C158" s="13" t="s">
        <v>128</v>
      </c>
      <c r="D158" s="13" t="s">
        <v>19</v>
      </c>
      <c r="E158" s="38">
        <f t="shared" si="11"/>
        <v>0</v>
      </c>
      <c r="F158" s="15"/>
      <c r="G158" s="26">
        <f>119.548-19.81</f>
        <v>99.738</v>
      </c>
      <c r="H158" s="26">
        <f>119.548-19.81</f>
        <v>99.738</v>
      </c>
      <c r="I158" s="17" t="s">
        <v>26</v>
      </c>
      <c r="J158" s="18"/>
      <c r="K158" s="20">
        <v>1044.5195774148788</v>
      </c>
      <c r="M158">
        <v>80.158999999999878</v>
      </c>
      <c r="N158">
        <v>-0.32100000000014006</v>
      </c>
    </row>
    <row r="159" spans="1:14" ht="18.75" x14ac:dyDescent="0.3">
      <c r="A159" s="21">
        <v>45007</v>
      </c>
      <c r="B159" s="13" t="s">
        <v>203</v>
      </c>
      <c r="C159" s="13" t="s">
        <v>128</v>
      </c>
      <c r="D159" s="13" t="s">
        <v>19</v>
      </c>
      <c r="E159" s="38">
        <f t="shared" si="11"/>
        <v>60</v>
      </c>
      <c r="F159" s="15"/>
      <c r="G159" s="26">
        <f>758.638-60-91.54-9.61</f>
        <v>597.48800000000006</v>
      </c>
      <c r="H159" s="26">
        <f>758.638-91.54-9.61</f>
        <v>657.48800000000006</v>
      </c>
      <c r="I159" s="17" t="s">
        <v>26</v>
      </c>
      <c r="J159" s="18"/>
      <c r="K159" s="20">
        <v>1045</v>
      </c>
      <c r="M159">
        <v>477.12800000000004</v>
      </c>
      <c r="N159">
        <v>225.99800000000005</v>
      </c>
    </row>
    <row r="160" spans="1:14" ht="18.75" x14ac:dyDescent="0.3">
      <c r="A160" s="21">
        <v>44959</v>
      </c>
      <c r="B160" s="13" t="s">
        <v>135</v>
      </c>
      <c r="C160" s="40" t="s">
        <v>127</v>
      </c>
      <c r="D160" s="13" t="s">
        <v>136</v>
      </c>
      <c r="E160" s="36">
        <f t="shared" si="11"/>
        <v>-304.96100000000007</v>
      </c>
      <c r="F160" s="15"/>
      <c r="G160" s="26">
        <f>200+60+56-47.74+93-20.21+25+16-23.45</f>
        <v>358.6</v>
      </c>
      <c r="H160" s="26">
        <f>145.039-47.74-20.21-23.45</f>
        <v>53.638999999999967</v>
      </c>
      <c r="I160" s="17"/>
      <c r="J160" s="18"/>
      <c r="K160" s="20"/>
    </row>
    <row r="161" spans="1:14" ht="18.75" x14ac:dyDescent="0.3">
      <c r="A161" s="21">
        <v>45050</v>
      </c>
      <c r="B161" s="13" t="s">
        <v>221</v>
      </c>
      <c r="C161" s="13" t="s">
        <v>128</v>
      </c>
      <c r="D161" s="13" t="s">
        <v>136</v>
      </c>
      <c r="E161" s="36">
        <f t="shared" si="11"/>
        <v>-304.96100000000007</v>
      </c>
      <c r="F161" s="15"/>
      <c r="G161" s="26">
        <f>200+60+56-47.74+93-20.21+25+16-23.45</f>
        <v>358.6</v>
      </c>
      <c r="H161" s="26">
        <f>145.039-47.74-20.21-23.45</f>
        <v>53.638999999999967</v>
      </c>
      <c r="I161" s="17" t="s">
        <v>136</v>
      </c>
      <c r="J161" s="18"/>
      <c r="K161" s="20"/>
    </row>
    <row r="162" spans="1:14" ht="18.75" x14ac:dyDescent="0.3">
      <c r="A162" s="22"/>
      <c r="B162" s="41" t="s">
        <v>27</v>
      </c>
      <c r="C162" s="13"/>
      <c r="D162" s="13"/>
      <c r="E162" s="23">
        <f>SUBTOTAL(9,E154:E161)</f>
        <v>3494.1489999999994</v>
      </c>
      <c r="F162" s="24">
        <f>E162</f>
        <v>3494.1489999999994</v>
      </c>
      <c r="G162" s="23">
        <f>SUBTOTAL(9,G154:G161)</f>
        <v>3009.86</v>
      </c>
      <c r="H162" s="23">
        <f>SUBTOTAL(9,H154:H161)</f>
        <v>6504.0090000000018</v>
      </c>
      <c r="I162" s="17"/>
      <c r="J162" s="18"/>
      <c r="K162" s="20"/>
    </row>
    <row r="163" spans="1:14" ht="18.75" x14ac:dyDescent="0.3">
      <c r="A163" s="22"/>
      <c r="B163" s="41"/>
      <c r="C163" s="13"/>
      <c r="D163" s="13"/>
      <c r="E163" s="15"/>
      <c r="F163" s="24"/>
      <c r="G163" s="23"/>
      <c r="H163" s="23"/>
      <c r="I163" s="17"/>
      <c r="J163" s="18"/>
      <c r="K163" s="20"/>
    </row>
    <row r="164" spans="1:14" ht="18.75" x14ac:dyDescent="0.3">
      <c r="A164" s="21">
        <v>44903</v>
      </c>
      <c r="B164" s="13" t="s">
        <v>137</v>
      </c>
      <c r="C164" s="13" t="s">
        <v>138</v>
      </c>
      <c r="D164" s="13" t="s">
        <v>13</v>
      </c>
      <c r="E164" s="38">
        <f t="shared" ref="E164:E166" si="12">H164-G164</f>
        <v>317.96299999999991</v>
      </c>
      <c r="F164" s="24"/>
      <c r="G164" s="26">
        <f>242-16.87+17-20.85+21+118-16.83+40-40.85</f>
        <v>342.59999999999997</v>
      </c>
      <c r="H164" s="26">
        <f>755.963-16.87-20.85-16.83-40.85</f>
        <v>660.56299999999987</v>
      </c>
      <c r="I164" s="17" t="s">
        <v>21</v>
      </c>
      <c r="J164" s="18"/>
      <c r="K164" s="20">
        <v>1270</v>
      </c>
      <c r="M164">
        <v>426.04600000000005</v>
      </c>
      <c r="N164">
        <v>257.9129999999999</v>
      </c>
    </row>
    <row r="165" spans="1:14" s="62" customFormat="1" ht="18.75" x14ac:dyDescent="0.3">
      <c r="A165" s="55">
        <v>44958</v>
      </c>
      <c r="B165" s="40" t="s">
        <v>139</v>
      </c>
      <c r="C165" s="40" t="s">
        <v>138</v>
      </c>
      <c r="D165" s="40" t="s">
        <v>13</v>
      </c>
      <c r="E165" s="56">
        <f t="shared" si="12"/>
        <v>914.00199999999995</v>
      </c>
      <c r="F165" s="63"/>
      <c r="G165" s="58">
        <v>0</v>
      </c>
      <c r="H165" s="58">
        <v>914.00199999999995</v>
      </c>
      <c r="I165" s="59" t="s">
        <v>21</v>
      </c>
      <c r="J165" s="60"/>
      <c r="K165" s="61">
        <v>1135.2007723642</v>
      </c>
      <c r="M165" s="62">
        <v>914.00200000000007</v>
      </c>
      <c r="N165" s="62">
        <v>914.00199999999995</v>
      </c>
    </row>
    <row r="166" spans="1:14" ht="18.75" x14ac:dyDescent="0.3">
      <c r="A166" s="21">
        <v>44878</v>
      </c>
      <c r="B166" s="13" t="s">
        <v>140</v>
      </c>
      <c r="C166" s="13" t="s">
        <v>138</v>
      </c>
      <c r="D166" s="13" t="s">
        <v>19</v>
      </c>
      <c r="E166" s="38">
        <f t="shared" si="12"/>
        <v>0</v>
      </c>
      <c r="F166" s="24"/>
      <c r="G166" s="26">
        <f>54.361-15.55-20.1-16.33</f>
        <v>2.3809999999999931</v>
      </c>
      <c r="H166" s="26">
        <f>54.361-15.55-20.1-16.33</f>
        <v>2.3809999999999931</v>
      </c>
      <c r="I166" s="17" t="s">
        <v>26</v>
      </c>
      <c r="J166" s="18"/>
      <c r="K166" s="20">
        <v>1312.2284725536992</v>
      </c>
      <c r="M166">
        <v>1.0370000000004893</v>
      </c>
      <c r="N166">
        <v>1.0369999999998072</v>
      </c>
    </row>
    <row r="167" spans="1:14" ht="18.75" x14ac:dyDescent="0.3">
      <c r="A167" s="21"/>
      <c r="B167" s="41" t="s">
        <v>27</v>
      </c>
      <c r="C167" s="13"/>
      <c r="D167" s="13"/>
      <c r="E167" s="23">
        <f>SUBTOTAL(9,E164:E166)</f>
        <v>1231.9649999999999</v>
      </c>
      <c r="F167" s="24">
        <f>E167</f>
        <v>1231.9649999999999</v>
      </c>
      <c r="G167" s="23">
        <f>SUBTOTAL(9,G164:G166)</f>
        <v>344.98099999999994</v>
      </c>
      <c r="H167" s="23">
        <f>SUBTOTAL(9,H164:H166)</f>
        <v>1576.9459999999999</v>
      </c>
      <c r="I167" s="17"/>
      <c r="J167" s="18"/>
      <c r="K167" s="20"/>
    </row>
    <row r="168" spans="1:14" ht="18.75" x14ac:dyDescent="0.3">
      <c r="A168" s="22"/>
      <c r="B168" s="41"/>
      <c r="C168" s="13"/>
      <c r="D168" s="13"/>
      <c r="E168" s="15"/>
      <c r="F168" s="24"/>
      <c r="G168" s="23"/>
      <c r="H168" s="23"/>
      <c r="I168" s="17"/>
      <c r="J168" s="18"/>
      <c r="K168" s="20"/>
    </row>
    <row r="169" spans="1:14" ht="18.75" x14ac:dyDescent="0.3">
      <c r="A169" s="21">
        <v>44915</v>
      </c>
      <c r="B169" s="13" t="s">
        <v>204</v>
      </c>
      <c r="C169" s="13" t="s">
        <v>141</v>
      </c>
      <c r="D169" s="13" t="s">
        <v>9</v>
      </c>
      <c r="E169" s="14">
        <f t="shared" ref="E169:E175" si="13">H169-G169</f>
        <v>67.872</v>
      </c>
      <c r="F169" s="24"/>
      <c r="G169" s="26">
        <v>18.63</v>
      </c>
      <c r="H169" s="26">
        <v>86.501999999999995</v>
      </c>
      <c r="I169" s="17" t="s">
        <v>142</v>
      </c>
      <c r="J169" s="18"/>
      <c r="K169" s="20">
        <v>1245</v>
      </c>
      <c r="M169">
        <v>68.72400000000016</v>
      </c>
      <c r="N169">
        <v>67.052999999999884</v>
      </c>
    </row>
    <row r="170" spans="1:14" ht="18.75" x14ac:dyDescent="0.3">
      <c r="A170" s="21">
        <v>44915</v>
      </c>
      <c r="B170" s="13" t="s">
        <v>205</v>
      </c>
      <c r="C170" s="13" t="s">
        <v>141</v>
      </c>
      <c r="D170" s="13" t="s">
        <v>9</v>
      </c>
      <c r="E170" s="14">
        <f t="shared" si="13"/>
        <v>67.872</v>
      </c>
      <c r="F170" s="24"/>
      <c r="G170" s="26">
        <v>18.63</v>
      </c>
      <c r="H170" s="26">
        <v>86.501999999999995</v>
      </c>
      <c r="I170" s="17" t="s">
        <v>142</v>
      </c>
      <c r="J170" s="18"/>
      <c r="K170" s="20">
        <v>1245</v>
      </c>
      <c r="M170">
        <v>0</v>
      </c>
      <c r="N170">
        <v>-0.47900000000002585</v>
      </c>
    </row>
    <row r="171" spans="1:14" ht="18.75" x14ac:dyDescent="0.3">
      <c r="A171" s="21">
        <v>44915</v>
      </c>
      <c r="B171" s="13" t="s">
        <v>206</v>
      </c>
      <c r="C171" s="13" t="s">
        <v>141</v>
      </c>
      <c r="D171" s="13" t="s">
        <v>9</v>
      </c>
      <c r="E171" s="14">
        <f t="shared" si="13"/>
        <v>67.872</v>
      </c>
      <c r="F171" s="24"/>
      <c r="G171" s="26">
        <v>18.63</v>
      </c>
      <c r="H171" s="26">
        <v>86.501999999999995</v>
      </c>
      <c r="I171" s="17" t="s">
        <v>142</v>
      </c>
      <c r="J171" s="18"/>
      <c r="K171" s="20">
        <v>1245</v>
      </c>
      <c r="M171">
        <v>18.629999999999768</v>
      </c>
      <c r="N171">
        <v>0</v>
      </c>
    </row>
    <row r="172" spans="1:14" s="62" customFormat="1" ht="18.75" x14ac:dyDescent="0.3">
      <c r="A172" s="55">
        <v>44942</v>
      </c>
      <c r="B172" s="40" t="s">
        <v>143</v>
      </c>
      <c r="C172" s="40" t="s">
        <v>141</v>
      </c>
      <c r="D172" s="40" t="s">
        <v>9</v>
      </c>
      <c r="E172" s="56">
        <f t="shared" si="13"/>
        <v>4.202000000000055</v>
      </c>
      <c r="F172" s="63"/>
      <c r="G172" s="58">
        <v>52.787999999999982</v>
      </c>
      <c r="H172" s="58">
        <v>56.990000000000038</v>
      </c>
      <c r="I172" s="59" t="s">
        <v>142</v>
      </c>
      <c r="J172" s="42" t="s">
        <v>144</v>
      </c>
      <c r="K172" s="61"/>
      <c r="M172" s="62" t="e">
        <v>#N/A</v>
      </c>
      <c r="N172" s="62" t="e">
        <v>#N/A</v>
      </c>
    </row>
    <row r="173" spans="1:14" ht="18.75" x14ac:dyDescent="0.3">
      <c r="A173" s="21">
        <v>44999</v>
      </c>
      <c r="B173" s="13" t="s">
        <v>207</v>
      </c>
      <c r="C173" s="13" t="s">
        <v>141</v>
      </c>
      <c r="D173" s="13" t="s">
        <v>9</v>
      </c>
      <c r="E173" s="14">
        <f t="shared" si="13"/>
        <v>219.6690000000001</v>
      </c>
      <c r="F173" s="24"/>
      <c r="G173" s="26">
        <f>940-99.72-27.22-23.15-40.42</f>
        <v>749.49</v>
      </c>
      <c r="H173" s="26">
        <f>1159.669-99.72-27.22-23.15-40.42</f>
        <v>969.15900000000011</v>
      </c>
      <c r="I173" s="17" t="s">
        <v>142</v>
      </c>
      <c r="J173" s="18"/>
      <c r="K173" s="20">
        <v>1245</v>
      </c>
      <c r="M173">
        <v>467.59799999999996</v>
      </c>
      <c r="N173">
        <v>92.080999999999847</v>
      </c>
    </row>
    <row r="174" spans="1:14" ht="18.75" x14ac:dyDescent="0.3">
      <c r="A174" s="21">
        <v>44999</v>
      </c>
      <c r="B174" s="13" t="s">
        <v>208</v>
      </c>
      <c r="C174" s="13" t="s">
        <v>141</v>
      </c>
      <c r="D174" s="13" t="s">
        <v>9</v>
      </c>
      <c r="E174" s="14">
        <f t="shared" si="13"/>
        <v>219.6690000000001</v>
      </c>
      <c r="F174" s="24"/>
      <c r="G174" s="26">
        <f>940-99.72-27.22-23.15-40.42</f>
        <v>749.49</v>
      </c>
      <c r="H174" s="26">
        <f>1159.669-99.72-27.22-23.15-40.42</f>
        <v>969.15900000000011</v>
      </c>
      <c r="I174" s="17" t="s">
        <v>142</v>
      </c>
      <c r="J174" s="18"/>
      <c r="K174" s="20">
        <v>1245</v>
      </c>
      <c r="M174">
        <v>-5.1999999999907232E-2</v>
      </c>
      <c r="N174">
        <v>28.408000000000015</v>
      </c>
    </row>
    <row r="175" spans="1:14" ht="18.75" x14ac:dyDescent="0.3">
      <c r="A175" s="21">
        <v>44999</v>
      </c>
      <c r="B175" s="13" t="s">
        <v>209</v>
      </c>
      <c r="C175" s="13" t="s">
        <v>141</v>
      </c>
      <c r="D175" s="13" t="s">
        <v>9</v>
      </c>
      <c r="E175" s="14">
        <f t="shared" si="13"/>
        <v>219.6690000000001</v>
      </c>
      <c r="F175" s="24"/>
      <c r="G175" s="26">
        <f>940-99.72-27.22-23.15-40.42</f>
        <v>749.49</v>
      </c>
      <c r="H175" s="26">
        <f>1159.669-99.72-27.22-23.15-40.42</f>
        <v>969.15900000000011</v>
      </c>
      <c r="I175" s="17" t="s">
        <v>142</v>
      </c>
      <c r="J175" s="18"/>
      <c r="K175" s="20">
        <v>1245</v>
      </c>
      <c r="M175">
        <v>151.065</v>
      </c>
      <c r="N175">
        <v>114.565</v>
      </c>
    </row>
    <row r="176" spans="1:14" ht="18.75" x14ac:dyDescent="0.3">
      <c r="A176" s="21"/>
      <c r="B176" s="32" t="s">
        <v>27</v>
      </c>
      <c r="C176" s="13"/>
      <c r="D176" s="13"/>
      <c r="E176" s="23">
        <f>SUBTOTAL(9,E169:E175)</f>
        <v>866.82500000000027</v>
      </c>
      <c r="F176" s="24">
        <f>E176</f>
        <v>866.82500000000027</v>
      </c>
      <c r="G176" s="23">
        <f>SUBTOTAL(9,G169:G175)</f>
        <v>2357.1480000000001</v>
      </c>
      <c r="H176" s="23">
        <f>SUBTOTAL(9,H169:H175)</f>
        <v>3223.9730000000004</v>
      </c>
      <c r="I176" s="17"/>
      <c r="J176" s="18"/>
      <c r="K176" s="20"/>
    </row>
    <row r="177" spans="1:14" ht="18.75" x14ac:dyDescent="0.3">
      <c r="A177" s="21"/>
      <c r="B177" s="35"/>
      <c r="C177" s="13"/>
      <c r="D177" s="13"/>
      <c r="E177" s="14"/>
      <c r="F177" s="24"/>
      <c r="G177" s="23"/>
      <c r="H177" s="23"/>
      <c r="I177" s="17"/>
      <c r="J177" s="18"/>
      <c r="K177" s="20"/>
    </row>
    <row r="178" spans="1:14" ht="18.75" x14ac:dyDescent="0.3">
      <c r="A178" s="21">
        <v>44964</v>
      </c>
      <c r="B178" s="35" t="s">
        <v>145</v>
      </c>
      <c r="C178" s="13" t="s">
        <v>146</v>
      </c>
      <c r="D178" s="13" t="s">
        <v>9</v>
      </c>
      <c r="E178" s="14">
        <f>H178-G178</f>
        <v>0</v>
      </c>
      <c r="F178" s="24"/>
      <c r="G178" s="26">
        <f>70.707-15.16</f>
        <v>55.546999999999997</v>
      </c>
      <c r="H178" s="26">
        <f>70.707-15.16</f>
        <v>55.546999999999997</v>
      </c>
      <c r="I178" s="17" t="s">
        <v>47</v>
      </c>
      <c r="J178" s="18"/>
      <c r="K178" s="20">
        <v>1045</v>
      </c>
      <c r="M178">
        <v>26.400000000000006</v>
      </c>
      <c r="N178">
        <v>0.45300000000000296</v>
      </c>
    </row>
    <row r="179" spans="1:14" ht="18.75" x14ac:dyDescent="0.3">
      <c r="A179" s="21">
        <v>44978</v>
      </c>
      <c r="B179" s="35" t="s">
        <v>210</v>
      </c>
      <c r="C179" s="13" t="s">
        <v>146</v>
      </c>
      <c r="D179" s="13" t="s">
        <v>9</v>
      </c>
      <c r="E179" s="14">
        <f>H179-G179</f>
        <v>803.851</v>
      </c>
      <c r="F179" s="24"/>
      <c r="G179" s="26">
        <f>105-10.51+60-30.61</f>
        <v>123.88000000000001</v>
      </c>
      <c r="H179" s="26">
        <f>998.821-29.97-10.51-30.61</f>
        <v>927.73099999999999</v>
      </c>
      <c r="I179" s="17" t="s">
        <v>47</v>
      </c>
      <c r="J179" s="18"/>
      <c r="K179" s="20">
        <v>1120</v>
      </c>
      <c r="M179">
        <v>811.04100000000005</v>
      </c>
      <c r="N179">
        <v>779.49800000000005</v>
      </c>
    </row>
    <row r="180" spans="1:14" ht="18.75" x14ac:dyDescent="0.3">
      <c r="A180" s="21">
        <v>45018</v>
      </c>
      <c r="B180" s="35" t="s">
        <v>147</v>
      </c>
      <c r="C180" s="13" t="s">
        <v>146</v>
      </c>
      <c r="D180" s="13" t="s">
        <v>9</v>
      </c>
      <c r="E180" s="14">
        <f>H180-G180</f>
        <v>521.01599999999996</v>
      </c>
      <c r="F180" s="24"/>
      <c r="G180" s="26">
        <v>0</v>
      </c>
      <c r="H180" s="26">
        <v>521.01599999999996</v>
      </c>
      <c r="I180" s="17" t="s">
        <v>47</v>
      </c>
      <c r="J180" s="18"/>
      <c r="K180" s="20">
        <v>1050</v>
      </c>
      <c r="M180">
        <v>521.01599999999996</v>
      </c>
      <c r="N180">
        <v>400.93599999999998</v>
      </c>
    </row>
    <row r="181" spans="1:14" ht="18.75" x14ac:dyDescent="0.3">
      <c r="A181" s="21">
        <v>44905</v>
      </c>
      <c r="B181" s="35" t="s">
        <v>148</v>
      </c>
      <c r="C181" s="13" t="s">
        <v>146</v>
      </c>
      <c r="D181" s="13" t="s">
        <v>13</v>
      </c>
      <c r="E181" s="14">
        <f>H181-G181</f>
        <v>92.98599999999999</v>
      </c>
      <c r="F181" s="24"/>
      <c r="G181" s="26">
        <v>46</v>
      </c>
      <c r="H181" s="26">
        <v>138.98599999999999</v>
      </c>
      <c r="I181" s="17" t="s">
        <v>21</v>
      </c>
      <c r="J181" s="18"/>
      <c r="K181" s="20">
        <v>1100</v>
      </c>
      <c r="M181">
        <v>68.516000000000076</v>
      </c>
      <c r="N181">
        <v>24.933999999999969</v>
      </c>
    </row>
    <row r="182" spans="1:14" ht="18.75" x14ac:dyDescent="0.3">
      <c r="A182" s="21"/>
      <c r="B182" s="32" t="s">
        <v>27</v>
      </c>
      <c r="C182" s="13"/>
      <c r="D182" s="13"/>
      <c r="E182" s="23">
        <f>SUBTOTAL(9,E178:E181)</f>
        <v>1417.8530000000001</v>
      </c>
      <c r="F182" s="24">
        <f>E182</f>
        <v>1417.8530000000001</v>
      </c>
      <c r="G182" s="23">
        <f>SUBTOTAL(9,G178:G181)</f>
        <v>225.42700000000002</v>
      </c>
      <c r="H182" s="23">
        <f>SUBTOTAL(9,H178:H181)</f>
        <v>1643.2799999999997</v>
      </c>
      <c r="I182" s="17"/>
      <c r="J182" s="18"/>
      <c r="K182" s="20"/>
    </row>
    <row r="183" spans="1:14" ht="18.75" x14ac:dyDescent="0.3">
      <c r="A183" s="22"/>
      <c r="B183" s="13"/>
      <c r="C183" s="13"/>
      <c r="D183" s="13"/>
      <c r="E183" s="15"/>
      <c r="F183" s="15"/>
      <c r="G183" s="23"/>
      <c r="H183" s="23"/>
      <c r="I183" s="17"/>
      <c r="J183" s="18"/>
      <c r="K183" s="20"/>
    </row>
    <row r="184" spans="1:14" ht="18.75" x14ac:dyDescent="0.3">
      <c r="A184" s="21">
        <v>44876</v>
      </c>
      <c r="B184" s="13" t="s">
        <v>211</v>
      </c>
      <c r="C184" s="13" t="s">
        <v>149</v>
      </c>
      <c r="D184" s="13" t="s">
        <v>13</v>
      </c>
      <c r="E184" s="14">
        <f>H184-G184</f>
        <v>0</v>
      </c>
      <c r="F184" s="23"/>
      <c r="G184" s="26">
        <f>180.331-25.13-20.14-25.14-30.09-24.68</f>
        <v>55.150999999999975</v>
      </c>
      <c r="H184" s="26">
        <v>55.151000000000003</v>
      </c>
      <c r="I184" s="17" t="s">
        <v>21</v>
      </c>
      <c r="J184" s="18"/>
      <c r="K184" s="20">
        <v>350</v>
      </c>
      <c r="M184">
        <v>30.807999999999083</v>
      </c>
      <c r="N184">
        <v>20.647999999999456</v>
      </c>
    </row>
    <row r="185" spans="1:14" ht="18.75" x14ac:dyDescent="0.3">
      <c r="A185" s="21">
        <v>44995</v>
      </c>
      <c r="B185" s="13" t="s">
        <v>212</v>
      </c>
      <c r="C185" s="13" t="s">
        <v>149</v>
      </c>
      <c r="D185" s="13" t="s">
        <v>13</v>
      </c>
      <c r="E185" s="14">
        <f>H185-G185</f>
        <v>112.69600000000003</v>
      </c>
      <c r="F185" s="23"/>
      <c r="G185" s="26">
        <f>626.889+25-30.02+25-24.94-100-30.01+25</f>
        <v>516.91899999999998</v>
      </c>
      <c r="H185" s="26">
        <f>714.585-30.02-24.94-30.01</f>
        <v>629.61500000000001</v>
      </c>
      <c r="I185" s="17" t="s">
        <v>21</v>
      </c>
      <c r="J185" s="18"/>
      <c r="K185" s="20">
        <v>365</v>
      </c>
      <c r="M185">
        <v>573.64499999999998</v>
      </c>
      <c r="N185">
        <v>67.544999999999959</v>
      </c>
    </row>
    <row r="186" spans="1:14" ht="18.75" x14ac:dyDescent="0.3">
      <c r="A186" s="22"/>
      <c r="B186" s="32" t="s">
        <v>27</v>
      </c>
      <c r="C186" s="13"/>
      <c r="D186" s="13"/>
      <c r="E186" s="23">
        <f>SUBTOTAL(9,E184:E185)</f>
        <v>112.69600000000003</v>
      </c>
      <c r="F186" s="24">
        <f>E186</f>
        <v>112.69600000000003</v>
      </c>
      <c r="G186" s="23">
        <f>SUBTOTAL(9,G184:G185)</f>
        <v>572.06999999999994</v>
      </c>
      <c r="H186" s="23">
        <f>SUBTOTAL(9,H184:H185)</f>
        <v>684.76599999999996</v>
      </c>
      <c r="I186" s="17"/>
      <c r="J186" s="18"/>
      <c r="K186" s="20"/>
    </row>
    <row r="187" spans="1:14" ht="18.75" x14ac:dyDescent="0.3">
      <c r="A187" s="22"/>
      <c r="B187" s="32"/>
      <c r="C187" s="13"/>
      <c r="D187" s="13"/>
      <c r="E187" s="15"/>
      <c r="F187" s="24"/>
      <c r="G187" s="23"/>
      <c r="H187" s="23"/>
      <c r="I187" s="17"/>
      <c r="J187" s="18"/>
      <c r="K187" s="20"/>
    </row>
    <row r="188" spans="1:14" ht="18.75" x14ac:dyDescent="0.3">
      <c r="A188" s="21">
        <v>44968</v>
      </c>
      <c r="B188" s="13" t="s">
        <v>150</v>
      </c>
      <c r="C188" s="13" t="s">
        <v>151</v>
      </c>
      <c r="D188" s="13" t="s">
        <v>9</v>
      </c>
      <c r="E188" s="14">
        <f>H188-G188</f>
        <v>0</v>
      </c>
      <c r="F188" s="24"/>
      <c r="G188" s="26">
        <v>49.225000000000001</v>
      </c>
      <c r="H188" s="26">
        <v>49.225000000000001</v>
      </c>
      <c r="I188" s="17" t="s">
        <v>152</v>
      </c>
      <c r="J188" s="18"/>
      <c r="K188" s="20">
        <v>1050.893645464718</v>
      </c>
      <c r="M188">
        <v>1.376999999999839</v>
      </c>
      <c r="N188">
        <v>1.376999999999839</v>
      </c>
    </row>
    <row r="189" spans="1:14" ht="18.75" x14ac:dyDescent="0.3">
      <c r="A189" s="21">
        <v>44995</v>
      </c>
      <c r="B189" s="13" t="s">
        <v>153</v>
      </c>
      <c r="C189" s="13" t="s">
        <v>154</v>
      </c>
      <c r="D189" s="13" t="s">
        <v>9</v>
      </c>
      <c r="E189" s="14">
        <f>H189-G189</f>
        <v>275.28200000000004</v>
      </c>
      <c r="F189" s="24"/>
      <c r="G189" s="26">
        <f>94+25-25.3-49.52+50</f>
        <v>94.18</v>
      </c>
      <c r="H189" s="26">
        <f>469.872-25.59-25.3-49.52</f>
        <v>369.46200000000005</v>
      </c>
      <c r="I189" s="17" t="s">
        <v>152</v>
      </c>
      <c r="J189" s="18"/>
      <c r="K189" s="20">
        <v>1301.1066666436805</v>
      </c>
      <c r="M189">
        <v>341.02100000000002</v>
      </c>
      <c r="N189">
        <v>43.290999999999997</v>
      </c>
    </row>
    <row r="190" spans="1:14" ht="18.75" x14ac:dyDescent="0.3">
      <c r="A190" s="21">
        <v>44995</v>
      </c>
      <c r="B190" s="13" t="s">
        <v>155</v>
      </c>
      <c r="C190" s="13" t="s">
        <v>156</v>
      </c>
      <c r="D190" s="13" t="s">
        <v>9</v>
      </c>
      <c r="E190" s="14">
        <f>H190-G190</f>
        <v>403.75799999999998</v>
      </c>
      <c r="F190" s="24"/>
      <c r="G190" s="26">
        <f>47-23.54+25</f>
        <v>48.46</v>
      </c>
      <c r="H190" s="26">
        <f>475.758-23.54</f>
        <v>452.21799999999996</v>
      </c>
      <c r="I190" s="17" t="s">
        <v>152</v>
      </c>
      <c r="J190" s="18"/>
      <c r="K190" s="20">
        <v>1281.0868769669034</v>
      </c>
      <c r="M190">
        <v>352.00400000000002</v>
      </c>
      <c r="N190">
        <v>277.22399999999999</v>
      </c>
    </row>
    <row r="191" spans="1:14" ht="18.75" x14ac:dyDescent="0.3">
      <c r="A191" s="22"/>
      <c r="B191" s="32" t="s">
        <v>27</v>
      </c>
      <c r="C191" s="13"/>
      <c r="D191" s="13"/>
      <c r="E191" s="23">
        <f>SUBTOTAL(9,E188:E190)</f>
        <v>679.04</v>
      </c>
      <c r="F191" s="24">
        <f>E191</f>
        <v>679.04</v>
      </c>
      <c r="G191" s="23">
        <f>SUBTOTAL(9,G188:G190)</f>
        <v>191.86500000000001</v>
      </c>
      <c r="H191" s="23">
        <f>SUBTOTAL(9,H188:H190)</f>
        <v>870.90499999999997</v>
      </c>
      <c r="I191" s="17"/>
      <c r="J191" s="18"/>
      <c r="K191" s="20"/>
    </row>
    <row r="192" spans="1:14" ht="18.75" x14ac:dyDescent="0.3">
      <c r="A192" s="22"/>
      <c r="B192" s="32"/>
      <c r="C192" s="13"/>
      <c r="D192" s="13"/>
      <c r="E192" s="23"/>
      <c r="F192" s="24"/>
      <c r="G192" s="23"/>
      <c r="H192" s="23"/>
      <c r="I192" s="17"/>
      <c r="J192" s="18"/>
      <c r="K192" s="20"/>
    </row>
    <row r="193" spans="1:16375" ht="18.75" x14ac:dyDescent="0.3">
      <c r="A193" s="21">
        <v>45044</v>
      </c>
      <c r="B193" s="13" t="s">
        <v>157</v>
      </c>
      <c r="C193" s="13" t="s">
        <v>158</v>
      </c>
      <c r="D193" s="13" t="s">
        <v>9</v>
      </c>
      <c r="E193" s="14">
        <f>H193-G193</f>
        <v>959.30799999999999</v>
      </c>
      <c r="F193" s="24"/>
      <c r="G193" s="26">
        <v>60</v>
      </c>
      <c r="H193" s="26">
        <v>1019.308</v>
      </c>
      <c r="I193" s="17" t="s">
        <v>29</v>
      </c>
      <c r="J193" s="18"/>
      <c r="K193" s="20"/>
      <c r="M193">
        <v>1019.308</v>
      </c>
      <c r="N193">
        <v>839.30799999999999</v>
      </c>
    </row>
    <row r="194" spans="1:16375" ht="18.75" x14ac:dyDescent="0.3">
      <c r="A194" s="21"/>
      <c r="B194" s="15" t="s">
        <v>27</v>
      </c>
      <c r="C194" s="14"/>
      <c r="D194" s="14"/>
      <c r="E194" s="23">
        <f>SUBTOTAL(9,E193:E193)</f>
        <v>959.30799999999999</v>
      </c>
      <c r="F194" s="24">
        <f>E194</f>
        <v>959.30799999999999</v>
      </c>
      <c r="G194" s="23">
        <f>SUBTOTAL(9,G193:G193)</f>
        <v>60</v>
      </c>
      <c r="H194" s="23">
        <f>SUBTOTAL(9,H193:H193)</f>
        <v>1019.308</v>
      </c>
      <c r="I194" s="17"/>
      <c r="J194" s="18"/>
      <c r="K194" s="20"/>
    </row>
    <row r="195" spans="1:16375" ht="18.75" x14ac:dyDescent="0.3">
      <c r="A195" s="22"/>
      <c r="B195" s="32"/>
      <c r="C195" s="13"/>
      <c r="D195" s="13"/>
      <c r="E195" s="15"/>
      <c r="F195" s="15"/>
      <c r="G195" s="23"/>
      <c r="H195" s="23"/>
      <c r="I195" s="43"/>
      <c r="J195" s="44"/>
      <c r="K195" s="20"/>
    </row>
    <row r="196" spans="1:16375" s="62" customFormat="1" ht="18.75" x14ac:dyDescent="0.3">
      <c r="A196" s="55">
        <v>44936</v>
      </c>
      <c r="B196" s="40" t="s">
        <v>160</v>
      </c>
      <c r="C196" s="40" t="s">
        <v>159</v>
      </c>
      <c r="D196" s="40" t="s">
        <v>9</v>
      </c>
      <c r="E196" s="56">
        <f t="shared" ref="E196:E203" si="14">H196-G196</f>
        <v>0</v>
      </c>
      <c r="F196" s="64"/>
      <c r="G196" s="58">
        <f>30.29-29.76</f>
        <v>0.52999999999999758</v>
      </c>
      <c r="H196" s="58">
        <f>30.29-29.76</f>
        <v>0.52999999999999758</v>
      </c>
      <c r="I196" s="59" t="s">
        <v>47</v>
      </c>
      <c r="J196" s="31" t="s">
        <v>41</v>
      </c>
      <c r="K196" s="61"/>
      <c r="M196" s="62" t="e">
        <v>#N/A</v>
      </c>
      <c r="N196" s="62" t="e">
        <v>#N/A</v>
      </c>
    </row>
    <row r="197" spans="1:16375" s="62" customFormat="1" ht="18.75" x14ac:dyDescent="0.3">
      <c r="A197" s="55">
        <v>44976</v>
      </c>
      <c r="B197" s="40" t="s">
        <v>161</v>
      </c>
      <c r="C197" s="40" t="s">
        <v>159</v>
      </c>
      <c r="D197" s="40" t="s">
        <v>9</v>
      </c>
      <c r="E197" s="56">
        <f t="shared" si="14"/>
        <v>5</v>
      </c>
      <c r="F197" s="64"/>
      <c r="G197" s="58">
        <v>41.087000000003172</v>
      </c>
      <c r="H197" s="58">
        <v>46.087000000003172</v>
      </c>
      <c r="I197" s="59" t="s">
        <v>109</v>
      </c>
      <c r="J197" s="31" t="s">
        <v>41</v>
      </c>
      <c r="K197" s="61"/>
      <c r="M197" s="62" t="e">
        <v>#N/A</v>
      </c>
      <c r="N197" s="62" t="e">
        <v>#N/A</v>
      </c>
    </row>
    <row r="198" spans="1:16375" ht="18.75" x14ac:dyDescent="0.3">
      <c r="A198" s="21">
        <v>44976</v>
      </c>
      <c r="B198" s="13" t="s">
        <v>162</v>
      </c>
      <c r="C198" s="13" t="s">
        <v>159</v>
      </c>
      <c r="D198" s="13" t="s">
        <v>9</v>
      </c>
      <c r="E198" s="14">
        <f t="shared" si="14"/>
        <v>0</v>
      </c>
      <c r="F198" s="15"/>
      <c r="G198" s="26">
        <f>1200+110-348.94-104.83-24.3-51.67-137.87-160+200-51.04-15.04+210-208.42+85-37.24-89.4-50.72+121.417-69.78-44.36-82.86-52.14-40.94-18.24-18.74-15.68-18.8-19.08-37.96</f>
        <v>228.3670000000001</v>
      </c>
      <c r="H198" s="26">
        <f>1200+110-348.94-104.83-24.3-51.67-137.87-160+200-51.04-15.04+210-208.42+85-37.24-89.4-50.72+121.417-69.78-44.36-82.86-52.14-40.94-18.24-18.74-15.68-18.8-19.08-37.96</f>
        <v>228.3670000000001</v>
      </c>
      <c r="I198" s="17" t="s">
        <v>54</v>
      </c>
      <c r="J198" s="18"/>
      <c r="K198" s="20">
        <v>333.51277565329275</v>
      </c>
      <c r="M198">
        <v>97.381999999996879</v>
      </c>
      <c r="N198">
        <v>10.821999999999207</v>
      </c>
    </row>
    <row r="199" spans="1:16375" ht="18.75" x14ac:dyDescent="0.3">
      <c r="A199" s="21">
        <v>44918</v>
      </c>
      <c r="B199" s="13" t="s">
        <v>163</v>
      </c>
      <c r="C199" s="13" t="s">
        <v>159</v>
      </c>
      <c r="D199" s="13" t="s">
        <v>13</v>
      </c>
      <c r="E199" s="14">
        <f t="shared" si="14"/>
        <v>0</v>
      </c>
      <c r="F199" s="15"/>
      <c r="G199" s="26">
        <f>214.516-26.2-34.65-18.68-32.88-18.72-22.67</f>
        <v>60.715999999999994</v>
      </c>
      <c r="H199" s="26">
        <f>214.516-26.2-34.65-18.68-32.88-18.72-22.67</f>
        <v>60.715999999999994</v>
      </c>
      <c r="I199" s="17" t="s">
        <v>21</v>
      </c>
      <c r="J199" s="18"/>
      <c r="K199" s="20">
        <v>295</v>
      </c>
      <c r="M199">
        <v>22.642000000000735</v>
      </c>
      <c r="N199">
        <v>1.6320000000005166</v>
      </c>
    </row>
    <row r="200" spans="1:16375" ht="18.75" x14ac:dyDescent="0.3">
      <c r="A200" s="21">
        <v>44979</v>
      </c>
      <c r="B200" s="13" t="s">
        <v>164</v>
      </c>
      <c r="C200" s="13" t="s">
        <v>159</v>
      </c>
      <c r="D200" s="13" t="s">
        <v>13</v>
      </c>
      <c r="E200" s="14">
        <f t="shared" si="14"/>
        <v>0</v>
      </c>
      <c r="F200" s="15"/>
      <c r="G200" s="26">
        <f>411.634-18.56-14.96</f>
        <v>378.11400000000003</v>
      </c>
      <c r="H200" s="26">
        <f>411.634-18.56-14.96</f>
        <v>378.11400000000003</v>
      </c>
      <c r="I200" s="17" t="s">
        <v>21</v>
      </c>
      <c r="J200" s="18"/>
      <c r="K200" s="20">
        <v>293.92349430406506</v>
      </c>
      <c r="M200">
        <v>136.7610000000077</v>
      </c>
      <c r="N200">
        <v>11.831000000000131</v>
      </c>
    </row>
    <row r="201" spans="1:16375" ht="18.75" x14ac:dyDescent="0.3">
      <c r="A201" s="21">
        <v>45037</v>
      </c>
      <c r="B201" s="13" t="s">
        <v>165</v>
      </c>
      <c r="C201" s="13" t="s">
        <v>159</v>
      </c>
      <c r="D201" s="13" t="s">
        <v>166</v>
      </c>
      <c r="E201" s="14">
        <f t="shared" si="14"/>
        <v>2077.5010000000007</v>
      </c>
      <c r="F201" s="15"/>
      <c r="G201" s="26">
        <f>650+710+245+100-202.155+100-190.545+400-89.33+200-94.87+195-183.15</f>
        <v>1839.9499999999998</v>
      </c>
      <c r="H201" s="26">
        <f>4677.501-202.155-190.545-89.33-94.87-183.15</f>
        <v>3917.4510000000005</v>
      </c>
      <c r="I201" s="17" t="s">
        <v>167</v>
      </c>
      <c r="J201" s="18"/>
      <c r="K201" s="20"/>
      <c r="M201">
        <v>2760.6290000000004</v>
      </c>
      <c r="N201">
        <v>1081.4140000000002</v>
      </c>
    </row>
    <row r="202" spans="1:16375" ht="18.75" x14ac:dyDescent="0.3">
      <c r="A202" s="21">
        <v>44860</v>
      </c>
      <c r="B202" s="13" t="s">
        <v>168</v>
      </c>
      <c r="C202" s="13" t="s">
        <v>159</v>
      </c>
      <c r="D202" s="13" t="s">
        <v>16</v>
      </c>
      <c r="E202" s="14">
        <f t="shared" si="14"/>
        <v>0</v>
      </c>
      <c r="F202" s="15"/>
      <c r="G202" s="26">
        <f>20.335-19.16</f>
        <v>1.1750000000000007</v>
      </c>
      <c r="H202" s="26">
        <f>20.335-19.16</f>
        <v>1.1750000000000007</v>
      </c>
      <c r="I202" s="17" t="s">
        <v>23</v>
      </c>
      <c r="J202" s="18"/>
      <c r="K202" s="20">
        <v>333.51277565329275</v>
      </c>
      <c r="M202">
        <v>2.0649999999995998</v>
      </c>
      <c r="N202">
        <v>1.7349999999996726</v>
      </c>
    </row>
    <row r="203" spans="1:16375" ht="18.75" x14ac:dyDescent="0.3">
      <c r="A203" s="21">
        <v>44892</v>
      </c>
      <c r="B203" s="13" t="s">
        <v>169</v>
      </c>
      <c r="C203" s="13" t="s">
        <v>159</v>
      </c>
      <c r="D203" s="13" t="s">
        <v>16</v>
      </c>
      <c r="E203" s="14">
        <f t="shared" si="14"/>
        <v>0</v>
      </c>
      <c r="F203" s="15"/>
      <c r="G203" s="26">
        <f>432.911-20.56-74.57-27.66-18.15-71.08-53.42-60.32-20.06-81.02</f>
        <v>6.0710000000000122</v>
      </c>
      <c r="H203" s="26">
        <f>432.911-20.56-74.57-27.66-18.15-71.08-53.42-60.32-20.06-81.02</f>
        <v>6.0710000000000122</v>
      </c>
      <c r="I203" s="17" t="s">
        <v>23</v>
      </c>
      <c r="J203" s="18"/>
      <c r="K203" s="20">
        <v>317.2534669805915</v>
      </c>
      <c r="M203">
        <v>7.0559999999977663</v>
      </c>
      <c r="N203">
        <v>6.365999999999076</v>
      </c>
    </row>
    <row r="204" spans="1:16375" ht="18.75" x14ac:dyDescent="0.3">
      <c r="A204" s="21">
        <v>44944</v>
      </c>
      <c r="B204" s="13" t="s">
        <v>170</v>
      </c>
      <c r="C204" s="13" t="s">
        <v>159</v>
      </c>
      <c r="D204" s="13" t="s">
        <v>16</v>
      </c>
      <c r="E204" s="36">
        <f>H204-G204</f>
        <v>-298.92699999999979</v>
      </c>
      <c r="F204" s="15"/>
      <c r="G204" s="26">
        <f>2350.47-192.04-38.17-180.06-140.48-178.74-67.7-87.34+25-18.65+50-114.79-70.12-47.11+15-106.31-19.72+17-63.92-94.32-68.92-52.62-63.86-46.38+25-40.24-39.8-48.24-44.3-37.46+25-41.06-94.55-21.81</f>
        <v>488.75999999999988</v>
      </c>
      <c r="H204" s="26">
        <f>2208.543-192.04-38.17-180.06-140.48-178.74-67.7-87.34-18.65-114.79-70.12-47.11-106.31-19.72-63.92-94.32-68.92-52.62-63.86-46.38-40.24-39.8-48.24-44.3-37.46-41.06-94.55-21.81</f>
        <v>189.83300000000008</v>
      </c>
      <c r="I204" s="17" t="s">
        <v>23</v>
      </c>
      <c r="J204" s="18"/>
      <c r="K204" s="20">
        <v>286.80857439643006</v>
      </c>
      <c r="M204">
        <v>117.62300000000505</v>
      </c>
      <c r="N204">
        <v>-154.41699999999946</v>
      </c>
    </row>
    <row r="205" spans="1:16375" ht="19.5" thickBot="1" x14ac:dyDescent="0.35">
      <c r="A205" s="22"/>
      <c r="B205" s="32" t="s">
        <v>27</v>
      </c>
      <c r="C205" s="13"/>
      <c r="D205" s="13"/>
      <c r="E205" s="23">
        <f>SUBTOTAL(9,E196:E204)</f>
        <v>1783.574000000001</v>
      </c>
      <c r="F205" s="24">
        <f>E205</f>
        <v>1783.574000000001</v>
      </c>
      <c r="G205" s="23">
        <f>SUBTOTAL(9,G196:G204)</f>
        <v>3044.7700000000027</v>
      </c>
      <c r="H205" s="23">
        <f>SUBTOTAL(9,H196:H204)</f>
        <v>4828.3440000000046</v>
      </c>
      <c r="I205" s="43"/>
      <c r="J205" s="44"/>
      <c r="K205" s="45">
        <v>340.29989425974929</v>
      </c>
    </row>
    <row r="206" spans="1:16375" ht="19.5" thickBot="1" x14ac:dyDescent="0.35">
      <c r="A206" s="46"/>
      <c r="B206" s="47" t="s">
        <v>171</v>
      </c>
      <c r="C206" s="48"/>
      <c r="D206" s="48"/>
      <c r="E206" s="49"/>
      <c r="F206" s="50">
        <f>SUM(F7:F205)</f>
        <v>40572.377</v>
      </c>
      <c r="G206" s="50">
        <f>G205+G186+G182+G176+G162+G152+G144+G139+G134+G129+G125+G121+G116+G101+G96+G90+G86+G83+G72+G69+G65+G57+G49+G37+G25+G20+G16+G167+G191+G194</f>
        <v>25202.556</v>
      </c>
      <c r="H206" s="50">
        <f>H205+H186+H182+H176+H162+H152+H144+H139+H134+H129+H125+H121+H116+H101+H96+H90+H86+H83+H72+H69+H65+H57+H49+H37+H25+H20+H16+H167+H191+H194</f>
        <v>65824.933000000019</v>
      </c>
      <c r="I206" s="51"/>
      <c r="J206" s="52"/>
      <c r="K206" s="53"/>
    </row>
    <row r="207" spans="1:16375" s="4" customFormat="1" x14ac:dyDescent="0.3">
      <c r="A207" s="1"/>
      <c r="B207"/>
      <c r="C207"/>
      <c r="D207"/>
      <c r="E207" s="2"/>
      <c r="F207" s="3"/>
      <c r="G207"/>
      <c r="H207" s="54"/>
      <c r="K207" s="5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4" customFormat="1" x14ac:dyDescent="0.3">
      <c r="A208" s="1"/>
      <c r="B208"/>
      <c r="C208"/>
      <c r="D208"/>
      <c r="E208" s="2"/>
      <c r="F208" s="3"/>
      <c r="G208" s="54"/>
      <c r="H208" s="54"/>
      <c r="K208" s="5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">
      <c r="B209"/>
      <c r="C209"/>
      <c r="D209"/>
      <c r="E209" s="2"/>
      <c r="F209" s="3"/>
      <c r="G209"/>
      <c r="H209"/>
      <c r="I209" s="4"/>
      <c r="J209" s="4"/>
      <c r="K209" s="5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">
      <c r="B210"/>
      <c r="C210"/>
      <c r="D210"/>
      <c r="E210" s="2"/>
      <c r="F210" s="3"/>
      <c r="G210"/>
      <c r="H210"/>
      <c r="I210" s="4"/>
      <c r="J210" s="4"/>
      <c r="K210" s="5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zoomScaleNormal="100"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1" width="27.42578125" customWidth="1"/>
    <col min="2" max="2" width="14.28515625" customWidth="1"/>
    <col min="3" max="3" width="26.5703125" customWidth="1"/>
    <col min="4" max="4" width="22.28515625" customWidth="1"/>
    <col min="5" max="5" width="10.28515625" customWidth="1"/>
    <col min="6" max="6" width="11.5703125" customWidth="1"/>
    <col min="7" max="7" width="24.140625" customWidth="1"/>
  </cols>
  <sheetData>
    <row r="1" spans="1:7" s="89" customFormat="1" ht="24.75" customHeight="1" x14ac:dyDescent="0.25">
      <c r="A1" s="86" t="s">
        <v>1</v>
      </c>
      <c r="B1" s="86" t="s">
        <v>233</v>
      </c>
      <c r="C1" s="86" t="s">
        <v>234</v>
      </c>
      <c r="D1" s="86" t="s">
        <v>235</v>
      </c>
      <c r="E1" s="87" t="s">
        <v>236</v>
      </c>
      <c r="F1" s="86" t="s">
        <v>7</v>
      </c>
      <c r="G1" s="88" t="s">
        <v>237</v>
      </c>
    </row>
    <row r="2" spans="1:7" x14ac:dyDescent="0.25">
      <c r="A2" s="92" t="s">
        <v>307</v>
      </c>
      <c r="B2" s="90">
        <v>46078</v>
      </c>
      <c r="C2" s="91" t="s">
        <v>328</v>
      </c>
      <c r="D2" s="92" t="s">
        <v>108</v>
      </c>
      <c r="E2" s="93">
        <v>30</v>
      </c>
      <c r="F2" s="92" t="s">
        <v>13</v>
      </c>
      <c r="G2" s="93"/>
    </row>
    <row r="3" spans="1:7" x14ac:dyDescent="0.25">
      <c r="A3" s="92" t="s">
        <v>362</v>
      </c>
      <c r="B3" s="90">
        <v>46115</v>
      </c>
      <c r="C3" s="91" t="s">
        <v>364</v>
      </c>
      <c r="D3" s="92" t="s">
        <v>105</v>
      </c>
      <c r="E3" s="93">
        <v>100</v>
      </c>
      <c r="F3" s="92" t="s">
        <v>9</v>
      </c>
      <c r="G3" s="93"/>
    </row>
    <row r="4" spans="1:7" x14ac:dyDescent="0.25">
      <c r="A4" s="92" t="s">
        <v>380</v>
      </c>
      <c r="B4" s="90">
        <v>46120</v>
      </c>
      <c r="C4" s="91" t="s">
        <v>363</v>
      </c>
      <c r="D4" s="92" t="s">
        <v>105</v>
      </c>
      <c r="E4" s="93">
        <v>25</v>
      </c>
      <c r="F4" s="92" t="s">
        <v>9</v>
      </c>
      <c r="G4" s="93"/>
    </row>
    <row r="5" spans="1:7" x14ac:dyDescent="0.25">
      <c r="A5" s="92" t="s">
        <v>393</v>
      </c>
      <c r="B5" s="90">
        <v>46132</v>
      </c>
      <c r="C5" s="91" t="s">
        <v>394</v>
      </c>
      <c r="D5" s="92" t="s">
        <v>105</v>
      </c>
      <c r="E5" s="93">
        <v>60</v>
      </c>
      <c r="F5" s="92" t="s">
        <v>9</v>
      </c>
      <c r="G5" s="93"/>
    </row>
    <row r="6" spans="1:7" x14ac:dyDescent="0.25">
      <c r="A6" s="92" t="s">
        <v>393</v>
      </c>
      <c r="B6" s="90">
        <v>46134</v>
      </c>
      <c r="C6" s="91" t="s">
        <v>401</v>
      </c>
      <c r="D6" s="92" t="s">
        <v>105</v>
      </c>
      <c r="E6" s="93">
        <v>30</v>
      </c>
      <c r="F6" s="92" t="s">
        <v>9</v>
      </c>
      <c r="G6" s="93"/>
    </row>
    <row r="7" spans="1:7" x14ac:dyDescent="0.25">
      <c r="A7" s="92" t="s">
        <v>393</v>
      </c>
      <c r="B7" s="90">
        <v>46135</v>
      </c>
      <c r="C7" s="91" t="s">
        <v>402</v>
      </c>
      <c r="D7" s="92" t="s">
        <v>105</v>
      </c>
      <c r="E7" s="93">
        <v>25</v>
      </c>
      <c r="F7" s="92" t="s">
        <v>9</v>
      </c>
      <c r="G7" s="93"/>
    </row>
    <row r="8" spans="1:7" x14ac:dyDescent="0.25">
      <c r="A8" s="92" t="s">
        <v>420</v>
      </c>
      <c r="B8" s="90">
        <v>46147</v>
      </c>
      <c r="C8" s="91" t="s">
        <v>421</v>
      </c>
      <c r="D8" s="92" t="s">
        <v>105</v>
      </c>
      <c r="E8" s="93">
        <v>50</v>
      </c>
      <c r="F8" s="92" t="s">
        <v>9</v>
      </c>
      <c r="G8" s="93"/>
    </row>
    <row r="9" spans="1:7" x14ac:dyDescent="0.25">
      <c r="A9" s="92" t="s">
        <v>393</v>
      </c>
      <c r="B9" s="90">
        <v>46147</v>
      </c>
      <c r="C9" s="91" t="s">
        <v>422</v>
      </c>
      <c r="D9" s="92" t="s">
        <v>105</v>
      </c>
      <c r="E9" s="93">
        <v>75</v>
      </c>
      <c r="F9" s="92" t="s">
        <v>9</v>
      </c>
      <c r="G9" s="93"/>
    </row>
    <row r="10" spans="1:7" x14ac:dyDescent="0.25">
      <c r="A10" s="92" t="s">
        <v>423</v>
      </c>
      <c r="B10" s="90">
        <v>46148</v>
      </c>
      <c r="C10" s="91" t="s">
        <v>427</v>
      </c>
      <c r="D10" s="92" t="s">
        <v>118</v>
      </c>
      <c r="E10" s="93">
        <v>26.36</v>
      </c>
      <c r="F10" s="92" t="s">
        <v>9</v>
      </c>
      <c r="G10" s="93"/>
    </row>
    <row r="11" spans="1:7" x14ac:dyDescent="0.25">
      <c r="A11" s="92" t="s">
        <v>424</v>
      </c>
      <c r="B11" s="90">
        <v>46148</v>
      </c>
      <c r="C11" s="91" t="s">
        <v>428</v>
      </c>
      <c r="D11" s="92" t="s">
        <v>46</v>
      </c>
      <c r="E11" s="93">
        <v>150</v>
      </c>
      <c r="F11" s="92" t="s">
        <v>9</v>
      </c>
      <c r="G11" s="93"/>
    </row>
    <row r="12" spans="1:7" x14ac:dyDescent="0.25">
      <c r="A12" s="92" t="s">
        <v>425</v>
      </c>
      <c r="B12" s="90">
        <v>46148</v>
      </c>
      <c r="C12" s="91" t="s">
        <v>429</v>
      </c>
      <c r="D12" s="92" t="s">
        <v>159</v>
      </c>
      <c r="E12" s="93">
        <v>700</v>
      </c>
      <c r="F12" s="92" t="s">
        <v>9</v>
      </c>
      <c r="G12" s="93"/>
    </row>
    <row r="13" spans="1:7" x14ac:dyDescent="0.25">
      <c r="A13" s="92" t="s">
        <v>426</v>
      </c>
      <c r="B13" s="90">
        <v>46148</v>
      </c>
      <c r="C13" s="91" t="s">
        <v>430</v>
      </c>
      <c r="D13" s="92" t="s">
        <v>159</v>
      </c>
      <c r="E13" s="93">
        <v>2000</v>
      </c>
      <c r="F13" s="92" t="s">
        <v>9</v>
      </c>
      <c r="G13" s="93"/>
    </row>
    <row r="14" spans="1:7" x14ac:dyDescent="0.25">
      <c r="A14" s="92" t="s">
        <v>426</v>
      </c>
      <c r="B14" s="90">
        <v>46150</v>
      </c>
      <c r="C14" s="91" t="s">
        <v>435</v>
      </c>
      <c r="D14" s="92" t="s">
        <v>159</v>
      </c>
      <c r="E14" s="93">
        <v>150</v>
      </c>
      <c r="F14" s="92" t="s">
        <v>9</v>
      </c>
      <c r="G14" s="93"/>
    </row>
    <row r="15" spans="1:7" x14ac:dyDescent="0.25">
      <c r="A15" s="92" t="s">
        <v>425</v>
      </c>
      <c r="B15" s="90">
        <v>46153</v>
      </c>
      <c r="C15" s="91" t="s">
        <v>438</v>
      </c>
      <c r="D15" s="92" t="s">
        <v>159</v>
      </c>
      <c r="E15" s="93">
        <v>128</v>
      </c>
      <c r="F15" s="92" t="s">
        <v>9</v>
      </c>
      <c r="G15" s="93"/>
    </row>
    <row r="16" spans="1:7" x14ac:dyDescent="0.25">
      <c r="A16" s="140" t="s">
        <v>437</v>
      </c>
      <c r="B16" s="141">
        <v>46153</v>
      </c>
      <c r="C16" s="142" t="s">
        <v>439</v>
      </c>
      <c r="D16" s="140" t="s">
        <v>159</v>
      </c>
      <c r="E16" s="124">
        <v>410</v>
      </c>
      <c r="F16" s="140" t="s">
        <v>166</v>
      </c>
      <c r="G16" s="124" t="s">
        <v>440</v>
      </c>
    </row>
    <row r="17" spans="1:7" x14ac:dyDescent="0.25">
      <c r="A17" s="92" t="s">
        <v>425</v>
      </c>
      <c r="B17" s="90">
        <v>46154</v>
      </c>
      <c r="C17" s="91" t="s">
        <v>445</v>
      </c>
      <c r="D17" s="92" t="s">
        <v>159</v>
      </c>
      <c r="E17" s="93">
        <v>1000</v>
      </c>
      <c r="F17" s="92" t="s">
        <v>9</v>
      </c>
      <c r="G17" s="93"/>
    </row>
    <row r="18" spans="1:7" x14ac:dyDescent="0.25">
      <c r="A18" s="92" t="s">
        <v>442</v>
      </c>
      <c r="B18" s="90">
        <v>46154</v>
      </c>
      <c r="C18" s="91" t="s">
        <v>446</v>
      </c>
      <c r="D18" s="92" t="s">
        <v>159</v>
      </c>
      <c r="E18" s="93">
        <v>66</v>
      </c>
      <c r="F18" s="92" t="s">
        <v>9</v>
      </c>
      <c r="G18" s="93"/>
    </row>
    <row r="19" spans="1:7" x14ac:dyDescent="0.25">
      <c r="A19" s="92" t="s">
        <v>443</v>
      </c>
      <c r="B19" s="90">
        <v>46154</v>
      </c>
      <c r="C19" s="91" t="s">
        <v>394</v>
      </c>
      <c r="D19" s="92" t="s">
        <v>159</v>
      </c>
      <c r="E19" s="93">
        <v>320</v>
      </c>
      <c r="F19" s="92" t="s">
        <v>9</v>
      </c>
      <c r="G19" s="93"/>
    </row>
    <row r="20" spans="1:7" x14ac:dyDescent="0.25">
      <c r="A20" s="92" t="s">
        <v>444</v>
      </c>
      <c r="B20" s="90">
        <v>46154</v>
      </c>
      <c r="C20" s="91" t="s">
        <v>447</v>
      </c>
      <c r="D20" s="92" t="s">
        <v>448</v>
      </c>
      <c r="E20" s="93">
        <v>70</v>
      </c>
      <c r="F20" s="92" t="s">
        <v>13</v>
      </c>
      <c r="G20" s="93" t="s">
        <v>450</v>
      </c>
    </row>
    <row r="21" spans="1:7" x14ac:dyDescent="0.25">
      <c r="A21" s="92" t="s">
        <v>443</v>
      </c>
      <c r="B21" s="90">
        <v>46154</v>
      </c>
      <c r="C21" s="91" t="s">
        <v>449</v>
      </c>
      <c r="D21" s="92" t="s">
        <v>448</v>
      </c>
      <c r="E21" s="93">
        <v>60</v>
      </c>
      <c r="F21" s="92" t="s">
        <v>13</v>
      </c>
      <c r="G21" s="93" t="s">
        <v>450</v>
      </c>
    </row>
  </sheetData>
  <autoFilter ref="A1:G13">
    <sortState ref="A2:G65">
      <sortCondition ref="B1:B50"/>
    </sortState>
  </autoFilter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8.7109375" bestFit="1" customWidth="1"/>
    <col min="3" max="3" width="14.140625" bestFit="1" customWidth="1"/>
    <col min="4" max="4" width="9.7109375" bestFit="1" customWidth="1"/>
    <col min="5" max="5" width="10.140625" bestFit="1" customWidth="1"/>
    <col min="6" max="6" width="31.5703125" bestFit="1" customWidth="1"/>
    <col min="7" max="7" width="34" bestFit="1" customWidth="1"/>
  </cols>
  <sheetData>
    <row r="1" spans="1:10" x14ac:dyDescent="0.25">
      <c r="A1" s="88" t="s">
        <v>359</v>
      </c>
      <c r="B1" s="88" t="s">
        <v>234</v>
      </c>
      <c r="C1" s="88" t="s">
        <v>235</v>
      </c>
      <c r="D1" s="112" t="s">
        <v>236</v>
      </c>
      <c r="E1" s="112" t="s">
        <v>7</v>
      </c>
      <c r="F1" s="88" t="s">
        <v>237</v>
      </c>
      <c r="G1" s="34"/>
    </row>
    <row r="2" spans="1:10" x14ac:dyDescent="0.25">
      <c r="A2" s="90"/>
      <c r="B2" s="91" t="s">
        <v>243</v>
      </c>
      <c r="C2" s="92" t="s">
        <v>242</v>
      </c>
      <c r="D2" s="93">
        <v>940</v>
      </c>
      <c r="E2" s="93" t="s">
        <v>13</v>
      </c>
      <c r="F2" s="93" t="s">
        <v>256</v>
      </c>
      <c r="G2" s="113" t="s">
        <v>283</v>
      </c>
    </row>
    <row r="3" spans="1:10" x14ac:dyDescent="0.25">
      <c r="A3" s="90">
        <v>46098</v>
      </c>
      <c r="B3" s="91" t="s">
        <v>360</v>
      </c>
      <c r="C3" s="92" t="s">
        <v>159</v>
      </c>
      <c r="D3" s="93">
        <v>18000</v>
      </c>
      <c r="E3" s="92" t="s">
        <v>16</v>
      </c>
      <c r="F3" s="124" t="s">
        <v>361</v>
      </c>
      <c r="G3" s="124" t="s">
        <v>416</v>
      </c>
    </row>
    <row r="4" spans="1:10" x14ac:dyDescent="0.25">
      <c r="A4" s="90">
        <v>46099</v>
      </c>
      <c r="B4" s="91" t="s">
        <v>243</v>
      </c>
      <c r="C4" s="92" t="s">
        <v>88</v>
      </c>
      <c r="D4" s="93">
        <v>300</v>
      </c>
      <c r="E4" s="92" t="s">
        <v>349</v>
      </c>
      <c r="F4" s="93" t="s">
        <v>377</v>
      </c>
      <c r="G4" s="93"/>
    </row>
    <row r="8" spans="1:10" x14ac:dyDescent="0.25">
      <c r="I8" s="138"/>
      <c r="J8" s="138"/>
    </row>
    <row r="9" spans="1:10" x14ac:dyDescent="0.25">
      <c r="I9" s="138"/>
      <c r="J9" s="138"/>
    </row>
    <row r="10" spans="1:10" x14ac:dyDescent="0.25">
      <c r="I10" s="138"/>
      <c r="J10" s="138"/>
    </row>
  </sheetData>
  <autoFilter ref="B1:G2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17-05-23</vt:lpstr>
      <vt:lpstr>13-05-2026</vt:lpstr>
      <vt:lpstr>17-05-23 (3)</vt:lpstr>
      <vt:lpstr>NEW VESSEL BOOKING</vt:lpstr>
      <vt:lpstr>CONTRACT SALES</vt:lpstr>
      <vt:lpstr>Sheet1</vt:lpstr>
      <vt:lpstr>'13-05-2026'!Print_Area</vt:lpstr>
      <vt:lpstr>'NEW VESSEL BOOKING'!Print_Area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Daleep</cp:lastModifiedBy>
  <cp:lastPrinted>2025-10-23T10:48:26Z</cp:lastPrinted>
  <dcterms:created xsi:type="dcterms:W3CDTF">2023-05-08T12:49:43Z</dcterms:created>
  <dcterms:modified xsi:type="dcterms:W3CDTF">2026-05-13T05:49:15Z</dcterms:modified>
</cp:coreProperties>
</file>