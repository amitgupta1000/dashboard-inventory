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shboard-inventory\data files\"/>
    </mc:Choice>
  </mc:AlternateContent>
  <bookViews>
    <workbookView xWindow="0" yWindow="0" windowWidth="15840" windowHeight="9975" firstSheet="1" activeTab="1"/>
  </bookViews>
  <sheets>
    <sheet name="17-05-23" sheetId="1" state="hidden" r:id="rId1"/>
    <sheet name="16-05-2026" sheetId="2" r:id="rId2"/>
    <sheet name="17-05-23 (3)" sheetId="3" state="hidden" r:id="rId3"/>
    <sheet name="NEW VESSEL BOOKING" sheetId="4" r:id="rId4"/>
    <sheet name="CONTRACT SALES" sheetId="5" r:id="rId5"/>
    <sheet name="Sheet1" sheetId="6" r:id="rId6"/>
  </sheets>
  <definedNames>
    <definedName name="_xlnm._FilterDatabase" localSheetId="1" hidden="1">'16-05-2026'!$A$2:$L$201</definedName>
    <definedName name="_xlnm._FilterDatabase" localSheetId="0" hidden="1">'17-05-23'!$A$6:$N$208</definedName>
    <definedName name="_xlnm._FilterDatabase" localSheetId="2" hidden="1">'17-05-23 (3)'!$A$6:$N$208</definedName>
    <definedName name="_xlnm._FilterDatabase" localSheetId="4" hidden="1">'CONTRACT SALES'!$B$1:$G$2</definedName>
    <definedName name="_xlnm._FilterDatabase" localSheetId="3" hidden="1">'NEW VESSEL BOOKING'!$A$1:$G$31</definedName>
    <definedName name="_xlnm.Print_Area" localSheetId="1">'16-05-2026'!$A$1:$L$201</definedName>
    <definedName name="_xlnm.Print_Area" localSheetId="3">'NEW VESSEL BOOKING'!$A$1:$G$1</definedName>
  </definedNames>
  <calcPr calcId="162913"/>
</workbook>
</file>

<file path=xl/calcChain.xml><?xml version="1.0" encoding="utf-8"?>
<calcChain xmlns="http://schemas.openxmlformats.org/spreadsheetml/2006/main">
  <c r="E48" i="2" l="1"/>
  <c r="E49" i="2"/>
  <c r="E135" i="2" l="1"/>
  <c r="E84" i="2" l="1"/>
  <c r="E102" i="2" l="1"/>
  <c r="E110" i="2"/>
  <c r="E130" i="2"/>
  <c r="E42" i="2"/>
  <c r="E164" i="2"/>
  <c r="E161" i="2"/>
  <c r="E151" i="2" l="1"/>
  <c r="E191" i="2"/>
  <c r="E91" i="2"/>
  <c r="E86" i="2"/>
  <c r="E75" i="2"/>
  <c r="E98" i="2"/>
  <c r="E121" i="2"/>
  <c r="E58" i="2" l="1"/>
  <c r="E59" i="2"/>
  <c r="E26" i="2"/>
  <c r="E25" i="2"/>
  <c r="E22" i="2"/>
  <c r="E6" i="2"/>
  <c r="E11" i="2"/>
  <c r="E16" i="2"/>
  <c r="E196" i="2" l="1"/>
  <c r="H76" i="2" l="1"/>
  <c r="E76" i="2"/>
  <c r="L75" i="2"/>
  <c r="G75" i="2"/>
  <c r="E56" i="2" l="1"/>
  <c r="G163" i="2" l="1"/>
  <c r="L163" i="2"/>
  <c r="E162" i="2" l="1"/>
  <c r="E60" i="2" l="1"/>
  <c r="H109" i="2" l="1"/>
  <c r="E186" i="2" l="1"/>
  <c r="E129" i="2"/>
  <c r="H147" i="2" l="1"/>
  <c r="G162" i="2" l="1"/>
  <c r="L162" i="2"/>
  <c r="G161" i="2" l="1"/>
  <c r="L161" i="2" l="1"/>
  <c r="G59" i="2" l="1"/>
  <c r="L59" i="2"/>
  <c r="E199" i="2" l="1"/>
  <c r="E180" i="2" l="1"/>
  <c r="E176" i="2" l="1"/>
  <c r="E79" i="2" l="1"/>
  <c r="E34" i="2"/>
  <c r="E120" i="2" l="1"/>
  <c r="E52" i="2" l="1"/>
  <c r="E27" i="2" l="1"/>
  <c r="E21" i="2" l="1"/>
  <c r="E148" i="2" l="1"/>
  <c r="G160" i="2" l="1"/>
  <c r="L160" i="2"/>
  <c r="E184" i="2" l="1"/>
  <c r="L84" i="2" l="1"/>
  <c r="G84" i="2"/>
  <c r="L23" i="2" l="1"/>
  <c r="G23" i="2"/>
  <c r="L91" i="2" l="1"/>
  <c r="L90" i="2"/>
  <c r="G91" i="2"/>
  <c r="E181" i="2" l="1"/>
  <c r="H58" i="2" l="1"/>
  <c r="E55" i="2" l="1"/>
  <c r="E95" i="2" l="1"/>
  <c r="E194" i="2" l="1"/>
  <c r="E105" i="2" l="1"/>
  <c r="E165" i="2" l="1"/>
  <c r="E31" i="2" l="1"/>
  <c r="L86" i="2" l="1"/>
  <c r="H87" i="2"/>
  <c r="G86" i="2"/>
  <c r="E116" i="2" l="1"/>
  <c r="E92" i="2"/>
  <c r="H105" i="2" l="1"/>
  <c r="H13" i="2" l="1"/>
  <c r="G12" i="2"/>
  <c r="E13" i="2"/>
  <c r="L12" i="2"/>
  <c r="H122" i="2" l="1"/>
  <c r="G121" i="2"/>
  <c r="E122" i="2"/>
  <c r="L121" i="2"/>
  <c r="G159" i="2" l="1"/>
  <c r="L159" i="2"/>
  <c r="G139" i="2" l="1"/>
  <c r="L139" i="2"/>
  <c r="G138" i="2"/>
  <c r="L138" i="2" l="1"/>
  <c r="L16" i="2"/>
  <c r="G16" i="2"/>
  <c r="L176" i="2" l="1"/>
  <c r="G176" i="2"/>
  <c r="G137" i="2" l="1"/>
  <c r="L137" i="2"/>
  <c r="E17" i="2"/>
  <c r="G11" i="2" l="1"/>
  <c r="L11" i="2"/>
  <c r="H18" i="2"/>
  <c r="E18" i="2"/>
  <c r="L15" i="2" l="1"/>
  <c r="G15" i="2"/>
  <c r="G22" i="2" l="1"/>
  <c r="L22" i="2"/>
  <c r="G105" i="2" l="1"/>
  <c r="L105" i="2"/>
  <c r="H172" i="2" l="1"/>
  <c r="E45" i="2" l="1"/>
  <c r="E68" i="2" l="1"/>
  <c r="G174" i="2" l="1"/>
  <c r="L174" i="2"/>
  <c r="L177" i="2" l="1"/>
  <c r="H178" i="2"/>
  <c r="G177" i="2"/>
  <c r="G136" i="2" l="1"/>
  <c r="L136" i="2"/>
  <c r="L135" i="2"/>
  <c r="G135" i="2"/>
  <c r="G56" i="2" l="1"/>
  <c r="L56" i="2"/>
  <c r="G116" i="2" l="1"/>
  <c r="L116" i="2"/>
  <c r="L149" i="2"/>
  <c r="G149" i="2"/>
  <c r="E117" i="2"/>
  <c r="G129" i="2" l="1"/>
  <c r="L129" i="2"/>
  <c r="E178" i="2" l="1"/>
  <c r="E150" i="2" l="1"/>
  <c r="G143" i="2" l="1"/>
  <c r="H131" i="2" l="1"/>
  <c r="L130" i="2"/>
  <c r="G130" i="2"/>
  <c r="E131" i="2" l="1"/>
  <c r="G85" i="2" l="1"/>
  <c r="L85" i="2"/>
  <c r="L21" i="2" l="1"/>
  <c r="G21" i="2"/>
  <c r="G46" i="2" l="1"/>
  <c r="L46" i="2"/>
  <c r="L171" i="2" l="1"/>
  <c r="E171" i="2" l="1"/>
  <c r="G171" i="2" l="1"/>
  <c r="G172" i="2" s="1"/>
  <c r="E172" i="2"/>
  <c r="L55" i="2"/>
  <c r="G55" i="2"/>
  <c r="L95" i="2" l="1"/>
  <c r="G95" i="2"/>
  <c r="G194" i="2" l="1"/>
  <c r="L194" i="2"/>
  <c r="G181" i="2" l="1"/>
  <c r="L181" i="2"/>
  <c r="G120" i="2" l="1"/>
  <c r="L120" i="2"/>
  <c r="L168" i="2" l="1"/>
  <c r="G10" i="2" l="1"/>
  <c r="L10" i="2"/>
  <c r="G17" i="2" l="1"/>
  <c r="L17" i="2" l="1"/>
  <c r="E144" i="2" l="1"/>
  <c r="H144" i="2"/>
  <c r="L143" i="2"/>
  <c r="E169" i="2" l="1"/>
  <c r="H169" i="2"/>
  <c r="G168" i="2"/>
  <c r="G167" i="2" l="1"/>
  <c r="L167" i="2"/>
  <c r="H96" i="2" l="1"/>
  <c r="L191" i="2" l="1"/>
  <c r="G191" i="2"/>
  <c r="G148" i="2" l="1"/>
  <c r="L148" i="2"/>
  <c r="L147" i="2"/>
  <c r="G147" i="2"/>
  <c r="H200" i="2" l="1"/>
  <c r="G199" i="2"/>
  <c r="E200" i="2"/>
  <c r="L199" i="2"/>
  <c r="G60" i="2" l="1"/>
  <c r="L60" i="2"/>
  <c r="G25" i="2" l="1"/>
  <c r="L25" i="2" l="1"/>
  <c r="G48" i="2" l="1"/>
  <c r="L48" i="2"/>
  <c r="L107" i="2" l="1"/>
  <c r="G107" i="2"/>
  <c r="L106" i="2"/>
  <c r="G106" i="2"/>
  <c r="L104" i="2"/>
  <c r="L103" i="2"/>
  <c r="G104" i="2" l="1"/>
  <c r="G103" i="2"/>
  <c r="G158" i="2" l="1"/>
  <c r="L158" i="2"/>
  <c r="G157" i="2" l="1"/>
  <c r="L157" i="2"/>
  <c r="G156" i="2"/>
  <c r="L156" i="2"/>
  <c r="L150" i="2" l="1"/>
  <c r="G150" i="2"/>
  <c r="L102" i="2" l="1"/>
  <c r="G102" i="2"/>
  <c r="G110" i="2" l="1"/>
  <c r="L110" i="2"/>
  <c r="G61" i="2" l="1"/>
  <c r="L61" i="2"/>
  <c r="G26" i="2" l="1"/>
  <c r="L26" i="2"/>
  <c r="G49" i="2" l="1"/>
  <c r="L49" i="2"/>
  <c r="G6" i="2" l="1"/>
  <c r="L6" i="2"/>
  <c r="H62" i="2" l="1"/>
  <c r="G166" i="2" l="1"/>
  <c r="L166" i="2"/>
  <c r="G117" i="2" l="1"/>
  <c r="L117" i="2"/>
  <c r="L74" i="2" l="1"/>
  <c r="G74" i="2"/>
  <c r="G76" i="2" s="1"/>
  <c r="H118" i="2" l="1"/>
  <c r="E62" i="2" l="1"/>
  <c r="G142" i="2" l="1"/>
  <c r="L142" i="2"/>
  <c r="L151" i="2" l="1"/>
  <c r="G151" i="2"/>
  <c r="G152" i="2"/>
  <c r="L152" i="2"/>
  <c r="L109" i="2" l="1"/>
  <c r="G109" i="2"/>
  <c r="G175" i="2" l="1"/>
  <c r="L175" i="2"/>
  <c r="G196" i="2" l="1"/>
  <c r="L196" i="2"/>
  <c r="G114" i="2" l="1"/>
  <c r="L114" i="2"/>
  <c r="G113" i="2"/>
  <c r="L113" i="2"/>
  <c r="L128" i="2" l="1"/>
  <c r="G128" i="2"/>
  <c r="G131" i="2" s="1"/>
  <c r="G5" i="2" l="1"/>
  <c r="L5" i="2"/>
  <c r="G58" i="2" l="1"/>
  <c r="L58" i="2"/>
  <c r="L184" i="2" l="1"/>
  <c r="G184" i="2"/>
  <c r="G185" i="2" l="1"/>
  <c r="L185" i="2"/>
  <c r="H65" i="2" l="1"/>
  <c r="E65" i="2"/>
  <c r="L64" i="2"/>
  <c r="G64" i="2"/>
  <c r="E96" i="2" l="1"/>
  <c r="H99" i="2" l="1"/>
  <c r="E99" i="2"/>
  <c r="F99" i="2" s="1"/>
  <c r="L98" i="2"/>
  <c r="G98" i="2"/>
  <c r="G99" i="2" s="1"/>
  <c r="G178" i="2" l="1"/>
  <c r="H126" i="2" l="1"/>
  <c r="G125" i="2"/>
  <c r="L125" i="2"/>
  <c r="G134" i="2" l="1"/>
  <c r="L134" i="2"/>
  <c r="G9" i="2" l="1"/>
  <c r="L9" i="2"/>
  <c r="G193" i="2" l="1"/>
  <c r="L193" i="2"/>
  <c r="G90" i="2" l="1"/>
  <c r="G186" i="2" l="1"/>
  <c r="L186" i="2" l="1"/>
  <c r="G115" i="2" l="1"/>
  <c r="L115" i="2"/>
  <c r="G4" i="2" l="1"/>
  <c r="L4" i="2"/>
  <c r="L20" i="2" l="1"/>
  <c r="G20" i="2"/>
  <c r="G122" i="2" l="1"/>
  <c r="G165" i="2" l="1"/>
  <c r="L165" i="2"/>
  <c r="G164" i="2"/>
  <c r="L164" i="2"/>
  <c r="H182" i="2" l="1"/>
  <c r="E182" i="2"/>
  <c r="L180" i="2"/>
  <c r="G180" i="2"/>
  <c r="G182" i="2" l="1"/>
  <c r="G112" i="2" l="1"/>
  <c r="L112" i="2"/>
  <c r="L111" i="2"/>
  <c r="G111" i="2"/>
  <c r="G141" i="2" l="1"/>
  <c r="L141" i="2"/>
  <c r="L190" i="2" l="1"/>
  <c r="G190" i="2"/>
  <c r="G195" i="2" l="1"/>
  <c r="L195" i="2"/>
  <c r="G39" i="2" l="1"/>
  <c r="H40" i="2"/>
  <c r="L39" i="2"/>
  <c r="E126" i="2" l="1"/>
  <c r="G192" i="2" l="1"/>
  <c r="L192" i="2"/>
  <c r="F65" i="2" l="1"/>
  <c r="G65" i="2"/>
  <c r="E40" i="2" l="1"/>
  <c r="G155" i="2" l="1"/>
  <c r="L155" i="2"/>
  <c r="L101" i="2" l="1"/>
  <c r="G101" i="2"/>
  <c r="G198" i="2" l="1"/>
  <c r="L198" i="2"/>
  <c r="G197" i="2" l="1"/>
  <c r="L197" i="2"/>
  <c r="G57" i="2" l="1"/>
  <c r="L57" i="2"/>
  <c r="H28" i="2"/>
  <c r="G27" i="2"/>
  <c r="L27" i="2"/>
  <c r="E50" i="2" l="1"/>
  <c r="G108" i="2" l="1"/>
  <c r="L108" i="2"/>
  <c r="G89" i="2" l="1"/>
  <c r="L89" i="2"/>
  <c r="G187" i="2" l="1"/>
  <c r="H188" i="2"/>
  <c r="L187" i="2"/>
  <c r="L38" i="2" l="1"/>
  <c r="G38" i="2"/>
  <c r="E28" i="2" l="1"/>
  <c r="G200" i="2" l="1"/>
  <c r="G124" i="2"/>
  <c r="L124" i="2"/>
  <c r="E188" i="2" l="1"/>
  <c r="G3" i="2" l="1"/>
  <c r="L3" i="2"/>
  <c r="L140" i="2" l="1"/>
  <c r="G140" i="2"/>
  <c r="L154" i="2" l="1"/>
  <c r="G154" i="2"/>
  <c r="E83" i="2" l="1"/>
  <c r="E87" i="2" s="1"/>
  <c r="G45" i="2" l="1"/>
  <c r="L45" i="2"/>
  <c r="G54" i="2" l="1"/>
  <c r="L54" i="2"/>
  <c r="L44" i="2" l="1"/>
  <c r="G44" i="2"/>
  <c r="F76" i="2" l="1"/>
  <c r="G53" i="2" l="1"/>
  <c r="L53" i="2"/>
  <c r="L153" i="2" l="1"/>
  <c r="G153" i="2"/>
  <c r="H93" i="2" l="1"/>
  <c r="H80" i="2"/>
  <c r="H72" i="2" l="1"/>
  <c r="H69" i="2"/>
  <c r="H50" i="2" l="1"/>
  <c r="H35" i="2"/>
  <c r="H32" i="2" l="1"/>
  <c r="H201" i="2" l="1"/>
  <c r="E118" i="2"/>
  <c r="G126" i="2" l="1"/>
  <c r="G37" i="2"/>
  <c r="G40" i="2" s="1"/>
  <c r="L37" i="2"/>
  <c r="L24" i="2" l="1"/>
  <c r="G24" i="2"/>
  <c r="L92" i="2" l="1"/>
  <c r="G92" i="2"/>
  <c r="G47" i="2" l="1"/>
  <c r="L47" i="2"/>
  <c r="E80" i="2" l="1"/>
  <c r="L43" i="2" l="1"/>
  <c r="G43" i="2"/>
  <c r="E93" i="2" l="1"/>
  <c r="L42" i="2" l="1"/>
  <c r="G42" i="2"/>
  <c r="G50" i="2" s="1"/>
  <c r="L133" i="2"/>
  <c r="G133" i="2"/>
  <c r="G188" i="2" l="1"/>
  <c r="G8" i="2" l="1"/>
  <c r="L8" i="2"/>
  <c r="L146" i="2" l="1"/>
  <c r="G146" i="2"/>
  <c r="G169" i="2" s="1"/>
  <c r="L71" i="2" l="1"/>
  <c r="G71" i="2"/>
  <c r="L7" i="2" l="1"/>
  <c r="G7" i="2"/>
  <c r="G13" i="2" s="1"/>
  <c r="G144" i="2" l="1"/>
  <c r="G18" i="2" l="1"/>
  <c r="G68" i="2" l="1"/>
  <c r="L68" i="2"/>
  <c r="L30" i="2" l="1"/>
  <c r="G30" i="2"/>
  <c r="L52" i="2"/>
  <c r="G52" i="2"/>
  <c r="G62" i="2" s="1"/>
  <c r="G96" i="2" l="1"/>
  <c r="E35" i="2" l="1"/>
  <c r="F35" i="2" s="1"/>
  <c r="L34" i="2"/>
  <c r="G34" i="2"/>
  <c r="G35" i="2" s="1"/>
  <c r="E32" i="2" l="1"/>
  <c r="E69" i="2" l="1"/>
  <c r="F18" i="2" l="1"/>
  <c r="E72" i="2" l="1"/>
  <c r="L83" i="2" l="1"/>
  <c r="G83" i="2"/>
  <c r="L67" i="2"/>
  <c r="G67" i="2"/>
  <c r="L31" i="2"/>
  <c r="G31" i="2"/>
  <c r="L82" i="2" l="1"/>
  <c r="G82" i="2"/>
  <c r="G87" i="2" s="1"/>
  <c r="G32" i="2" l="1"/>
  <c r="L79" i="2" l="1"/>
  <c r="G79" i="2" l="1"/>
  <c r="F93" i="2" l="1"/>
  <c r="F126" i="2" l="1"/>
  <c r="F69" i="2" l="1"/>
  <c r="G69" i="2" l="1"/>
  <c r="G28" i="2" l="1"/>
  <c r="G93" i="2" l="1"/>
  <c r="G72" i="2" l="1"/>
  <c r="G118" i="2" l="1"/>
  <c r="L78" i="2" l="1"/>
  <c r="G78" i="2"/>
  <c r="G80" i="2" s="1"/>
  <c r="F32" i="2" l="1"/>
  <c r="F131" i="2" l="1"/>
  <c r="F80" i="2" l="1"/>
  <c r="F87" i="2" l="1"/>
  <c r="F178" i="2" l="1"/>
  <c r="F118" i="2" l="1"/>
  <c r="F96" i="2" l="1"/>
  <c r="F122" i="2" l="1"/>
  <c r="F28" i="2" l="1"/>
  <c r="H204" i="3" l="1"/>
  <c r="G204" i="3"/>
  <c r="H203" i="3"/>
  <c r="G203" i="3"/>
  <c r="E203" i="3" s="1"/>
  <c r="H202" i="3"/>
  <c r="G202" i="3"/>
  <c r="E202" i="3" s="1"/>
  <c r="H201" i="3"/>
  <c r="G201" i="3"/>
  <c r="H200" i="3"/>
  <c r="G200" i="3"/>
  <c r="E200" i="3" s="1"/>
  <c r="H199" i="3"/>
  <c r="G199" i="3"/>
  <c r="E199" i="3" s="1"/>
  <c r="H198" i="3"/>
  <c r="G198" i="3"/>
  <c r="E197" i="3"/>
  <c r="H196" i="3"/>
  <c r="G196" i="3"/>
  <c r="H194" i="3"/>
  <c r="G194" i="3"/>
  <c r="E193" i="3"/>
  <c r="E194" i="3" s="1"/>
  <c r="F194" i="3" s="1"/>
  <c r="H190" i="3"/>
  <c r="G190" i="3"/>
  <c r="H189" i="3"/>
  <c r="G189" i="3"/>
  <c r="E188" i="3"/>
  <c r="H185" i="3"/>
  <c r="H186" i="3" s="1"/>
  <c r="G185" i="3"/>
  <c r="E185" i="3"/>
  <c r="G184" i="3"/>
  <c r="E184" i="3" s="1"/>
  <c r="E181" i="3"/>
  <c r="E180" i="3"/>
  <c r="H179" i="3"/>
  <c r="G179" i="3"/>
  <c r="H178" i="3"/>
  <c r="G178" i="3"/>
  <c r="G182" i="3" s="1"/>
  <c r="H175" i="3"/>
  <c r="G175" i="3"/>
  <c r="H174" i="3"/>
  <c r="G174" i="3"/>
  <c r="H173" i="3"/>
  <c r="G173" i="3"/>
  <c r="E172" i="3"/>
  <c r="E171" i="3"/>
  <c r="E170" i="3"/>
  <c r="E169" i="3"/>
  <c r="H166" i="3"/>
  <c r="G166" i="3"/>
  <c r="E165" i="3"/>
  <c r="H164" i="3"/>
  <c r="G164" i="3"/>
  <c r="E164" i="3" s="1"/>
  <c r="H161" i="3"/>
  <c r="G161" i="3"/>
  <c r="H160" i="3"/>
  <c r="G160" i="3"/>
  <c r="H159" i="3"/>
  <c r="G159" i="3"/>
  <c r="H158" i="3"/>
  <c r="G158" i="3"/>
  <c r="E157" i="3"/>
  <c r="H156" i="3"/>
  <c r="G156" i="3"/>
  <c r="H155" i="3"/>
  <c r="G155" i="3"/>
  <c r="H154" i="3"/>
  <c r="G154" i="3"/>
  <c r="E151" i="3"/>
  <c r="H150" i="3"/>
  <c r="G150" i="3"/>
  <c r="H149" i="3"/>
  <c r="G149" i="3"/>
  <c r="E148" i="3"/>
  <c r="H147" i="3"/>
  <c r="G147" i="3"/>
  <c r="E146" i="3"/>
  <c r="E143" i="3"/>
  <c r="H142" i="3"/>
  <c r="G142" i="3"/>
  <c r="G144" i="3" s="1"/>
  <c r="E141" i="3"/>
  <c r="H138" i="3"/>
  <c r="G138" i="3"/>
  <c r="E137" i="3"/>
  <c r="H136" i="3"/>
  <c r="G136" i="3"/>
  <c r="E133" i="3"/>
  <c r="H132" i="3"/>
  <c r="G132" i="3"/>
  <c r="G134" i="3" s="1"/>
  <c r="E131" i="3"/>
  <c r="H128" i="3"/>
  <c r="H129" i="3" s="1"/>
  <c r="G128" i="3"/>
  <c r="G129" i="3" s="1"/>
  <c r="E127" i="3"/>
  <c r="H124" i="3"/>
  <c r="G124" i="3"/>
  <c r="H123" i="3"/>
  <c r="G123" i="3"/>
  <c r="G121" i="3"/>
  <c r="H120" i="3"/>
  <c r="H121" i="3" s="1"/>
  <c r="H119" i="3"/>
  <c r="E119" i="3" s="1"/>
  <c r="H118" i="3"/>
  <c r="E118" i="3" s="1"/>
  <c r="G115" i="3"/>
  <c r="E115" i="3" s="1"/>
  <c r="G114" i="3"/>
  <c r="E114" i="3" s="1"/>
  <c r="G113" i="3"/>
  <c r="E113" i="3" s="1"/>
  <c r="H112" i="3"/>
  <c r="G112" i="3"/>
  <c r="H111" i="3"/>
  <c r="G111" i="3"/>
  <c r="H110" i="3"/>
  <c r="G110" i="3"/>
  <c r="E109" i="3"/>
  <c r="H108" i="3"/>
  <c r="G108" i="3"/>
  <c r="H107" i="3"/>
  <c r="G107" i="3"/>
  <c r="H106" i="3"/>
  <c r="G106" i="3"/>
  <c r="E105" i="3"/>
  <c r="E104" i="3"/>
  <c r="E103" i="3"/>
  <c r="E100" i="3"/>
  <c r="H99" i="3"/>
  <c r="G99" i="3"/>
  <c r="H98" i="3"/>
  <c r="G98" i="3"/>
  <c r="H95" i="3"/>
  <c r="E95" i="3" s="1"/>
  <c r="H94" i="3"/>
  <c r="G94" i="3"/>
  <c r="H93" i="3"/>
  <c r="G93" i="3"/>
  <c r="H92" i="3"/>
  <c r="G92" i="3"/>
  <c r="H89" i="3"/>
  <c r="H90" i="3" s="1"/>
  <c r="G89" i="3"/>
  <c r="G90" i="3" s="1"/>
  <c r="E88" i="3"/>
  <c r="H85" i="3"/>
  <c r="H86" i="3" s="1"/>
  <c r="G85" i="3"/>
  <c r="G86" i="3" s="1"/>
  <c r="H82" i="3"/>
  <c r="G82" i="3"/>
  <c r="H81" i="3"/>
  <c r="G81" i="3"/>
  <c r="H80" i="3"/>
  <c r="G80" i="3"/>
  <c r="E79" i="3"/>
  <c r="H78" i="3"/>
  <c r="E78" i="3" s="1"/>
  <c r="H77" i="3"/>
  <c r="G77" i="3"/>
  <c r="H76" i="3"/>
  <c r="G76" i="3"/>
  <c r="E75" i="3"/>
  <c r="H74" i="3"/>
  <c r="H72" i="3"/>
  <c r="G72" i="3"/>
  <c r="E71" i="3"/>
  <c r="E72" i="3" s="1"/>
  <c r="F72" i="3" s="1"/>
  <c r="H69" i="3"/>
  <c r="G69" i="3"/>
  <c r="E68" i="3"/>
  <c r="E67" i="3"/>
  <c r="H64" i="3"/>
  <c r="G64" i="3"/>
  <c r="H63" i="3"/>
  <c r="G63" i="3"/>
  <c r="E62" i="3"/>
  <c r="H61" i="3"/>
  <c r="G61" i="3"/>
  <c r="H60" i="3"/>
  <c r="G60" i="3"/>
  <c r="H59" i="3"/>
  <c r="H56" i="3"/>
  <c r="G56" i="3"/>
  <c r="H55" i="3"/>
  <c r="G55" i="3"/>
  <c r="E54" i="3"/>
  <c r="E53" i="3"/>
  <c r="H52" i="3"/>
  <c r="G52" i="3"/>
  <c r="E51" i="3"/>
  <c r="H48" i="3"/>
  <c r="G48" i="3"/>
  <c r="H47" i="3"/>
  <c r="G47" i="3"/>
  <c r="E46" i="3"/>
  <c r="E45" i="3"/>
  <c r="E44" i="3"/>
  <c r="H43" i="3"/>
  <c r="G43" i="3"/>
  <c r="H42" i="3"/>
  <c r="G42" i="3"/>
  <c r="E41" i="3"/>
  <c r="E40" i="3"/>
  <c r="E39" i="3"/>
  <c r="E36" i="3"/>
  <c r="G35" i="3"/>
  <c r="E35" i="3" s="1"/>
  <c r="H34" i="3"/>
  <c r="G34" i="3"/>
  <c r="G33" i="3"/>
  <c r="E33" i="3" s="1"/>
  <c r="E32" i="3"/>
  <c r="E31" i="3"/>
  <c r="H30" i="3"/>
  <c r="G30" i="3"/>
  <c r="E29" i="3"/>
  <c r="E28" i="3"/>
  <c r="E27" i="3"/>
  <c r="H25" i="3"/>
  <c r="G25" i="3"/>
  <c r="E24" i="3"/>
  <c r="E23" i="3"/>
  <c r="E22" i="3"/>
  <c r="H19" i="3"/>
  <c r="H20" i="3" s="1"/>
  <c r="G19" i="3"/>
  <c r="G20" i="3" s="1"/>
  <c r="H18" i="3"/>
  <c r="G18" i="3"/>
  <c r="E15" i="3"/>
  <c r="H14" i="3"/>
  <c r="G14" i="3"/>
  <c r="H13" i="3"/>
  <c r="G13" i="3"/>
  <c r="H12" i="3"/>
  <c r="G12" i="3"/>
  <c r="E11" i="3"/>
  <c r="H10" i="3"/>
  <c r="G10" i="3"/>
  <c r="H9" i="3"/>
  <c r="G9" i="3"/>
  <c r="H8" i="3"/>
  <c r="G8" i="3"/>
  <c r="E160" i="3" l="1"/>
  <c r="H101" i="3"/>
  <c r="E156" i="3"/>
  <c r="E93" i="3"/>
  <c r="E112" i="3"/>
  <c r="E12" i="3"/>
  <c r="E201" i="3"/>
  <c r="E190" i="3"/>
  <c r="E34" i="3"/>
  <c r="E77" i="3"/>
  <c r="E94" i="3"/>
  <c r="E10" i="3"/>
  <c r="E18" i="3"/>
  <c r="E55" i="3"/>
  <c r="E155" i="3"/>
  <c r="E63" i="3"/>
  <c r="E82" i="3"/>
  <c r="E175" i="3"/>
  <c r="E107" i="3"/>
  <c r="E30" i="3"/>
  <c r="E37" i="3" s="1"/>
  <c r="F37" i="3" s="1"/>
  <c r="E64" i="3"/>
  <c r="G139" i="3"/>
  <c r="H152" i="3"/>
  <c r="E154" i="3"/>
  <c r="H167" i="3"/>
  <c r="H116" i="3"/>
  <c r="E13" i="3"/>
  <c r="E111" i="3"/>
  <c r="E198" i="3"/>
  <c r="H83" i="3"/>
  <c r="G83" i="3"/>
  <c r="G152" i="3"/>
  <c r="E158" i="3"/>
  <c r="E178" i="3"/>
  <c r="G176" i="3"/>
  <c r="E61" i="3"/>
  <c r="E159" i="3"/>
  <c r="H176" i="3"/>
  <c r="E179" i="3"/>
  <c r="H49" i="3"/>
  <c r="E81" i="3"/>
  <c r="G191" i="3"/>
  <c r="G49" i="3"/>
  <c r="H96" i="3"/>
  <c r="G101" i="3"/>
  <c r="G116" i="3"/>
  <c r="E110" i="3"/>
  <c r="E123" i="3"/>
  <c r="E166" i="3"/>
  <c r="E174" i="3"/>
  <c r="E25" i="3"/>
  <c r="F25" i="3" s="1"/>
  <c r="E106" i="3"/>
  <c r="E48" i="3"/>
  <c r="E138" i="3"/>
  <c r="E14" i="3"/>
  <c r="E43" i="3"/>
  <c r="E69" i="3"/>
  <c r="F69" i="3" s="1"/>
  <c r="E80" i="3"/>
  <c r="G125" i="3"/>
  <c r="E132" i="3"/>
  <c r="E134" i="3" s="1"/>
  <c r="F134" i="3" s="1"/>
  <c r="G162" i="3"/>
  <c r="E161" i="3"/>
  <c r="H37" i="3"/>
  <c r="G57" i="3"/>
  <c r="E56" i="3"/>
  <c r="E76" i="3"/>
  <c r="E99" i="3"/>
  <c r="E120" i="3"/>
  <c r="E121" i="3" s="1"/>
  <c r="F121" i="3" s="1"/>
  <c r="H125" i="3"/>
  <c r="H57" i="3"/>
  <c r="H65" i="3"/>
  <c r="G167" i="3"/>
  <c r="G65" i="3"/>
  <c r="E142" i="3"/>
  <c r="E144" i="3" s="1"/>
  <c r="F144" i="3" s="1"/>
  <c r="E149" i="3"/>
  <c r="G205" i="3"/>
  <c r="E8" i="3"/>
  <c r="E60" i="3"/>
  <c r="H139" i="3"/>
  <c r="E167" i="3"/>
  <c r="F167" i="3" s="1"/>
  <c r="E186" i="3"/>
  <c r="F186" i="3" s="1"/>
  <c r="H191" i="3"/>
  <c r="E196" i="3"/>
  <c r="G16" i="3"/>
  <c r="E9" i="3"/>
  <c r="E47" i="3"/>
  <c r="G96" i="3"/>
  <c r="E108" i="3"/>
  <c r="E150" i="3"/>
  <c r="E173" i="3"/>
  <c r="G186" i="3"/>
  <c r="E204" i="3"/>
  <c r="G37" i="3"/>
  <c r="E59" i="3"/>
  <c r="E74" i="3"/>
  <c r="E83" i="3" s="1"/>
  <c r="F83" i="3" s="1"/>
  <c r="E92" i="3"/>
  <c r="E96" i="3" s="1"/>
  <c r="F96" i="3" s="1"/>
  <c r="H182" i="3"/>
  <c r="E189" i="3"/>
  <c r="H134" i="3"/>
  <c r="H144" i="3"/>
  <c r="E42" i="3"/>
  <c r="E85" i="3"/>
  <c r="E86" i="3" s="1"/>
  <c r="F86" i="3" s="1"/>
  <c r="E128" i="3"/>
  <c r="E129" i="3" s="1"/>
  <c r="F129" i="3" s="1"/>
  <c r="E136" i="3"/>
  <c r="E19" i="3"/>
  <c r="E20" i="3" s="1"/>
  <c r="F20" i="3" s="1"/>
  <c r="H162" i="3"/>
  <c r="H205" i="3"/>
  <c r="H16" i="3"/>
  <c r="E147" i="3"/>
  <c r="E52" i="3"/>
  <c r="E57" i="3" s="1"/>
  <c r="F57" i="3" s="1"/>
  <c r="E89" i="3"/>
  <c r="E90" i="3" s="1"/>
  <c r="F90" i="3" s="1"/>
  <c r="E98" i="3"/>
  <c r="E124" i="3"/>
  <c r="E101" i="3" l="1"/>
  <c r="F101" i="3" s="1"/>
  <c r="E162" i="3"/>
  <c r="F162" i="3" s="1"/>
  <c r="E49" i="3"/>
  <c r="F49" i="3" s="1"/>
  <c r="E191" i="3"/>
  <c r="F191" i="3" s="1"/>
  <c r="E125" i="3"/>
  <c r="F125" i="3" s="1"/>
  <c r="E139" i="3"/>
  <c r="F139" i="3" s="1"/>
  <c r="E116" i="3"/>
  <c r="F116" i="3" s="1"/>
  <c r="E176" i="3"/>
  <c r="F176" i="3" s="1"/>
  <c r="E152" i="3"/>
  <c r="F152" i="3" s="1"/>
  <c r="G206" i="3"/>
  <c r="E16" i="3"/>
  <c r="F16" i="3" s="1"/>
  <c r="E65" i="3"/>
  <c r="F65" i="3" s="1"/>
  <c r="E182" i="3"/>
  <c r="F182" i="3" s="1"/>
  <c r="E205" i="3"/>
  <c r="F205" i="3" s="1"/>
  <c r="H206" i="3"/>
  <c r="G124" i="1"/>
  <c r="F206" i="3" l="1"/>
  <c r="G114" i="1"/>
  <c r="E114" i="1" s="1"/>
  <c r="H160" i="1" l="1"/>
  <c r="G160" i="1"/>
  <c r="E160" i="1"/>
  <c r="H60" i="1"/>
  <c r="G60" i="1"/>
  <c r="H63" i="1"/>
  <c r="G63" i="1"/>
  <c r="H118" i="1"/>
  <c r="E118" i="1" s="1"/>
  <c r="H119" i="1"/>
  <c r="E119" i="1" s="1"/>
  <c r="H81" i="1"/>
  <c r="G81" i="1"/>
  <c r="E81" i="1" s="1"/>
  <c r="H47" i="1"/>
  <c r="G47" i="1"/>
  <c r="E44" i="1"/>
  <c r="H13" i="1"/>
  <c r="G13" i="1"/>
  <c r="E13" i="1" l="1"/>
  <c r="E63" i="1"/>
  <c r="E60" i="1"/>
  <c r="E47" i="1"/>
  <c r="H173" i="1"/>
  <c r="G173" i="1"/>
  <c r="H174" i="1"/>
  <c r="G174" i="1"/>
  <c r="E170" i="1"/>
  <c r="E171" i="1"/>
  <c r="H155" i="1"/>
  <c r="G155" i="1"/>
  <c r="H149" i="1"/>
  <c r="G149" i="1"/>
  <c r="E174" i="1" l="1"/>
  <c r="E173" i="1"/>
  <c r="E155" i="1"/>
  <c r="E149" i="1"/>
  <c r="H110" i="1"/>
  <c r="G110" i="1"/>
  <c r="E40" i="1"/>
  <c r="E31" i="1"/>
  <c r="H18" i="1"/>
  <c r="G18" i="1"/>
  <c r="E18" i="1" l="1"/>
  <c r="E110" i="1"/>
  <c r="H204" i="1"/>
  <c r="G204" i="1"/>
  <c r="H203" i="1"/>
  <c r="G203" i="1"/>
  <c r="E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H194" i="1"/>
  <c r="G194" i="1"/>
  <c r="E193" i="1"/>
  <c r="E194" i="1" s="1"/>
  <c r="F194" i="1" s="1"/>
  <c r="H190" i="1"/>
  <c r="G190" i="1"/>
  <c r="H189" i="1"/>
  <c r="G189" i="1"/>
  <c r="E188" i="1"/>
  <c r="H185" i="1"/>
  <c r="H186" i="1" s="1"/>
  <c r="G185" i="1"/>
  <c r="G184" i="1"/>
  <c r="E184" i="1" s="1"/>
  <c r="E181" i="1"/>
  <c r="E180" i="1"/>
  <c r="H179" i="1"/>
  <c r="G179" i="1"/>
  <c r="H178" i="1"/>
  <c r="G178" i="1"/>
  <c r="H175" i="1"/>
  <c r="G175" i="1"/>
  <c r="E169" i="1"/>
  <c r="H166" i="1"/>
  <c r="G166" i="1"/>
  <c r="E165" i="1"/>
  <c r="H164" i="1"/>
  <c r="G164" i="1"/>
  <c r="G167" i="1" s="1"/>
  <c r="H161" i="1"/>
  <c r="G161" i="1"/>
  <c r="H159" i="1"/>
  <c r="G159" i="1"/>
  <c r="H158" i="1"/>
  <c r="G158" i="1"/>
  <c r="E157" i="1"/>
  <c r="H156" i="1"/>
  <c r="G156" i="1"/>
  <c r="H154" i="1"/>
  <c r="G154" i="1"/>
  <c r="E151" i="1"/>
  <c r="H150" i="1"/>
  <c r="G150" i="1"/>
  <c r="E148" i="1"/>
  <c r="H147" i="1"/>
  <c r="H152" i="1" s="1"/>
  <c r="G147" i="1"/>
  <c r="G152" i="1" s="1"/>
  <c r="E146" i="1"/>
  <c r="E143" i="1"/>
  <c r="H142" i="1"/>
  <c r="H144" i="1" s="1"/>
  <c r="G142" i="1"/>
  <c r="G144" i="1" s="1"/>
  <c r="E141" i="1"/>
  <c r="H138" i="1"/>
  <c r="G138" i="1"/>
  <c r="E137" i="1"/>
  <c r="H136" i="1"/>
  <c r="G136" i="1"/>
  <c r="E133" i="1"/>
  <c r="H132" i="1"/>
  <c r="H134" i="1" s="1"/>
  <c r="G132" i="1"/>
  <c r="G134" i="1" s="1"/>
  <c r="E131" i="1"/>
  <c r="H128" i="1"/>
  <c r="H129" i="1" s="1"/>
  <c r="G128" i="1"/>
  <c r="G129" i="1" s="1"/>
  <c r="E127" i="1"/>
  <c r="H124" i="1"/>
  <c r="E124" i="1" s="1"/>
  <c r="H123" i="1"/>
  <c r="G123" i="1"/>
  <c r="G121" i="1"/>
  <c r="H120" i="1"/>
  <c r="E120" i="1" s="1"/>
  <c r="E121" i="1" s="1"/>
  <c r="F121" i="1" s="1"/>
  <c r="G115" i="1"/>
  <c r="E115" i="1" s="1"/>
  <c r="G113" i="1"/>
  <c r="E113" i="1" s="1"/>
  <c r="H112" i="1"/>
  <c r="G112" i="1"/>
  <c r="H111" i="1"/>
  <c r="G111" i="1"/>
  <c r="E109" i="1"/>
  <c r="H108" i="1"/>
  <c r="G108" i="1"/>
  <c r="H107" i="1"/>
  <c r="G107" i="1"/>
  <c r="H106" i="1"/>
  <c r="G106" i="1"/>
  <c r="E105" i="1"/>
  <c r="E104" i="1"/>
  <c r="E103" i="1"/>
  <c r="E100" i="1"/>
  <c r="H99" i="1"/>
  <c r="G99" i="1"/>
  <c r="H98" i="1"/>
  <c r="G98" i="1"/>
  <c r="H95" i="1"/>
  <c r="E95" i="1" s="1"/>
  <c r="H94" i="1"/>
  <c r="G94" i="1"/>
  <c r="H93" i="1"/>
  <c r="G93" i="1"/>
  <c r="H92" i="1"/>
  <c r="G92" i="1"/>
  <c r="H89" i="1"/>
  <c r="G89" i="1"/>
  <c r="G90" i="1" s="1"/>
  <c r="E88" i="1"/>
  <c r="H85" i="1"/>
  <c r="H86" i="1" s="1"/>
  <c r="G85" i="1"/>
  <c r="G86" i="1" s="1"/>
  <c r="H82" i="1"/>
  <c r="G82" i="1"/>
  <c r="H80" i="1"/>
  <c r="G80" i="1"/>
  <c r="E79" i="1"/>
  <c r="H78" i="1"/>
  <c r="E78" i="1" s="1"/>
  <c r="H77" i="1"/>
  <c r="G77" i="1"/>
  <c r="H76" i="1"/>
  <c r="G76" i="1"/>
  <c r="E75" i="1"/>
  <c r="H74" i="1"/>
  <c r="E74" i="1" s="1"/>
  <c r="H72" i="1"/>
  <c r="G72" i="1"/>
  <c r="E71" i="1"/>
  <c r="E72" i="1" s="1"/>
  <c r="F72" i="1" s="1"/>
  <c r="H69" i="1"/>
  <c r="G69" i="1"/>
  <c r="E68" i="1"/>
  <c r="E67" i="1"/>
  <c r="H64" i="1"/>
  <c r="G64" i="1"/>
  <c r="E62" i="1"/>
  <c r="H61" i="1"/>
  <c r="G61" i="1"/>
  <c r="H59" i="1"/>
  <c r="E59" i="1" s="1"/>
  <c r="H56" i="1"/>
  <c r="G56" i="1"/>
  <c r="H55" i="1"/>
  <c r="G55" i="1"/>
  <c r="E54" i="1"/>
  <c r="E53" i="1"/>
  <c r="H52" i="1"/>
  <c r="G52" i="1"/>
  <c r="E51" i="1"/>
  <c r="H48" i="1"/>
  <c r="G48" i="1"/>
  <c r="E46" i="1"/>
  <c r="E45" i="1"/>
  <c r="H43" i="1"/>
  <c r="G43" i="1"/>
  <c r="H42" i="1"/>
  <c r="G42" i="1"/>
  <c r="E41" i="1"/>
  <c r="E39" i="1"/>
  <c r="E36" i="1"/>
  <c r="G35" i="1"/>
  <c r="E35" i="1" s="1"/>
  <c r="H34" i="1"/>
  <c r="G34" i="1"/>
  <c r="G33" i="1"/>
  <c r="E33" i="1" s="1"/>
  <c r="E32" i="1"/>
  <c r="H30" i="1"/>
  <c r="H37" i="1" s="1"/>
  <c r="G30" i="1"/>
  <c r="E29" i="1"/>
  <c r="E28" i="1"/>
  <c r="E27" i="1"/>
  <c r="H25" i="1"/>
  <c r="G25" i="1"/>
  <c r="E24" i="1"/>
  <c r="E23" i="1"/>
  <c r="E22" i="1"/>
  <c r="H19" i="1"/>
  <c r="G19" i="1"/>
  <c r="G20" i="1" s="1"/>
  <c r="E15" i="1"/>
  <c r="H14" i="1"/>
  <c r="G14" i="1"/>
  <c r="H12" i="1"/>
  <c r="G12" i="1"/>
  <c r="E11" i="1"/>
  <c r="H10" i="1"/>
  <c r="G10" i="1"/>
  <c r="H9" i="1"/>
  <c r="G9" i="1"/>
  <c r="H8" i="1"/>
  <c r="G8" i="1"/>
  <c r="G57" i="1" l="1"/>
  <c r="E99" i="1"/>
  <c r="G186" i="1"/>
  <c r="H167" i="1"/>
  <c r="E179" i="1"/>
  <c r="E189" i="1"/>
  <c r="E61" i="1"/>
  <c r="E94" i="1"/>
  <c r="E43" i="1"/>
  <c r="E156" i="1"/>
  <c r="E150" i="1"/>
  <c r="E42" i="1"/>
  <c r="E166" i="1"/>
  <c r="E204" i="1"/>
  <c r="E154" i="1"/>
  <c r="H101" i="1"/>
  <c r="E111" i="1"/>
  <c r="G125" i="1"/>
  <c r="E172" i="1"/>
  <c r="E77" i="1"/>
  <c r="E9" i="1"/>
  <c r="E80" i="1"/>
  <c r="E106" i="1"/>
  <c r="E138" i="1"/>
  <c r="E12" i="1"/>
  <c r="E25" i="1"/>
  <c r="F25" i="1" s="1"/>
  <c r="G49" i="1"/>
  <c r="G65" i="1"/>
  <c r="E64" i="1"/>
  <c r="E76" i="1"/>
  <c r="G96" i="1"/>
  <c r="E98" i="1"/>
  <c r="E101" i="1" s="1"/>
  <c r="F101" i="1" s="1"/>
  <c r="E112" i="1"/>
  <c r="H139" i="1"/>
  <c r="E161" i="1"/>
  <c r="G176" i="1"/>
  <c r="E190" i="1"/>
  <c r="E197" i="1"/>
  <c r="E199" i="1"/>
  <c r="E108" i="1"/>
  <c r="H125" i="1"/>
  <c r="E178" i="1"/>
  <c r="E10" i="1"/>
  <c r="E56" i="1"/>
  <c r="E69" i="1"/>
  <c r="F69" i="1" s="1"/>
  <c r="E82" i="1"/>
  <c r="E147" i="1"/>
  <c r="E152" i="1" s="1"/>
  <c r="F152" i="1" s="1"/>
  <c r="E164" i="1"/>
  <c r="G182" i="1"/>
  <c r="G205" i="1"/>
  <c r="E198" i="1"/>
  <c r="E202" i="1"/>
  <c r="E93" i="1"/>
  <c r="G139" i="1"/>
  <c r="E34" i="1"/>
  <c r="G162" i="1"/>
  <c r="E159" i="1"/>
  <c r="E175" i="1"/>
  <c r="E201" i="1"/>
  <c r="E8" i="1"/>
  <c r="E14" i="1"/>
  <c r="E30" i="1"/>
  <c r="H57" i="1"/>
  <c r="E55" i="1"/>
  <c r="G83" i="1"/>
  <c r="E85" i="1"/>
  <c r="E86" i="1" s="1"/>
  <c r="F86" i="1" s="1"/>
  <c r="E89" i="1"/>
  <c r="E90" i="1" s="1"/>
  <c r="F90" i="1" s="1"/>
  <c r="G101" i="1"/>
  <c r="E107" i="1"/>
  <c r="E123" i="1"/>
  <c r="E125" i="1" s="1"/>
  <c r="F125" i="1" s="1"/>
  <c r="E128" i="1"/>
  <c r="E129" i="1" s="1"/>
  <c r="F129" i="1" s="1"/>
  <c r="E132" i="1"/>
  <c r="E134" i="1" s="1"/>
  <c r="F134" i="1" s="1"/>
  <c r="G191" i="1"/>
  <c r="E196" i="1"/>
  <c r="E19" i="1"/>
  <c r="E20" i="1" s="1"/>
  <c r="F20" i="1" s="1"/>
  <c r="H83" i="1"/>
  <c r="H96" i="1"/>
  <c r="G16" i="1"/>
  <c r="G37" i="1"/>
  <c r="E48" i="1"/>
  <c r="G116" i="1"/>
  <c r="E136" i="1"/>
  <c r="E142" i="1"/>
  <c r="E144" i="1" s="1"/>
  <c r="F144" i="1" s="1"/>
  <c r="H162" i="1"/>
  <c r="E158" i="1"/>
  <c r="E185" i="1"/>
  <c r="E186" i="1" s="1"/>
  <c r="F186" i="1" s="1"/>
  <c r="E200" i="1"/>
  <c r="H49" i="1"/>
  <c r="H121" i="1"/>
  <c r="H20" i="1"/>
  <c r="H90" i="1"/>
  <c r="H176" i="1"/>
  <c r="H182" i="1"/>
  <c r="H191" i="1"/>
  <c r="H16" i="1"/>
  <c r="E52" i="1"/>
  <c r="E92" i="1"/>
  <c r="H116" i="1"/>
  <c r="H205" i="1"/>
  <c r="H65" i="1"/>
  <c r="E182" i="1" l="1"/>
  <c r="F182" i="1" s="1"/>
  <c r="E139" i="1"/>
  <c r="F139" i="1" s="1"/>
  <c r="E83" i="1"/>
  <c r="F83" i="1" s="1"/>
  <c r="E65" i="1"/>
  <c r="F65" i="1" s="1"/>
  <c r="E49" i="1"/>
  <c r="F49" i="1" s="1"/>
  <c r="E191" i="1"/>
  <c r="F191" i="1" s="1"/>
  <c r="E167" i="1"/>
  <c r="F167" i="1" s="1"/>
  <c r="E96" i="1"/>
  <c r="F96" i="1" s="1"/>
  <c r="E176" i="1"/>
  <c r="F176" i="1" s="1"/>
  <c r="G206" i="1"/>
  <c r="E205" i="1"/>
  <c r="F205" i="1" s="1"/>
  <c r="E57" i="1"/>
  <c r="F57" i="1" s="1"/>
  <c r="E37" i="1"/>
  <c r="F37" i="1" s="1"/>
  <c r="E162" i="1"/>
  <c r="F162" i="1" s="1"/>
  <c r="E116" i="1"/>
  <c r="F116" i="1" s="1"/>
  <c r="E16" i="1"/>
  <c r="F16" i="1" s="1"/>
  <c r="H206" i="1"/>
  <c r="F206" i="1" l="1"/>
  <c r="F13" i="2" l="1"/>
  <c r="F62" i="2" l="1"/>
  <c r="F182" i="2"/>
  <c r="F144" i="2"/>
  <c r="F200" i="2" l="1"/>
  <c r="F172" i="2" l="1"/>
  <c r="F50" i="2"/>
  <c r="F169" i="2"/>
  <c r="F188" i="2"/>
  <c r="G201" i="2" l="1"/>
  <c r="F72" i="2" l="1"/>
  <c r="F40" i="2"/>
  <c r="F201" i="2" l="1"/>
</calcChain>
</file>

<file path=xl/sharedStrings.xml><?xml version="1.0" encoding="utf-8"?>
<sst xmlns="http://schemas.openxmlformats.org/spreadsheetml/2006/main" count="2029" uniqueCount="469">
  <si>
    <t>VESSAL DATE</t>
  </si>
  <si>
    <t>VESSEL NAME</t>
  </si>
  <si>
    <t>PRODUCT NAME</t>
  </si>
  <si>
    <t>PORT</t>
  </si>
  <si>
    <t>UNSOLD 
QTY</t>
  </si>
  <si>
    <t>SOLD QTY /
PENDING LIFTING</t>
  </si>
  <si>
    <t>PHYSICAL STOCK</t>
  </si>
  <si>
    <t>TERMINAL</t>
  </si>
  <si>
    <t>IMPORT PRICE ($) MT</t>
  </si>
  <si>
    <t>KANDLA</t>
  </si>
  <si>
    <t>F- 4644A CHEMROUTE OASIS</t>
  </si>
  <si>
    <t>ACETIC ACID</t>
  </si>
  <si>
    <t>RISHI KIRAN &amp; AHIR</t>
  </si>
  <si>
    <t>HAZIRA</t>
  </si>
  <si>
    <t>F-4697A CHEM HARVEST</t>
  </si>
  <si>
    <t>KESAR &amp; AEGIS</t>
  </si>
  <si>
    <t>MUMBAI</t>
  </si>
  <si>
    <t>F-4701 SEA HARVEST</t>
  </si>
  <si>
    <t xml:space="preserve">AHIR  </t>
  </si>
  <si>
    <t>JNPT</t>
  </si>
  <si>
    <t>F-4801A SAEHAN INTRASIA</t>
  </si>
  <si>
    <t>ADANI</t>
  </si>
  <si>
    <t>F-4801B BOCHEM BAYARD</t>
  </si>
  <si>
    <t>AEGIS</t>
  </si>
  <si>
    <t>F-4801 SAEHAN INTRASIA</t>
  </si>
  <si>
    <t>F-4485 T RIGEL</t>
  </si>
  <si>
    <t>GBL</t>
  </si>
  <si>
    <t>TOTAL</t>
  </si>
  <si>
    <t>2-EH</t>
  </si>
  <si>
    <t>KESAR</t>
  </si>
  <si>
    <t>F-4628 FURANO GALAXY</t>
  </si>
  <si>
    <t>ACETONE</t>
  </si>
  <si>
    <t>AHIR</t>
  </si>
  <si>
    <t>F-4544 PEACE WORTH</t>
  </si>
  <si>
    <t>F-4450 GOLDEN DENISE</t>
  </si>
  <si>
    <t>ACRYLONITRILE</t>
  </si>
  <si>
    <t>IMC</t>
  </si>
  <si>
    <t>F-4116 JEIL CRYSTAL</t>
  </si>
  <si>
    <t xml:space="preserve">IMC </t>
  </si>
  <si>
    <t xml:space="preserve"> EROWATI</t>
  </si>
  <si>
    <t xml:space="preserve">KESAR  </t>
  </si>
  <si>
    <t>SONALI</t>
  </si>
  <si>
    <t>F-4555 TIGER TENACITY</t>
  </si>
  <si>
    <t>KESAR &amp; IMC &amp; SHREEJI</t>
  </si>
  <si>
    <t>F-4706 BOW GEMINI</t>
  </si>
  <si>
    <t>KESAR &amp; IMC &amp; JRE</t>
  </si>
  <si>
    <t>BUTYL ACETATE</t>
  </si>
  <si>
    <t>FSWAI</t>
  </si>
  <si>
    <t>F-4676 TIGER INTEGRITY</t>
  </si>
  <si>
    <t>F-4796A ASIAN LILAC</t>
  </si>
  <si>
    <t>F-4829 SEA AMBITION</t>
  </si>
  <si>
    <t>F-4680 SEA DELTA</t>
  </si>
  <si>
    <t>F-4796 ASIAN LILAC</t>
  </si>
  <si>
    <t>NORMAL BUTANOL</t>
  </si>
  <si>
    <t>FSWAI &amp; KESAR</t>
  </si>
  <si>
    <t>F-4828A SEA AMBITION</t>
  </si>
  <si>
    <t>F-4824 NORDIC MARITA</t>
  </si>
  <si>
    <t>F-4828 SEA AMBITION</t>
  </si>
  <si>
    <t>ISO BUTANOL</t>
  </si>
  <si>
    <t>F-4687 BOW GEMINI</t>
  </si>
  <si>
    <t>GULF BARAKAH</t>
  </si>
  <si>
    <t>F-4791 CELSIUS BIRDIE</t>
  </si>
  <si>
    <t>F-4345 BOW ELM</t>
  </si>
  <si>
    <t>ISO BUTYL ACETATE</t>
  </si>
  <si>
    <t>F-4721 BOW GEMINI</t>
  </si>
  <si>
    <t>BAM</t>
  </si>
  <si>
    <t>F-4102 BOW ELM</t>
  </si>
  <si>
    <t>BUTYL GLYCOL</t>
  </si>
  <si>
    <t xml:space="preserve">F-4292 HAFNIA SKY </t>
  </si>
  <si>
    <t>F-4348 SEA FORTUNE</t>
  </si>
  <si>
    <t>KESAR &amp; FSWAI</t>
  </si>
  <si>
    <t>F-4240 BOW TRIDENT</t>
  </si>
  <si>
    <t>F-4369 SC TAIPEI</t>
  </si>
  <si>
    <t>F-4289 BOW LIND</t>
  </si>
  <si>
    <t>F-4798 ASIAN LILAC</t>
  </si>
  <si>
    <t>F-4830 SEA AMBITION</t>
  </si>
  <si>
    <t>F-4761 LILA FRONTIER</t>
  </si>
  <si>
    <t>PROPYLENE GLYCOL</t>
  </si>
  <si>
    <t>CRL &amp; KESAR</t>
  </si>
  <si>
    <t>F-4267 SAEHAN LIBERTY</t>
  </si>
  <si>
    <t>CYCLOHEXANONE</t>
  </si>
  <si>
    <t>F-4686 BOW GEMINI</t>
  </si>
  <si>
    <t>IPA</t>
  </si>
  <si>
    <t xml:space="preserve">F-4463 TIGER TENACITY </t>
  </si>
  <si>
    <t>N-PROPANOL</t>
  </si>
  <si>
    <t>F-4668 BOW GEMINI</t>
  </si>
  <si>
    <t>F-4852 BOW PLATINUM</t>
  </si>
  <si>
    <t>F-4361 BOW TRIUMPH</t>
  </si>
  <si>
    <t>TOLUENE</t>
  </si>
  <si>
    <t>F-4606 CHEMWAY ARROW</t>
  </si>
  <si>
    <t>AHIR SALT</t>
  </si>
  <si>
    <t>F-4650 MARITIME GRACIOUS</t>
  </si>
  <si>
    <t>KESAR &amp; SHREEJI</t>
  </si>
  <si>
    <t>F-4707 CHEMROUTE OASIS</t>
  </si>
  <si>
    <t>F-4739 CHEMROAD ORCHID</t>
  </si>
  <si>
    <t>KESAR &amp; AHIR</t>
  </si>
  <si>
    <t>F-4651 MARITIME GRACIOUS</t>
  </si>
  <si>
    <t>F-4822 SKY RUNNER</t>
  </si>
  <si>
    <t>F-4734 SOUTHERN WOLF</t>
  </si>
  <si>
    <t>DEG</t>
  </si>
  <si>
    <t>F-4683 KANAZAWA</t>
  </si>
  <si>
    <t>NPAC</t>
  </si>
  <si>
    <t>VICTORY LIGHT</t>
  </si>
  <si>
    <t>HIGH EXIM</t>
  </si>
  <si>
    <t>F-4599 SC MERCURY</t>
  </si>
  <si>
    <t>MEK</t>
  </si>
  <si>
    <t>F-4616 CHEM JUPITER</t>
  </si>
  <si>
    <t>F-4339 STO CAMELLIA</t>
  </si>
  <si>
    <t>MMA</t>
  </si>
  <si>
    <t>FSWAI &amp; AHIR</t>
  </si>
  <si>
    <t>F-4597 AL MAHBOOBAH</t>
  </si>
  <si>
    <t>F-4765 XT PIONEER</t>
  </si>
  <si>
    <t>`</t>
  </si>
  <si>
    <t>F-4716 PUTUOSHAN</t>
  </si>
  <si>
    <t>STYRENE MONOMER</t>
  </si>
  <si>
    <t>F-4669B DM EMERALD</t>
  </si>
  <si>
    <t>F-4815 KAIMON GALAXY</t>
  </si>
  <si>
    <t>F-4573 SC TAURUS</t>
  </si>
  <si>
    <t>HEXANE</t>
  </si>
  <si>
    <t>F-4652 BOW TRIDENT</t>
  </si>
  <si>
    <t>F-4766 BOW ELM</t>
  </si>
  <si>
    <t>F-4605 CHEMWAY ARROW</t>
  </si>
  <si>
    <t>C-9</t>
  </si>
  <si>
    <t>AHIR &amp; KESAR</t>
  </si>
  <si>
    <t>F-4709 CHEMROUTE OASIS</t>
  </si>
  <si>
    <t>AHIR &amp; FSWAI</t>
  </si>
  <si>
    <t>F-4811 CHEMROAD SIRIUS</t>
  </si>
  <si>
    <t>MIX XYLENE-ISOMER</t>
  </si>
  <si>
    <t>MIX XYLENE</t>
  </si>
  <si>
    <t>F-4708 CHEMROAD HOPE</t>
  </si>
  <si>
    <t xml:space="preserve">KESAR </t>
  </si>
  <si>
    <t xml:space="preserve">KESAR &amp; AHIR </t>
  </si>
  <si>
    <t>F-4810 CHEMROAD SIRIUS</t>
  </si>
  <si>
    <t>AHIR &amp; KESAR &amp; FSWAI</t>
  </si>
  <si>
    <t>F-4649 MARITIME GRACIOUS</t>
  </si>
  <si>
    <t>F-4719 OCEAN CHEMIST</t>
  </si>
  <si>
    <t>ENNORE</t>
  </si>
  <si>
    <t>F-4637 BOW NEON</t>
  </si>
  <si>
    <t>ORTHOXYLENE</t>
  </si>
  <si>
    <t>F-4638 CHEM HARVEST</t>
  </si>
  <si>
    <t>F-4579 MANDALA</t>
  </si>
  <si>
    <t>PHENOL</t>
  </si>
  <si>
    <t xml:space="preserve">KESAR &amp; CRL </t>
  </si>
  <si>
    <t>PARAS POLYMER (ORIENTAL JASMINE)</t>
  </si>
  <si>
    <t>PARAS POLYMER</t>
  </si>
  <si>
    <t>F-4694 BOW TITANIUM</t>
  </si>
  <si>
    <t>VAM</t>
  </si>
  <si>
    <t>F-4767 SOLAR ROMA</t>
  </si>
  <si>
    <t>F-4641 G BRIGHT</t>
  </si>
  <si>
    <t>EDC</t>
  </si>
  <si>
    <t>F-4725 BOCHEM BRUSSELS</t>
  </si>
  <si>
    <t>POLYOL 0656</t>
  </si>
  <si>
    <t>CRL</t>
  </si>
  <si>
    <t>F-4762 LILA FRONTIER</t>
  </si>
  <si>
    <t>POLYOL 1127</t>
  </si>
  <si>
    <t>F-4763 LILA FRONTIER</t>
  </si>
  <si>
    <t>POLYLOL 0434</t>
  </si>
  <si>
    <t>F-4722 SC MERCURY</t>
  </si>
  <si>
    <t>PROPIONIC ACID</t>
  </si>
  <si>
    <t>METHANOL</t>
  </si>
  <si>
    <t xml:space="preserve"> PK MARIT -CHER LIFE (LOCAL)</t>
  </si>
  <si>
    <t>EXUBERANT STAR -WINCHEM (LOCAL)</t>
  </si>
  <si>
    <t>F-4724 JBU ONYX</t>
  </si>
  <si>
    <t>F-4658 SG PEGASUS</t>
  </si>
  <si>
    <t>F-4723 JBU ONYX</t>
  </si>
  <si>
    <t>F-4812 AL SHAFFIAH</t>
  </si>
  <si>
    <t>KAKINADA</t>
  </si>
  <si>
    <t>MAHATHI</t>
  </si>
  <si>
    <t>F-4563 FG ROTTERDAM</t>
  </si>
  <si>
    <t>F-4615 MARITIME SUZANNE</t>
  </si>
  <si>
    <t>F-4681 JBU ONYX</t>
  </si>
  <si>
    <t>GRAND TOTAL</t>
  </si>
  <si>
    <t>STOCK REPORT 17-05-2023</t>
  </si>
  <si>
    <t>QY</t>
  </si>
  <si>
    <t>F-4682 BOW TITANIUM</t>
  </si>
  <si>
    <t>F-4565 CHEMROUTE OASIS</t>
  </si>
  <si>
    <t>F-4575 CHEMROUTE OASIS</t>
  </si>
  <si>
    <t>F-3637 DS COUGAR</t>
  </si>
  <si>
    <t>F-4602 SINAR MALAHAYATI</t>
  </si>
  <si>
    <t>F-4617 SINAR MALAHAYATI</t>
  </si>
  <si>
    <t>F-4684 ORCHID AMERICAS</t>
  </si>
  <si>
    <t>F-4756 SAVER1</t>
  </si>
  <si>
    <t>F-4706A BAY YASU</t>
  </si>
  <si>
    <t>F-4655 EVA GOLD</t>
  </si>
  <si>
    <t>F-4655A EVA GOLD</t>
  </si>
  <si>
    <t>F-4741 SC TAIPEI</t>
  </si>
  <si>
    <t>F-4488A HAFNIA SKY</t>
  </si>
  <si>
    <t>F-4742 SC TAIPEI</t>
  </si>
  <si>
    <t>F-4797A ASIAN LILAC</t>
  </si>
  <si>
    <t>F-4653B WADI BANI KHALID</t>
  </si>
  <si>
    <t>F-4620 LILA ACE</t>
  </si>
  <si>
    <t>F-4695 ZHENGHE 5</t>
  </si>
  <si>
    <t>F-4503 BOW PLATINIUM</t>
  </si>
  <si>
    <t>F-4749 HAKUBA GALAXY</t>
  </si>
  <si>
    <t>F-4501 SINAR MALAHAYATI</t>
  </si>
  <si>
    <t>F-4672 SEA DELTA</t>
  </si>
  <si>
    <t>F-4671 BAY SPIRIT</t>
  </si>
  <si>
    <t>F-4678 BAY SPIRIT</t>
  </si>
  <si>
    <t>F-4718 SKY RUNNER</t>
  </si>
  <si>
    <t>F-4740 CHEMROAD ORCHID</t>
  </si>
  <si>
    <t>F-4740A CHEMROAD ORCHID</t>
  </si>
  <si>
    <t>F-4746 CHEMROAD ORCHID</t>
  </si>
  <si>
    <t>F-4760 CHEMROAD ORCHID</t>
  </si>
  <si>
    <t>F-4809 BUSHAN HOPE</t>
  </si>
  <si>
    <t>F-4556 FAIRCHEM INTEGRITY-L</t>
  </si>
  <si>
    <t>F-4556 FAIRCHEM INTEGRITY-C</t>
  </si>
  <si>
    <t>F-4556A FAIRCHEM INTEGRITY-C</t>
  </si>
  <si>
    <t>F-4702 CHEM HOUSTON</t>
  </si>
  <si>
    <t>F-4702A CHEM HOUSTON</t>
  </si>
  <si>
    <t>F-4702B CHEM HOUSTON</t>
  </si>
  <si>
    <t>F-4715 SC TAIPEI</t>
  </si>
  <si>
    <t>F-4554 NCC MAHA</t>
  </si>
  <si>
    <t>F-4737 NCC NASMA</t>
  </si>
  <si>
    <t>F-4864 OCEAN HOPE</t>
  </si>
  <si>
    <t>F-4853A BAY SPIRIT</t>
  </si>
  <si>
    <t>F-4853 BAY SPIRIT</t>
  </si>
  <si>
    <t>F-4854 BAY SPIRIT</t>
  </si>
  <si>
    <t>F-4803A SEA HARVEST</t>
  </si>
  <si>
    <t>F-4839 SEA HARVEST</t>
  </si>
  <si>
    <t>F-4860 AMAGI GALAXY</t>
  </si>
  <si>
    <t>F-4855 BAY SPIRIT</t>
  </si>
  <si>
    <t>F-4857 DING HENG</t>
  </si>
  <si>
    <t>F-4837 DING HENG</t>
  </si>
  <si>
    <t xml:space="preserve">FSWAI </t>
  </si>
  <si>
    <t>PHYSICAL</t>
  </si>
  <si>
    <t>POLYLOL 0656</t>
  </si>
  <si>
    <t>SOPL</t>
  </si>
  <si>
    <t>CHENNAI</t>
  </si>
  <si>
    <t>ORTHO XYLENE</t>
  </si>
  <si>
    <t>MEG</t>
  </si>
  <si>
    <t>IBA</t>
  </si>
  <si>
    <t>NO OF DAYS OF STOCK</t>
  </si>
  <si>
    <t>VESSEL DATE</t>
  </si>
  <si>
    <t>OBR DATE</t>
  </si>
  <si>
    <t>PARTY NAME</t>
  </si>
  <si>
    <t>PRODUCT</t>
  </si>
  <si>
    <t>QTY.</t>
  </si>
  <si>
    <t>REMARKS</t>
  </si>
  <si>
    <t>IBAC</t>
  </si>
  <si>
    <t>BUTYL DI  GLYCOL</t>
  </si>
  <si>
    <t>SIDHE</t>
  </si>
  <si>
    <t>SIDHE PETROCHEMICAL - SC PETREL</t>
  </si>
  <si>
    <t>ORTHO</t>
  </si>
  <si>
    <t>SRF LTD</t>
  </si>
  <si>
    <t>SIDHE PETROCHEMICAL - STOLT NORLAND</t>
  </si>
  <si>
    <t>AHIR + FSWAI</t>
  </si>
  <si>
    <t>F-5971 BOW ELM</t>
  </si>
  <si>
    <t>SIDHE PETRO STOLT INTEGRITY</t>
  </si>
  <si>
    <t>F-5933 STOLT INTEGRITY</t>
  </si>
  <si>
    <t>F-5994 STOLT INTEGRITY</t>
  </si>
  <si>
    <t>2-ETHYLHEXANOL</t>
  </si>
  <si>
    <t>F-6070 BOW TRAJECTORY</t>
  </si>
  <si>
    <t>CYCLOHEXANE</t>
  </si>
  <si>
    <t>F-6072 STOLT ENDURANCE</t>
  </si>
  <si>
    <t>F-6074 STOLT ENDURANCE</t>
  </si>
  <si>
    <t>F-6073 STOLT ENDURANCE</t>
  </si>
  <si>
    <t>CONTRACT 140 MT PER MONTH</t>
  </si>
  <si>
    <t>RKT</t>
  </si>
  <si>
    <t>F-6163 BOW PANTHER</t>
  </si>
  <si>
    <t>F-6094 DDELPHINUS</t>
  </si>
  <si>
    <t xml:space="preserve">MIX XYLENE </t>
  </si>
  <si>
    <t>KESAR + FSWAI</t>
  </si>
  <si>
    <t>F-6161 FPMC 28</t>
  </si>
  <si>
    <t>F-6097A HAEIN HOPE</t>
  </si>
  <si>
    <t>F-6177 SINAR MENDAWAI</t>
  </si>
  <si>
    <t>F-6143A SEA HARVEST</t>
  </si>
  <si>
    <t>F-6177A SINAR MENDAWAI</t>
  </si>
  <si>
    <t>F-6146 BOW ODYSSEY</t>
  </si>
  <si>
    <t>F-6181 CNC RICH</t>
  </si>
  <si>
    <t>F-6150 BOW CHEETAH</t>
  </si>
  <si>
    <t>F-6126 NO. 03 OCEAN PIONEER</t>
  </si>
  <si>
    <t>F-6145 MARITIME VALOR</t>
  </si>
  <si>
    <t>F-6176 NO.6 OCEAN PIONEER</t>
  </si>
  <si>
    <t>F-6207 GINGA PUMA</t>
  </si>
  <si>
    <t>F-6209 GINGA PUMA</t>
  </si>
  <si>
    <t>F-6233 BOW TRIBUTE</t>
  </si>
  <si>
    <t>F-6188 SOUTHERN WOLF</t>
  </si>
  <si>
    <t>SIDHE MARITIME COMITY</t>
  </si>
  <si>
    <t xml:space="preserve">MIX XYLENE ISOMER GR </t>
  </si>
  <si>
    <t>F-6243 BOW ENDEAVOR</t>
  </si>
  <si>
    <t>F-6215 EASTERLY BEECH GALAXY</t>
  </si>
  <si>
    <t>F-6229 CNC BULL</t>
  </si>
  <si>
    <t>F-6196 ASIAN PIONEER</t>
  </si>
  <si>
    <t>APR25 TO MARCH26 QTY REVISED 140 MT PER MONTH, QTY REVISED 90 MT FROM 140 08.12.25</t>
  </si>
  <si>
    <t>F-6238 DM JADE</t>
  </si>
  <si>
    <t>F-6225 DS OCEAN</t>
  </si>
  <si>
    <t>F-6231 BOW COUGAR</t>
  </si>
  <si>
    <t>SPL-301A DS COUGAR</t>
  </si>
  <si>
    <t>SPL-302 DS COUGAR</t>
  </si>
  <si>
    <t>F-6263 MC GAEA</t>
  </si>
  <si>
    <t>F-6251 EASTERLY EAGLE</t>
  </si>
  <si>
    <t>F-6230 BOW COUGAR</t>
  </si>
  <si>
    <t>F-6226 PRABHU PARVATI</t>
  </si>
  <si>
    <t>F-6252 AL AMERAT</t>
  </si>
  <si>
    <t>F-6232 AURELIAN</t>
  </si>
  <si>
    <t xml:space="preserve">F-6267 SOLAR AILENE </t>
  </si>
  <si>
    <t>KESAR+FSWAI</t>
  </si>
  <si>
    <t>F-6280 WOOJIN ELVIS</t>
  </si>
  <si>
    <t>AHIR+KESAR</t>
  </si>
  <si>
    <t>SPL-319 CHEMROAD SIRIUS</t>
  </si>
  <si>
    <t>SPL-319A CHEMROAD SIRIUS</t>
  </si>
  <si>
    <t>F-6254 ORIENTAL COSMOS</t>
  </si>
  <si>
    <t>OTR QTY</t>
  </si>
  <si>
    <t>SPL-320 CHEMROAD SIRIUS</t>
  </si>
  <si>
    <t>SPL-321 CHEMROAD SIRIUS SOLVENT</t>
  </si>
  <si>
    <t>SPL-322 CHEMROAD SIRIUS</t>
  </si>
  <si>
    <t>NEW VESSEL (1ST HLF MARCH)</t>
  </si>
  <si>
    <t>F-6259 CT BRIGHT</t>
  </si>
  <si>
    <t>AHIR+KESAR+FSWAI</t>
  </si>
  <si>
    <t>F-6316 TG CRAB</t>
  </si>
  <si>
    <t>F-6273 DM CONDOR</t>
  </si>
  <si>
    <t>F-6271 SONGA NEPTUNE</t>
  </si>
  <si>
    <t>2 KT MEG SWAP FILATEX</t>
  </si>
  <si>
    <t>F-6291 GLEN COVE</t>
  </si>
  <si>
    <t>F-6320A KAMUI GALAXY</t>
  </si>
  <si>
    <t>GBL (SELORD)</t>
  </si>
  <si>
    <t>F-6301 OSHAIRIJ</t>
  </si>
  <si>
    <t>F-6290 SONGA NEPTUNE</t>
  </si>
  <si>
    <t>F-6284 SONGA NEPTUNE</t>
  </si>
  <si>
    <t>F-6270 BRAVONEA</t>
  </si>
  <si>
    <t>MIXED HEPTANE</t>
  </si>
  <si>
    <t>F-6279 LISBON</t>
  </si>
  <si>
    <t>F-6276 LISBON</t>
  </si>
  <si>
    <t>F-6272 LISBON</t>
  </si>
  <si>
    <t>SPL-334 DM CONDOR</t>
  </si>
  <si>
    <t>F-6302 YONG CHANG SHUN HANG</t>
  </si>
  <si>
    <t>F-6303 STOLT MAPLE</t>
  </si>
  <si>
    <t>STYLAM INDUSTRIES</t>
  </si>
  <si>
    <t>SPL-318A CHEMOCEAN LEO</t>
  </si>
  <si>
    <t>SPL-318 CHEMOCEAN LEO</t>
  </si>
  <si>
    <t>F-6329 SOUTHERN CETACEA</t>
  </si>
  <si>
    <t>F-6310 DAMSGAARD</t>
  </si>
  <si>
    <t>FSWAI+AEGIS+CRL</t>
  </si>
  <si>
    <t>F-6309 BOW COUGAR</t>
  </si>
  <si>
    <t>SPL-313 BOW EXCELLENCE</t>
  </si>
  <si>
    <t>SPL-316 CHEMOCEAN LEO</t>
  </si>
  <si>
    <t>F-6274 BOW LIND</t>
  </si>
  <si>
    <t>F-6297 OCEAN JUPITER</t>
  </si>
  <si>
    <t>SPL-317 MARITIME AMITY</t>
  </si>
  <si>
    <t>AHIR+FSWAI+CRL</t>
  </si>
  <si>
    <t>SIDHGUN</t>
  </si>
  <si>
    <t>F-6321  PVT LYRA</t>
  </si>
  <si>
    <t>SPL-357 HANYU FREESIA</t>
  </si>
  <si>
    <t>SPL-358 HANYU FREESIA</t>
  </si>
  <si>
    <t>SPL-360 HANYU FREESIA</t>
  </si>
  <si>
    <t>F-6307 CHEMROAD QUEST</t>
  </si>
  <si>
    <t>F-6308 CHEMROAD QUEST</t>
  </si>
  <si>
    <t>F-6311 BOW COUGAR</t>
  </si>
  <si>
    <t>KANDLA / HAZIRA</t>
  </si>
  <si>
    <t>GBL+SEALORD</t>
  </si>
  <si>
    <t>SEALORD</t>
  </si>
  <si>
    <t>F-6346 CHEMROAD QUEST</t>
  </si>
  <si>
    <t>PIPAVA</t>
  </si>
  <si>
    <t>T-233 STOLT MAPLE 1425mt ISOMAR</t>
  </si>
  <si>
    <t>T-235 Stolt Maple 476.893mt ISOMAR</t>
  </si>
  <si>
    <t>T-236 Stolt Maple 523.107mt SOLVENT</t>
  </si>
  <si>
    <t>T-230 STOLT MAPLE- 1,275.926 mt</t>
  </si>
  <si>
    <t>T-234 Chemroad Sirius 1000mt</t>
  </si>
  <si>
    <t>DATE</t>
  </si>
  <si>
    <t>RCF</t>
  </si>
  <si>
    <t>CONTRACT 500 PER MONTH FOR 3 YEARS</t>
  </si>
  <si>
    <t>NEW VESSEL (END MAY BLADE GALAXY)</t>
  </si>
  <si>
    <t>SIEGWERK INDIA</t>
  </si>
  <si>
    <t>LANXESS INDIA</t>
  </si>
  <si>
    <t>F-6355 CELSIUS MIDDLEFART</t>
  </si>
  <si>
    <t>SEALORD+GBL</t>
  </si>
  <si>
    <t>F-6356 CELSIUS MIDDLEFART</t>
  </si>
  <si>
    <t>F-6357 CELSIUS MIDDLEFART</t>
  </si>
  <si>
    <t>F-6334 AL AMERAT</t>
  </si>
  <si>
    <t>F-6317 GINGA JAGUAR</t>
  </si>
  <si>
    <t>F-6333 GINGA JAGUAR</t>
  </si>
  <si>
    <t>F-6348 SHAN BANG</t>
  </si>
  <si>
    <t>STPL-4 STENA PROGRESSIVE</t>
  </si>
  <si>
    <t>STPL-5 STENA PROGRESSIVE</t>
  </si>
  <si>
    <t>SPL-388 STENA PROGRESSIVE</t>
  </si>
  <si>
    <t>T-200mt KLJ PETROPLAST 24-3-26</t>
  </si>
  <si>
    <t>CONTRACT 100 MT PER MONTH (APR26 TO JUNE26</t>
  </si>
  <si>
    <t>F-6377 SOUTHERN QUOKKA</t>
  </si>
  <si>
    <t>T- 500MT PARAS CHEIRLIFE 18-03-2026</t>
  </si>
  <si>
    <t>NEW VESSEL (2ND HLF MAY)</t>
  </si>
  <si>
    <t>STPL-6 MARITIME AMITY</t>
  </si>
  <si>
    <t>T-237 BOW TRAJECTORY</t>
  </si>
  <si>
    <t>F-6385 JBU OPAL</t>
  </si>
  <si>
    <t>F-6323 CARIBBEAN 1</t>
  </si>
  <si>
    <t>F-6371 CARIBBEAN 1</t>
  </si>
  <si>
    <t>LOCAL PURCHASE TRICON ENERGY</t>
  </si>
  <si>
    <t>PHENOL-M</t>
  </si>
  <si>
    <t>T-238 YONG CHANG SHUN HANG</t>
  </si>
  <si>
    <t>F-6382 CT BRIGHT</t>
  </si>
  <si>
    <t>F-6370 SFL ARUBA</t>
  </si>
  <si>
    <t>F-6374 CNC RICH</t>
  </si>
  <si>
    <t>F-6338 STOLT BETULA</t>
  </si>
  <si>
    <t>NEW VESSEL (BLADE GALAXY)</t>
  </si>
  <si>
    <t>PRATISHTHA CHEM</t>
  </si>
  <si>
    <t>F-6352 EVA HANSA</t>
  </si>
  <si>
    <t>F-6353 EVA HANSA</t>
  </si>
  <si>
    <t>F-6378 SFL ARUBA</t>
  </si>
  <si>
    <t>F-6350 SFL ARUBA</t>
  </si>
  <si>
    <t>F-6366 SFL ARUBA</t>
  </si>
  <si>
    <t>STPL-12 SFL ARUBA</t>
  </si>
  <si>
    <t>SIGNATURE SOLVOCHEM</t>
  </si>
  <si>
    <t>PRAGATI TRADELINK</t>
  </si>
  <si>
    <t>F-6344 MC HERA</t>
  </si>
  <si>
    <t>F-6364 GOODAL</t>
  </si>
  <si>
    <t>F-6365 GOODAL</t>
  </si>
  <si>
    <t>F-6395 GOODAL</t>
  </si>
  <si>
    <t>RKT+AHIR</t>
  </si>
  <si>
    <t>F-6375 KOREA CHEMI</t>
  </si>
  <si>
    <t>F-6373 DM CONDOR</t>
  </si>
  <si>
    <t>F-6381 JASMINE TRADER</t>
  </si>
  <si>
    <t>F-6341 MARITIME GRACIOUS</t>
  </si>
  <si>
    <t>F-6351 MARITIME GRACIOUS</t>
  </si>
  <si>
    <t>F-6342 MARITIME GRACIOUS</t>
  </si>
  <si>
    <t>STPL-13 BOW NEON</t>
  </si>
  <si>
    <t>STPL-10 GC BERYL</t>
  </si>
  <si>
    <t>APR25 TO MARCH28 500 PER MONTH</t>
  </si>
  <si>
    <t>AHIR+CRL</t>
  </si>
  <si>
    <t>STPL-11 CHEMROAD ZENITH</t>
  </si>
  <si>
    <t>NEW VESSEL (MAY 2ND HLF)</t>
  </si>
  <si>
    <t>HUBER GROUP</t>
  </si>
  <si>
    <t>HP ADHESIVES</t>
  </si>
  <si>
    <t>NEW VESSEL (FAIRCHEM MAKO)</t>
  </si>
  <si>
    <t>NEW VESSEL (1ST WEEK JUNE)</t>
  </si>
  <si>
    <t>NEW VESSEL (JK MIRACLE)</t>
  </si>
  <si>
    <t>NEW VESSEL (MAY)</t>
  </si>
  <si>
    <t>SUPERFOAM CHEMISTRIES</t>
  </si>
  <si>
    <t>PI INDUSTRIES</t>
  </si>
  <si>
    <t>ALKYL AMINES</t>
  </si>
  <si>
    <t>JUBILANT INGREVIA</t>
  </si>
  <si>
    <t>AHIR+AEGIS</t>
  </si>
  <si>
    <t>F-6383 CHEMROAD ZENITH</t>
  </si>
  <si>
    <t>F-6349 YONG CHANG SHUN HANG</t>
  </si>
  <si>
    <t>STPL-8 BOW TRIBUTE</t>
  </si>
  <si>
    <t>IPCA LABORATORIES</t>
  </si>
  <si>
    <t>L-4461 KRLGUJGST2627-004 PRATISTHA FY26-27- 100000090</t>
  </si>
  <si>
    <t>NEW VESSEL (8TH JUNE)</t>
  </si>
  <si>
    <t>SHRI RAM KRIPA</t>
  </si>
  <si>
    <t>SAI LIFE SCIENCE</t>
  </si>
  <si>
    <t>350 TO 410 QTY</t>
  </si>
  <si>
    <t>NEW VESSEL ( 20-25 MAY)</t>
  </si>
  <si>
    <t>NEW VESSEL</t>
  </si>
  <si>
    <t>NEW VESSEL (SLOGEN)</t>
  </si>
  <si>
    <t>UJIN PHARMA</t>
  </si>
  <si>
    <t>DEE BEE ORGANIC</t>
  </si>
  <si>
    <t>INNOVATIVE RESIN</t>
  </si>
  <si>
    <t>STYRENE</t>
  </si>
  <si>
    <t>PUMAX</t>
  </si>
  <si>
    <t>(SIDHGUN)</t>
  </si>
  <si>
    <t>NEW VESSEL (1ST JUNE)</t>
  </si>
  <si>
    <t>SUMITOMO CHEMICAL</t>
  </si>
  <si>
    <t>T-240 TOW UJIN (BOW TRIBUTE) FY26-27- 100000093</t>
  </si>
  <si>
    <t>L-0 KRLGUJGST2627-005 NITI CHEM FY26-27- 100000095</t>
  </si>
  <si>
    <t>L-0 KRLGUJGST2627-007 UJIN FY26-27- 100000096</t>
  </si>
  <si>
    <t>NEW VESSEL (LOGEN)</t>
  </si>
  <si>
    <t>PPG</t>
  </si>
  <si>
    <t>SHIVA PERFORMANCE</t>
  </si>
  <si>
    <t>NARENDRA POLYMERS</t>
  </si>
  <si>
    <t>A ONE PAINT CHEM</t>
  </si>
  <si>
    <t>L-0 KRLGUJGST2627-006 DRJ PETRO FY26-27-</t>
  </si>
  <si>
    <t>AHIR+FSWAI</t>
  </si>
  <si>
    <t xml:space="preserve">F-6401 STOLT ARGON </t>
  </si>
  <si>
    <t>AMIT INDUSTRIES</t>
  </si>
  <si>
    <t>STOCK REPORT 16-05-2026</t>
  </si>
  <si>
    <t xml:space="preserve">NEW VESSEL </t>
  </si>
  <si>
    <t>NEW VESSEL (NO5 OCEAN PIONEER)</t>
  </si>
  <si>
    <t>KAYSON THINNERS</t>
  </si>
  <si>
    <t>PEARL POLYMER</t>
  </si>
  <si>
    <t>NBA</t>
  </si>
  <si>
    <t>PON PURE CHEMICAL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</si>
</sst>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2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8"/>
      <color theme="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0" fillId="0" borderId="0"/>
    <xf numFmtId="43" fontId="11" fillId="0" borderId="0" applyFont="0" applyFill="0" applyBorder="0" applyAlignment="0" applyProtection="0"/>
    <xf numFmtId="0" fontId="16" fillId="0" borderId="0"/>
    <xf numFmtId="43" fontId="10" fillId="0" borderId="0" applyFont="0" applyFill="0" applyBorder="0" applyAlignment="0" applyProtection="0"/>
    <xf numFmtId="0" fontId="17" fillId="0" borderId="0"/>
    <xf numFmtId="43" fontId="10" fillId="0" borderId="0" applyFont="0" applyFill="0" applyBorder="0" applyAlignment="0" applyProtection="0"/>
    <xf numFmtId="0" fontId="18" fillId="0" borderId="0"/>
  </cellStyleXfs>
  <cellXfs count="14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7" fillId="0" borderId="8" xfId="0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2" fontId="8" fillId="0" borderId="10" xfId="0" applyNumberFormat="1" applyFont="1" applyFill="1" applyBorder="1" applyAlignment="1">
      <alignment horizontal="center"/>
    </xf>
    <xf numFmtId="2" fontId="8" fillId="0" borderId="11" xfId="0" applyNumberFormat="1" applyFon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64" fontId="4" fillId="0" borderId="8" xfId="0" applyNumberFormat="1" applyFont="1" applyBorder="1" applyAlignment="1">
      <alignment horizontal="center" wrapText="1"/>
    </xf>
    <xf numFmtId="164" fontId="4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 wrapText="1"/>
    </xf>
    <xf numFmtId="0" fontId="0" fillId="0" borderId="0" xfId="0" applyFont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5" fillId="0" borderId="8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164" fontId="5" fillId="0" borderId="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2" fontId="8" fillId="0" borderId="12" xfId="0" applyNumberFormat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0" fillId="0" borderId="0" xfId="0" applyNumberFormat="1"/>
    <xf numFmtId="14" fontId="0" fillId="2" borderId="7" xfId="0" applyNumberForma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164" fontId="7" fillId="2" borderId="8" xfId="0" applyNumberFormat="1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0" fillId="2" borderId="0" xfId="0" applyFill="1"/>
    <xf numFmtId="164" fontId="4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164" fontId="7" fillId="5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0" fontId="7" fillId="0" borderId="9" xfId="0" applyNumberFormat="1" applyFont="1" applyFill="1" applyBorder="1" applyAlignment="1">
      <alignment horizontal="center"/>
    </xf>
    <xf numFmtId="14" fontId="9" fillId="6" borderId="3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wrapText="1"/>
    </xf>
    <xf numFmtId="0" fontId="7" fillId="0" borderId="18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2" fontId="8" fillId="0" borderId="20" xfId="0" applyNumberFormat="1" applyFont="1" applyFill="1" applyBorder="1" applyAlignment="1">
      <alignment horizontal="center"/>
    </xf>
    <xf numFmtId="2" fontId="8" fillId="5" borderId="20" xfId="0" applyNumberFormat="1" applyFont="1" applyFill="1" applyBorder="1" applyAlignment="1">
      <alignment horizontal="center"/>
    </xf>
    <xf numFmtId="2" fontId="8" fillId="0" borderId="21" xfId="0" applyNumberFormat="1" applyFont="1" applyFill="1" applyBorder="1" applyAlignment="1">
      <alignment horizontal="center"/>
    </xf>
    <xf numFmtId="0" fontId="7" fillId="0" borderId="8" xfId="0" applyNumberFormat="1" applyFont="1" applyFill="1" applyBorder="1" applyAlignment="1">
      <alignment horizontal="center"/>
    </xf>
    <xf numFmtId="164" fontId="7" fillId="6" borderId="8" xfId="0" applyNumberFormat="1" applyFont="1" applyFill="1" applyBorder="1" applyAlignment="1">
      <alignment horizontal="center"/>
    </xf>
    <xf numFmtId="0" fontId="7" fillId="0" borderId="18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 vertical="center"/>
    </xf>
    <xf numFmtId="164" fontId="12" fillId="2" borderId="22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0" xfId="0" applyFont="1"/>
    <xf numFmtId="14" fontId="14" fillId="0" borderId="8" xfId="0" applyNumberFormat="1" applyFont="1" applyBorder="1"/>
    <xf numFmtId="0" fontId="15" fillId="0" borderId="8" xfId="0" applyFont="1" applyBorder="1"/>
    <xf numFmtId="0" fontId="14" fillId="0" borderId="8" xfId="0" applyFont="1" applyBorder="1"/>
    <xf numFmtId="164" fontId="15" fillId="0" borderId="8" xfId="0" applyNumberFormat="1" applyFont="1" applyBorder="1"/>
    <xf numFmtId="164" fontId="4" fillId="0" borderId="8" xfId="0" applyNumberFormat="1" applyFont="1" applyFill="1" applyBorder="1" applyAlignment="1">
      <alignment horizontal="center" wrapText="1"/>
    </xf>
    <xf numFmtId="14" fontId="0" fillId="4" borderId="7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2" fontId="8" fillId="0" borderId="23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4" fontId="0" fillId="6" borderId="7" xfId="0" applyNumberForma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2" fontId="8" fillId="6" borderId="20" xfId="0" applyNumberFormat="1" applyFont="1" applyFill="1" applyBorder="1" applyAlignment="1">
      <alignment horizontal="center"/>
    </xf>
    <xf numFmtId="0" fontId="0" fillId="6" borderId="0" xfId="0" applyFill="1"/>
    <xf numFmtId="164" fontId="12" fillId="2" borderId="8" xfId="0" applyNumberFormat="1" applyFont="1" applyFill="1" applyBorder="1" applyAlignment="1">
      <alignment horizontal="center" vertical="center"/>
    </xf>
    <xf numFmtId="164" fontId="20" fillId="0" borderId="8" xfId="0" applyNumberFormat="1" applyFont="1" applyBorder="1"/>
    <xf numFmtId="0" fontId="7" fillId="4" borderId="8" xfId="0" applyNumberFormat="1" applyFont="1" applyFill="1" applyBorder="1" applyAlignment="1">
      <alignment horizontal="center"/>
    </xf>
    <xf numFmtId="164" fontId="4" fillId="0" borderId="8" xfId="0" applyNumberFormat="1" applyFont="1" applyFill="1" applyBorder="1" applyAlignment="1">
      <alignment horizontal="center"/>
    </xf>
    <xf numFmtId="164" fontId="19" fillId="0" borderId="8" xfId="0" applyNumberFormat="1" applyFont="1" applyBorder="1" applyAlignment="1">
      <alignment horizontal="center"/>
    </xf>
    <xf numFmtId="14" fontId="1" fillId="0" borderId="7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2" fontId="2" fillId="0" borderId="23" xfId="0" applyNumberFormat="1" applyFont="1" applyFill="1" applyBorder="1" applyAlignment="1">
      <alignment horizontal="center"/>
    </xf>
    <xf numFmtId="0" fontId="0" fillId="6" borderId="0" xfId="0" applyFont="1" applyFill="1"/>
    <xf numFmtId="0" fontId="0" fillId="6" borderId="0" xfId="0" applyFill="1" applyBorder="1"/>
    <xf numFmtId="0" fontId="1" fillId="6" borderId="0" xfId="0" applyFont="1" applyFill="1"/>
    <xf numFmtId="164" fontId="21" fillId="0" borderId="8" xfId="0" applyNumberFormat="1" applyFont="1" applyBorder="1"/>
    <xf numFmtId="164" fontId="7" fillId="0" borderId="0" xfId="0" applyNumberFormat="1" applyFont="1" applyFill="1" applyBorder="1" applyAlignment="1">
      <alignment horizontal="center"/>
    </xf>
    <xf numFmtId="14" fontId="0" fillId="7" borderId="7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164" fontId="6" fillId="7" borderId="8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7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/>
    <xf numFmtId="164" fontId="0" fillId="0" borderId="0" xfId="0" applyNumberFormat="1" applyFont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0" fontId="7" fillId="7" borderId="9" xfId="0" applyNumberFormat="1" applyFont="1" applyFill="1" applyBorder="1" applyAlignment="1">
      <alignment horizontal="center"/>
    </xf>
    <xf numFmtId="17" fontId="0" fillId="0" borderId="0" xfId="0" applyNumberFormat="1"/>
    <xf numFmtId="0" fontId="6" fillId="0" borderId="8" xfId="0" applyFont="1" applyBorder="1" applyAlignment="1">
      <alignment horizontal="left"/>
    </xf>
    <xf numFmtId="0" fontId="13" fillId="0" borderId="8" xfId="0" applyFont="1" applyBorder="1"/>
    <xf numFmtId="14" fontId="13" fillId="0" borderId="8" xfId="0" applyNumberFormat="1" applyFont="1" applyBorder="1"/>
    <xf numFmtId="0" fontId="21" fillId="0" borderId="8" xfId="0" applyFont="1" applyBorder="1"/>
    <xf numFmtId="0" fontId="5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8">
    <cellStyle name="Comma 10" xfId="6"/>
    <cellStyle name="Comma 2" xfId="2"/>
    <cellStyle name="Comma 3" xfId="4"/>
    <cellStyle name="Normal" xfId="0" builtinId="0"/>
    <cellStyle name="Normal 2" xfId="1"/>
    <cellStyle name="Normal 3" xfId="3"/>
    <cellStyle name="Normal 4" xfId="5"/>
    <cellStyle name="Normal 5" xfId="7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topLeftCell="C1" zoomScale="80" zoomScaleNormal="80" workbookViewId="0">
      <pane ySplit="6" topLeftCell="A158" activePane="bottomLeft" state="frozen"/>
      <selection activeCell="E11" sqref="E11"/>
      <selection pane="bottomLeft" activeCell="I164" sqref="I164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4" t="s">
        <v>172</v>
      </c>
      <c r="B5" s="145"/>
      <c r="C5" s="145"/>
      <c r="D5" s="145"/>
      <c r="E5" s="145"/>
      <c r="F5" s="145"/>
      <c r="G5" s="145"/>
      <c r="H5" s="145"/>
      <c r="I5" s="145"/>
      <c r="J5" s="146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ref="E19" si="2">H19-G19</f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3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3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3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4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4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4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4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ref="E31" si="5">H31-G31</f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4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4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4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4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4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6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ref="E40" si="7">H40-G40</f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6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6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6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ref="E44" si="8">H44-G44</f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6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6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ref="E47" si="9">H47-G47</f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6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10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10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10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10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10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10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11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ref="E60" si="12">H60-G60</f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11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11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ref="E63" si="13">H63-G63</f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11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14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14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14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14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14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14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14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ref="E81" si="15">H81-G81</f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14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09" si="16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16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16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16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16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16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ref="E110:E115" si="17">H110-G110</f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17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17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17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17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17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" si="18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ref="E119" si="19">H119-G119</f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ref="E120" si="20">H120-G120</f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21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21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21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ref="E149" si="22">H149-G149</f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21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21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23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ref="E155" si="24">H155-G155</f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23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23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23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23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ref="E160" si="25">H160-G160</f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23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26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26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26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27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27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ref="E171" si="28">H171-G171</f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27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27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ref="E174" si="29">H174-G174</f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27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30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30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30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30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30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30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30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30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M213"/>
  <sheetViews>
    <sheetView tabSelected="1" zoomScale="90" zoomScaleNormal="90" workbookViewId="0">
      <pane ySplit="2" topLeftCell="A3" activePane="bottomLeft" state="frozen"/>
      <selection pane="bottomLeft" activeCell="E204" sqref="E204"/>
    </sheetView>
  </sheetViews>
  <sheetFormatPr defaultColWidth="0" defaultRowHeight="17.25" x14ac:dyDescent="0.3"/>
  <cols>
    <col min="1" max="1" width="16.140625" style="1" customWidth="1"/>
    <col min="2" max="2" width="34" customWidth="1"/>
    <col min="3" max="3" width="25.7109375" customWidth="1"/>
    <col min="4" max="4" width="14.28515625" customWidth="1"/>
    <col min="5" max="5" width="17.7109375" style="2" customWidth="1"/>
    <col min="6" max="6" width="14.140625" style="3" customWidth="1"/>
    <col min="7" max="7" width="22.7109375" customWidth="1"/>
    <col min="8" max="9" width="20.28515625" customWidth="1"/>
    <col min="10" max="10" width="26.7109375" style="4" customWidth="1"/>
    <col min="11" max="11" width="14.42578125" style="4" customWidth="1"/>
    <col min="12" max="12" width="24.7109375" style="4" bestFit="1" customWidth="1"/>
    <col min="13" max="13" width="29.7109375" style="5" hidden="1" customWidth="1"/>
    <col min="14" max="16384" width="9.140625" style="111" hidden="1"/>
  </cols>
  <sheetData>
    <row r="1" spans="1:13" ht="33" customHeight="1" thickBot="1" x14ac:dyDescent="0.3">
      <c r="A1" s="144" t="s">
        <v>462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  <c r="M1" s="74"/>
    </row>
    <row r="2" spans="1:13" ht="38.25" thickBot="1" x14ac:dyDescent="0.35">
      <c r="A2" s="7" t="s">
        <v>232</v>
      </c>
      <c r="B2" s="8" t="s">
        <v>1</v>
      </c>
      <c r="C2" s="8" t="s">
        <v>2</v>
      </c>
      <c r="D2" s="8" t="s">
        <v>3</v>
      </c>
      <c r="E2" s="9" t="s">
        <v>4</v>
      </c>
      <c r="F2" s="9" t="s">
        <v>4</v>
      </c>
      <c r="G2" s="9" t="s">
        <v>5</v>
      </c>
      <c r="H2" s="9" t="s">
        <v>6</v>
      </c>
      <c r="I2" s="9" t="s">
        <v>302</v>
      </c>
      <c r="J2" s="9" t="s">
        <v>7</v>
      </c>
      <c r="K2" s="75"/>
      <c r="L2" s="72" t="s">
        <v>231</v>
      </c>
      <c r="M2" s="11" t="s">
        <v>8</v>
      </c>
    </row>
    <row r="3" spans="1:13" ht="18.75" hidden="1" x14ac:dyDescent="0.3">
      <c r="A3" s="21">
        <v>45983</v>
      </c>
      <c r="B3" s="102" t="s">
        <v>279</v>
      </c>
      <c r="C3" s="13" t="s">
        <v>11</v>
      </c>
      <c r="D3" s="13" t="s">
        <v>16</v>
      </c>
      <c r="E3" s="116">
        <v>0</v>
      </c>
      <c r="F3" s="15"/>
      <c r="G3" s="16">
        <f t="shared" ref="G3:G10" si="0">H3-E3</f>
        <v>0.14000000000000001</v>
      </c>
      <c r="H3" s="16">
        <v>0.14000000000000001</v>
      </c>
      <c r="I3" s="16">
        <v>1573.43</v>
      </c>
      <c r="J3" s="17" t="s">
        <v>23</v>
      </c>
      <c r="K3" s="76"/>
      <c r="L3" s="73">
        <f t="shared" ref="L3:L8" ca="1" si="1">TODAY()-A3</f>
        <v>178</v>
      </c>
      <c r="M3" s="20"/>
    </row>
    <row r="4" spans="1:13" ht="18.75" hidden="1" x14ac:dyDescent="0.3">
      <c r="A4" s="21">
        <v>46058</v>
      </c>
      <c r="B4" s="13" t="s">
        <v>309</v>
      </c>
      <c r="C4" s="13" t="s">
        <v>11</v>
      </c>
      <c r="D4" s="13" t="s">
        <v>16</v>
      </c>
      <c r="E4" s="14">
        <v>0</v>
      </c>
      <c r="F4" s="15"/>
      <c r="G4" s="16">
        <f t="shared" si="0"/>
        <v>2.87</v>
      </c>
      <c r="H4" s="16">
        <v>2.87</v>
      </c>
      <c r="I4" s="16">
        <v>1425</v>
      </c>
      <c r="J4" s="17" t="s">
        <v>23</v>
      </c>
      <c r="K4" s="76"/>
      <c r="L4" s="73">
        <f t="shared" ca="1" si="1"/>
        <v>103</v>
      </c>
      <c r="M4" s="20"/>
    </row>
    <row r="5" spans="1:13" ht="18.75" hidden="1" x14ac:dyDescent="0.3">
      <c r="A5" s="21">
        <v>46074</v>
      </c>
      <c r="B5" s="13" t="s">
        <v>325</v>
      </c>
      <c r="C5" s="13" t="s">
        <v>11</v>
      </c>
      <c r="D5" s="13" t="s">
        <v>16</v>
      </c>
      <c r="E5" s="14">
        <v>0</v>
      </c>
      <c r="F5" s="15"/>
      <c r="G5" s="16">
        <f t="shared" si="0"/>
        <v>46.576999999999998</v>
      </c>
      <c r="H5" s="16">
        <v>46.576999999999998</v>
      </c>
      <c r="I5" s="16">
        <v>1362.808</v>
      </c>
      <c r="J5" s="17" t="s">
        <v>23</v>
      </c>
      <c r="K5" s="76"/>
      <c r="L5" s="73">
        <f t="shared" ca="1" si="1"/>
        <v>87</v>
      </c>
      <c r="M5" s="20"/>
    </row>
    <row r="6" spans="1:13" ht="18.75" hidden="1" x14ac:dyDescent="0.3">
      <c r="A6" s="21">
        <v>46089</v>
      </c>
      <c r="B6" s="13" t="s">
        <v>341</v>
      </c>
      <c r="C6" s="13" t="s">
        <v>11</v>
      </c>
      <c r="D6" s="13" t="s">
        <v>16</v>
      </c>
      <c r="E6" s="14">
        <f>2002.368-50-21-100-100-50-417-120-25-170-50+245-20-20-875-20+484-45-10-25-30-96</f>
        <v>487.36799999999994</v>
      </c>
      <c r="F6" s="15"/>
      <c r="G6" s="16">
        <f t="shared" si="0"/>
        <v>597.56100000000015</v>
      </c>
      <c r="H6" s="16">
        <v>1084.9290000000001</v>
      </c>
      <c r="I6" s="16">
        <v>2002.3679999999999</v>
      </c>
      <c r="J6" s="17" t="s">
        <v>23</v>
      </c>
      <c r="K6" s="76"/>
      <c r="L6" s="73">
        <f t="shared" ca="1" si="1"/>
        <v>72</v>
      </c>
      <c r="M6" s="20"/>
    </row>
    <row r="7" spans="1:13" ht="18.75" hidden="1" x14ac:dyDescent="0.3">
      <c r="A7" s="21">
        <v>46281</v>
      </c>
      <c r="B7" s="13" t="s">
        <v>258</v>
      </c>
      <c r="C7" s="13" t="s">
        <v>11</v>
      </c>
      <c r="D7" s="13" t="s">
        <v>19</v>
      </c>
      <c r="E7" s="14">
        <v>0</v>
      </c>
      <c r="F7" s="15"/>
      <c r="G7" s="16">
        <f t="shared" si="0"/>
        <v>4.0000000000000001E-3</v>
      </c>
      <c r="H7" s="16">
        <v>4.0000000000000001E-3</v>
      </c>
      <c r="I7" s="16">
        <v>3902.732</v>
      </c>
      <c r="J7" s="17" t="s">
        <v>315</v>
      </c>
      <c r="K7" s="76"/>
      <c r="L7" s="73">
        <f t="shared" ca="1" si="1"/>
        <v>-120</v>
      </c>
      <c r="M7" s="20"/>
    </row>
    <row r="8" spans="1:13" ht="18.75" hidden="1" x14ac:dyDescent="0.3">
      <c r="A8" s="21">
        <v>45929</v>
      </c>
      <c r="B8" s="13" t="s">
        <v>265</v>
      </c>
      <c r="C8" s="13" t="s">
        <v>11</v>
      </c>
      <c r="D8" s="13" t="s">
        <v>19</v>
      </c>
      <c r="E8" s="14">
        <v>0</v>
      </c>
      <c r="F8" s="15"/>
      <c r="G8" s="16">
        <f t="shared" si="0"/>
        <v>0.54</v>
      </c>
      <c r="H8" s="16">
        <v>0.54</v>
      </c>
      <c r="I8" s="16">
        <v>995.53300000000002</v>
      </c>
      <c r="J8" s="17" t="s">
        <v>315</v>
      </c>
      <c r="K8" s="76"/>
      <c r="L8" s="73">
        <f t="shared" ca="1" si="1"/>
        <v>232</v>
      </c>
      <c r="M8" s="20"/>
    </row>
    <row r="9" spans="1:13" ht="18.75" hidden="1" x14ac:dyDescent="0.3">
      <c r="A9" s="21">
        <v>46066</v>
      </c>
      <c r="B9" s="13" t="s">
        <v>314</v>
      </c>
      <c r="C9" s="13" t="s">
        <v>11</v>
      </c>
      <c r="D9" s="13" t="s">
        <v>19</v>
      </c>
      <c r="E9" s="14">
        <v>0</v>
      </c>
      <c r="F9" s="15"/>
      <c r="G9" s="16">
        <f t="shared" si="0"/>
        <v>22.387</v>
      </c>
      <c r="H9" s="16">
        <v>22.387</v>
      </c>
      <c r="I9" s="16">
        <v>950.01199999999994</v>
      </c>
      <c r="J9" s="17" t="s">
        <v>315</v>
      </c>
      <c r="K9" s="76"/>
      <c r="L9" s="73">
        <f t="shared" ref="L9:L10" ca="1" si="2">TODAY()-A9</f>
        <v>95</v>
      </c>
      <c r="M9" s="20"/>
    </row>
    <row r="10" spans="1:13" ht="18.75" hidden="1" x14ac:dyDescent="0.3">
      <c r="A10" s="21">
        <v>46118</v>
      </c>
      <c r="B10" s="13" t="s">
        <v>377</v>
      </c>
      <c r="C10" s="13" t="s">
        <v>11</v>
      </c>
      <c r="D10" s="13" t="s">
        <v>19</v>
      </c>
      <c r="E10" s="14">
        <v>1891.307</v>
      </c>
      <c r="F10" s="15"/>
      <c r="G10" s="16">
        <f t="shared" si="0"/>
        <v>0</v>
      </c>
      <c r="H10" s="16">
        <v>1891.307</v>
      </c>
      <c r="I10" s="16">
        <v>1891.307</v>
      </c>
      <c r="J10" s="17" t="s">
        <v>315</v>
      </c>
      <c r="K10" s="76"/>
      <c r="L10" s="73">
        <f t="shared" ca="1" si="2"/>
        <v>43</v>
      </c>
      <c r="M10" s="20"/>
    </row>
    <row r="11" spans="1:13" ht="18.75" hidden="1" x14ac:dyDescent="0.3">
      <c r="A11" s="21">
        <v>46136</v>
      </c>
      <c r="B11" s="13" t="s">
        <v>405</v>
      </c>
      <c r="C11" s="13" t="s">
        <v>11</v>
      </c>
      <c r="D11" s="13" t="s">
        <v>9</v>
      </c>
      <c r="E11" s="14">
        <f>1900-509.505-262-530-484-202-70</f>
        <v>-157.50500000000011</v>
      </c>
      <c r="F11" s="15"/>
      <c r="G11" s="16">
        <f t="shared" ref="G11:G12" si="3">H11-E11</f>
        <v>878.96400000000006</v>
      </c>
      <c r="H11" s="16">
        <v>721.45899999999995</v>
      </c>
      <c r="I11" s="16">
        <v>1890.9590000000001</v>
      </c>
      <c r="J11" s="17" t="s">
        <v>406</v>
      </c>
      <c r="K11" s="76"/>
      <c r="L11" s="73">
        <f t="shared" ref="L11:L12" ca="1" si="4">TODAY()-A11</f>
        <v>25</v>
      </c>
      <c r="M11" s="20"/>
    </row>
    <row r="12" spans="1:13" ht="18.75" x14ac:dyDescent="0.3">
      <c r="A12" s="126">
        <v>46141</v>
      </c>
      <c r="B12" s="127" t="s">
        <v>414</v>
      </c>
      <c r="C12" s="127" t="s">
        <v>11</v>
      </c>
      <c r="D12" s="127" t="s">
        <v>9</v>
      </c>
      <c r="E12" s="128">
        <v>1886.4469999999999</v>
      </c>
      <c r="F12" s="129"/>
      <c r="G12" s="130">
        <f t="shared" si="3"/>
        <v>0</v>
      </c>
      <c r="H12" s="130">
        <v>1886.4469999999999</v>
      </c>
      <c r="I12" s="130">
        <v>1886.4469999999999</v>
      </c>
      <c r="J12" s="131" t="s">
        <v>406</v>
      </c>
      <c r="K12" s="132" t="s">
        <v>340</v>
      </c>
      <c r="L12" s="137">
        <f t="shared" ca="1" si="4"/>
        <v>20</v>
      </c>
      <c r="M12" s="20"/>
    </row>
    <row r="13" spans="1:13" ht="18.75" hidden="1" x14ac:dyDescent="0.3">
      <c r="A13" s="22"/>
      <c r="B13" s="15" t="s">
        <v>27</v>
      </c>
      <c r="C13" s="15"/>
      <c r="D13" s="15"/>
      <c r="E13" s="23">
        <f>SUBTOTAL(9,E3:E12)</f>
        <v>1886.4469999999999</v>
      </c>
      <c r="F13" s="24">
        <f>E13</f>
        <v>1886.4469999999999</v>
      </c>
      <c r="G13" s="23">
        <f>SUBTOTAL(9,G3:G12)</f>
        <v>0</v>
      </c>
      <c r="H13" s="23">
        <f>SUBTOTAL(9,H3:H12)</f>
        <v>1886.4469999999999</v>
      </c>
      <c r="I13" s="23"/>
      <c r="J13" s="17"/>
      <c r="K13" s="76"/>
      <c r="L13" s="18"/>
      <c r="M13" s="20"/>
    </row>
    <row r="14" spans="1:13" ht="18.75" hidden="1" x14ac:dyDescent="0.3">
      <c r="A14" s="22"/>
      <c r="B14" s="15"/>
      <c r="C14" s="15"/>
      <c r="D14" s="15"/>
      <c r="E14" s="23"/>
      <c r="F14" s="24"/>
      <c r="G14" s="23"/>
      <c r="H14" s="23"/>
      <c r="I14" s="23"/>
      <c r="J14" s="17"/>
      <c r="K14" s="76"/>
      <c r="L14" s="18"/>
      <c r="M14" s="20"/>
    </row>
    <row r="15" spans="1:13" ht="18.75" hidden="1" x14ac:dyDescent="0.3">
      <c r="A15" s="21">
        <v>46136</v>
      </c>
      <c r="B15" s="13" t="s">
        <v>404</v>
      </c>
      <c r="C15" s="13" t="s">
        <v>250</v>
      </c>
      <c r="D15" s="13" t="s">
        <v>9</v>
      </c>
      <c r="E15" s="14">
        <v>0</v>
      </c>
      <c r="F15" s="15"/>
      <c r="G15" s="16">
        <f t="shared" ref="G15:G17" si="5">H15-E15</f>
        <v>189.559</v>
      </c>
      <c r="H15" s="16">
        <v>189.559</v>
      </c>
      <c r="I15" s="16">
        <v>475</v>
      </c>
      <c r="J15" s="17" t="s">
        <v>298</v>
      </c>
      <c r="K15" s="76"/>
      <c r="L15" s="83">
        <f t="shared" ref="L15:L17" ca="1" si="6">TODAY()-A15</f>
        <v>25</v>
      </c>
      <c r="M15" s="20"/>
    </row>
    <row r="16" spans="1:13" ht="18.75" hidden="1" x14ac:dyDescent="0.3">
      <c r="A16" s="21">
        <v>46142</v>
      </c>
      <c r="B16" s="13" t="s">
        <v>409</v>
      </c>
      <c r="C16" s="13" t="s">
        <v>250</v>
      </c>
      <c r="D16" s="13" t="s">
        <v>9</v>
      </c>
      <c r="E16" s="14">
        <f>953.922-82</f>
        <v>871.92200000000003</v>
      </c>
      <c r="F16" s="15"/>
      <c r="G16" s="16">
        <f t="shared" si="5"/>
        <v>82</v>
      </c>
      <c r="H16" s="16">
        <v>953.92200000000003</v>
      </c>
      <c r="I16" s="16">
        <v>953.92200000000003</v>
      </c>
      <c r="J16" s="17" t="s">
        <v>32</v>
      </c>
      <c r="K16" s="76"/>
      <c r="L16" s="83">
        <f t="shared" ca="1" si="6"/>
        <v>19</v>
      </c>
      <c r="M16" s="20"/>
    </row>
    <row r="17" spans="1:13" ht="18.75" hidden="1" x14ac:dyDescent="0.3">
      <c r="A17" s="21">
        <v>46105</v>
      </c>
      <c r="B17" s="13" t="s">
        <v>375</v>
      </c>
      <c r="C17" s="13" t="s">
        <v>250</v>
      </c>
      <c r="D17" s="13" t="s">
        <v>13</v>
      </c>
      <c r="E17" s="14">
        <f>200-137-60</f>
        <v>3</v>
      </c>
      <c r="F17" s="15"/>
      <c r="G17" s="16">
        <f t="shared" si="5"/>
        <v>30.409999999999997</v>
      </c>
      <c r="H17" s="16">
        <v>33.409999999999997</v>
      </c>
      <c r="I17" s="16">
        <v>200</v>
      </c>
      <c r="J17" s="17" t="s">
        <v>21</v>
      </c>
      <c r="K17" s="76"/>
      <c r="L17" s="73">
        <f t="shared" ca="1" si="6"/>
        <v>56</v>
      </c>
      <c r="M17" s="20"/>
    </row>
    <row r="18" spans="1:13" s="121" customFormat="1" ht="18.75" hidden="1" x14ac:dyDescent="0.3">
      <c r="A18" s="12"/>
      <c r="B18" s="15" t="s">
        <v>27</v>
      </c>
      <c r="C18" s="14"/>
      <c r="D18" s="14"/>
      <c r="E18" s="23">
        <f>SUBTOTAL(9,E15:E17)</f>
        <v>0</v>
      </c>
      <c r="F18" s="24">
        <f>E18</f>
        <v>0</v>
      </c>
      <c r="G18" s="23">
        <f>SUBTOTAL(9,G15:G17)</f>
        <v>0</v>
      </c>
      <c r="H18" s="23">
        <f>SUBTOTAL(9,H15:H17)</f>
        <v>0</v>
      </c>
      <c r="I18" s="23"/>
      <c r="J18" s="17"/>
      <c r="K18" s="76"/>
      <c r="L18" s="18"/>
      <c r="M18" s="20"/>
    </row>
    <row r="19" spans="1:13" ht="18.75" hidden="1" x14ac:dyDescent="0.3">
      <c r="A19" s="22"/>
      <c r="B19" s="32"/>
      <c r="C19" s="14"/>
      <c r="D19" s="13"/>
      <c r="E19" s="15"/>
      <c r="F19" s="15"/>
      <c r="G19" s="15"/>
      <c r="H19" s="34"/>
      <c r="I19" s="34"/>
      <c r="J19" s="17"/>
      <c r="K19" s="76"/>
      <c r="L19" s="18"/>
      <c r="M19" s="20"/>
    </row>
    <row r="20" spans="1:13" ht="18.75" hidden="1" x14ac:dyDescent="0.3">
      <c r="A20" s="21">
        <v>46051</v>
      </c>
      <c r="B20" s="35" t="s">
        <v>307</v>
      </c>
      <c r="C20" s="13" t="s">
        <v>46</v>
      </c>
      <c r="D20" s="13" t="s">
        <v>9</v>
      </c>
      <c r="E20" s="14">
        <v>0</v>
      </c>
      <c r="F20" s="15"/>
      <c r="G20" s="16">
        <f t="shared" ref="G20:G27" si="7">H20-E20</f>
        <v>24.3</v>
      </c>
      <c r="H20" s="16">
        <v>24.3</v>
      </c>
      <c r="I20" s="16">
        <v>1894.95</v>
      </c>
      <c r="J20" s="17" t="s">
        <v>32</v>
      </c>
      <c r="K20" s="76"/>
      <c r="L20" s="85">
        <f t="shared" ref="L20:L27" ca="1" si="8">TODAY()-A20</f>
        <v>110</v>
      </c>
      <c r="M20" s="80"/>
    </row>
    <row r="21" spans="1:13" ht="18.75" hidden="1" x14ac:dyDescent="0.3">
      <c r="A21" s="21">
        <v>46125</v>
      </c>
      <c r="B21" s="35" t="s">
        <v>388</v>
      </c>
      <c r="C21" s="13" t="s">
        <v>46</v>
      </c>
      <c r="D21" s="13" t="s">
        <v>9</v>
      </c>
      <c r="E21" s="15">
        <f>164.975-50</f>
        <v>114.97499999999999</v>
      </c>
      <c r="F21" s="15"/>
      <c r="G21" s="16">
        <f t="shared" si="7"/>
        <v>50.150000000000006</v>
      </c>
      <c r="H21" s="16">
        <v>165.125</v>
      </c>
      <c r="I21" s="16">
        <v>190.678</v>
      </c>
      <c r="J21" s="17" t="s">
        <v>32</v>
      </c>
      <c r="K21" s="76"/>
      <c r="L21" s="85">
        <f t="shared" ca="1" si="8"/>
        <v>36</v>
      </c>
      <c r="M21" s="80"/>
    </row>
    <row r="22" spans="1:13" ht="18.75" hidden="1" x14ac:dyDescent="0.3">
      <c r="A22" s="21">
        <v>46136</v>
      </c>
      <c r="B22" s="35" t="s">
        <v>403</v>
      </c>
      <c r="C22" s="13" t="s">
        <v>46</v>
      </c>
      <c r="D22" s="13" t="s">
        <v>9</v>
      </c>
      <c r="E22" s="14">
        <f>1499.963-67.98-195-156+33-151-84-32-232-13-21-25-100+42-65-206</f>
        <v>226.98299999999995</v>
      </c>
      <c r="F22" s="15"/>
      <c r="G22" s="16">
        <f t="shared" si="7"/>
        <v>756.71600000000001</v>
      </c>
      <c r="H22" s="16">
        <v>983.69899999999996</v>
      </c>
      <c r="I22" s="16">
        <v>1499.963</v>
      </c>
      <c r="J22" s="17" t="s">
        <v>29</v>
      </c>
      <c r="K22" s="76"/>
      <c r="L22" s="85">
        <f t="shared" ca="1" si="8"/>
        <v>25</v>
      </c>
      <c r="M22" s="80"/>
    </row>
    <row r="23" spans="1:13" ht="18.75" hidden="1" x14ac:dyDescent="0.3">
      <c r="A23" s="21">
        <v>46148</v>
      </c>
      <c r="B23" s="35" t="s">
        <v>431</v>
      </c>
      <c r="C23" s="13" t="s">
        <v>46</v>
      </c>
      <c r="D23" s="13" t="s">
        <v>9</v>
      </c>
      <c r="E23" s="14">
        <v>1890.4490000000001</v>
      </c>
      <c r="F23" s="15"/>
      <c r="G23" s="16">
        <f t="shared" si="7"/>
        <v>0</v>
      </c>
      <c r="H23" s="16">
        <v>1890.4490000000001</v>
      </c>
      <c r="I23" s="16">
        <v>1890.4490000000001</v>
      </c>
      <c r="J23" s="17" t="s">
        <v>298</v>
      </c>
      <c r="K23" s="76"/>
      <c r="L23" s="85">
        <f t="shared" ca="1" si="8"/>
        <v>13</v>
      </c>
      <c r="M23" s="80"/>
    </row>
    <row r="24" spans="1:13" ht="18.75" hidden="1" x14ac:dyDescent="0.3">
      <c r="A24" s="21">
        <v>45948</v>
      </c>
      <c r="B24" s="35" t="s">
        <v>268</v>
      </c>
      <c r="C24" s="13" t="s">
        <v>46</v>
      </c>
      <c r="D24" s="13" t="s">
        <v>19</v>
      </c>
      <c r="E24" s="14">
        <v>2.42</v>
      </c>
      <c r="F24" s="15"/>
      <c r="G24" s="16">
        <f t="shared" si="7"/>
        <v>0</v>
      </c>
      <c r="H24" s="16">
        <v>2.42</v>
      </c>
      <c r="I24" s="16">
        <v>646.42700000000002</v>
      </c>
      <c r="J24" s="17" t="s">
        <v>26</v>
      </c>
      <c r="K24" s="76"/>
      <c r="L24" s="85">
        <f t="shared" ca="1" si="8"/>
        <v>213</v>
      </c>
      <c r="M24" s="80"/>
    </row>
    <row r="25" spans="1:13" ht="18.75" hidden="1" x14ac:dyDescent="0.3">
      <c r="A25" s="21">
        <v>46098</v>
      </c>
      <c r="B25" s="35" t="s">
        <v>366</v>
      </c>
      <c r="C25" s="13" t="s">
        <v>46</v>
      </c>
      <c r="D25" s="13" t="s">
        <v>19</v>
      </c>
      <c r="E25" s="14">
        <f>665.028-21-101-60+30-10-100-116+165+100-9-75-22-135-50+21+50-10-30</f>
        <v>292.02800000000002</v>
      </c>
      <c r="F25" s="15"/>
      <c r="G25" s="16">
        <f t="shared" si="7"/>
        <v>86.46999999999997</v>
      </c>
      <c r="H25" s="16">
        <v>378.49799999999999</v>
      </c>
      <c r="I25" s="16">
        <v>665.02800000000002</v>
      </c>
      <c r="J25" s="17" t="s">
        <v>350</v>
      </c>
      <c r="K25" s="76"/>
      <c r="L25" s="85">
        <f t="shared" ca="1" si="8"/>
        <v>63</v>
      </c>
      <c r="M25" s="80"/>
    </row>
    <row r="26" spans="1:13" ht="18.75" hidden="1" x14ac:dyDescent="0.3">
      <c r="A26" s="95">
        <v>46090</v>
      </c>
      <c r="B26" s="96" t="s">
        <v>343</v>
      </c>
      <c r="C26" s="96" t="s">
        <v>46</v>
      </c>
      <c r="D26" s="96" t="s">
        <v>19</v>
      </c>
      <c r="E26" s="101">
        <f>536.034-16-110-25-16-10+100-10-40</f>
        <v>409.03399999999999</v>
      </c>
      <c r="F26" s="104"/>
      <c r="G26" s="97">
        <f t="shared" si="7"/>
        <v>319.23</v>
      </c>
      <c r="H26" s="97">
        <v>728.26400000000001</v>
      </c>
      <c r="I26" s="97">
        <v>1808.172</v>
      </c>
      <c r="J26" s="97" t="s">
        <v>349</v>
      </c>
      <c r="K26" s="97" t="s">
        <v>240</v>
      </c>
      <c r="L26" s="85">
        <f t="shared" ca="1" si="8"/>
        <v>71</v>
      </c>
      <c r="M26" s="80"/>
    </row>
    <row r="27" spans="1:13" ht="18.75" hidden="1" x14ac:dyDescent="0.3">
      <c r="A27" s="95">
        <v>46011</v>
      </c>
      <c r="B27" s="96" t="s">
        <v>287</v>
      </c>
      <c r="C27" s="96" t="s">
        <v>46</v>
      </c>
      <c r="D27" s="96" t="s">
        <v>9</v>
      </c>
      <c r="E27" s="101">
        <f>252.486-32-32.52+100-100-42</f>
        <v>145.96600000000001</v>
      </c>
      <c r="F27" s="104"/>
      <c r="G27" s="97">
        <f t="shared" si="7"/>
        <v>388.66499999999996</v>
      </c>
      <c r="H27" s="98">
        <v>534.63099999999997</v>
      </c>
      <c r="I27" s="97">
        <v>1190.5050000000001</v>
      </c>
      <c r="J27" s="99" t="s">
        <v>29</v>
      </c>
      <c r="K27" s="100" t="s">
        <v>240</v>
      </c>
      <c r="L27" s="85">
        <f t="shared" ca="1" si="8"/>
        <v>150</v>
      </c>
      <c r="M27" s="80"/>
    </row>
    <row r="28" spans="1:13" ht="20.25" hidden="1" customHeight="1" x14ac:dyDescent="0.3">
      <c r="A28" s="22"/>
      <c r="B28" s="32" t="s">
        <v>27</v>
      </c>
      <c r="C28" s="13"/>
      <c r="D28" s="13"/>
      <c r="E28" s="23">
        <f>SUBTOTAL(9,E20:E27)</f>
        <v>0</v>
      </c>
      <c r="F28" s="24">
        <f>E28</f>
        <v>0</v>
      </c>
      <c r="G28" s="23">
        <f>SUBTOTAL(9,G20:G27)</f>
        <v>0</v>
      </c>
      <c r="H28" s="23">
        <f>SUBTOTAL(9,H20:H27)</f>
        <v>0</v>
      </c>
      <c r="I28" s="23"/>
      <c r="J28" s="17"/>
      <c r="K28" s="76"/>
      <c r="L28" s="17"/>
      <c r="M28" s="80"/>
    </row>
    <row r="29" spans="1:13" ht="20.25" hidden="1" customHeight="1" x14ac:dyDescent="0.3">
      <c r="A29" s="22"/>
      <c r="B29" s="32"/>
      <c r="C29" s="13"/>
      <c r="D29" s="13"/>
      <c r="E29" s="23"/>
      <c r="F29" s="24"/>
      <c r="G29" s="23"/>
      <c r="H29" s="23"/>
      <c r="I29" s="23"/>
      <c r="J29" s="17"/>
      <c r="K29" s="76"/>
      <c r="L29" s="17"/>
      <c r="M29" s="80"/>
    </row>
    <row r="30" spans="1:13" ht="18.75" hidden="1" x14ac:dyDescent="0.3">
      <c r="A30" s="21">
        <v>45903</v>
      </c>
      <c r="B30" s="13" t="s">
        <v>254</v>
      </c>
      <c r="C30" s="35" t="s">
        <v>239</v>
      </c>
      <c r="D30" s="13" t="s">
        <v>9</v>
      </c>
      <c r="E30" s="14">
        <v>0</v>
      </c>
      <c r="F30" s="24"/>
      <c r="G30" s="16">
        <f t="shared" ref="G30:G31" si="9">H30-E30</f>
        <v>54.613</v>
      </c>
      <c r="H30" s="16">
        <v>54.613</v>
      </c>
      <c r="I30" s="16">
        <v>945.69399999999996</v>
      </c>
      <c r="J30" s="17" t="s">
        <v>257</v>
      </c>
      <c r="K30" s="76"/>
      <c r="L30" s="83">
        <f t="shared" ref="L30:L31" ca="1" si="10">TODAY()-A30</f>
        <v>258</v>
      </c>
      <c r="M30" s="80"/>
    </row>
    <row r="31" spans="1:13" ht="18.75" hidden="1" x14ac:dyDescent="0.3">
      <c r="A31" s="95">
        <v>45831</v>
      </c>
      <c r="B31" s="96" t="s">
        <v>247</v>
      </c>
      <c r="C31" s="96" t="s">
        <v>239</v>
      </c>
      <c r="D31" s="96" t="s">
        <v>9</v>
      </c>
      <c r="E31" s="101">
        <f>1466.861-25-25-150+120-30-25+25-30-25+30+20+18-60-80-130-25</f>
        <v>1074.8610000000001</v>
      </c>
      <c r="F31" s="104"/>
      <c r="G31" s="97">
        <f t="shared" si="9"/>
        <v>290.80499999999984</v>
      </c>
      <c r="H31" s="98">
        <v>1365.6659999999999</v>
      </c>
      <c r="I31" s="97"/>
      <c r="J31" s="99" t="s">
        <v>29</v>
      </c>
      <c r="K31" s="100" t="s">
        <v>240</v>
      </c>
      <c r="L31" s="83">
        <f t="shared" ca="1" si="10"/>
        <v>330</v>
      </c>
      <c r="M31" s="80"/>
    </row>
    <row r="32" spans="1:13" s="122" customFormat="1" ht="18.75" hidden="1" x14ac:dyDescent="0.3">
      <c r="A32" s="22"/>
      <c r="B32" s="32" t="s">
        <v>27</v>
      </c>
      <c r="C32" s="13"/>
      <c r="D32" s="13"/>
      <c r="E32" s="23">
        <f>SUBTOTAL(9,E30:E31)</f>
        <v>0</v>
      </c>
      <c r="F32" s="24">
        <f>E32</f>
        <v>0</v>
      </c>
      <c r="G32" s="23">
        <f>SUBTOTAL(9,G30:G31)</f>
        <v>0</v>
      </c>
      <c r="H32" s="23">
        <f>SUBTOTAL(9,H30:H31)</f>
        <v>0</v>
      </c>
      <c r="I32" s="23"/>
      <c r="J32" s="17"/>
      <c r="K32" s="76"/>
      <c r="L32" s="18"/>
      <c r="M32" s="20"/>
    </row>
    <row r="33" spans="1:13" s="122" customFormat="1" ht="18.75" hidden="1" x14ac:dyDescent="0.3">
      <c r="A33" s="22"/>
      <c r="B33" s="32"/>
      <c r="C33" s="13"/>
      <c r="D33" s="13"/>
      <c r="E33" s="23"/>
      <c r="F33" s="24"/>
      <c r="G33" s="23"/>
      <c r="H33" s="23"/>
      <c r="I33" s="23"/>
      <c r="J33" s="17"/>
      <c r="K33" s="76"/>
      <c r="L33" s="76"/>
      <c r="M33" s="80"/>
    </row>
    <row r="34" spans="1:13" ht="18.75" hidden="1" x14ac:dyDescent="0.3">
      <c r="A34" s="21">
        <v>45901</v>
      </c>
      <c r="B34" s="13" t="s">
        <v>251</v>
      </c>
      <c r="C34" s="13" t="s">
        <v>252</v>
      </c>
      <c r="D34" s="13" t="s">
        <v>9</v>
      </c>
      <c r="E34" s="14">
        <f>1984.467-90-10-55-21-28-20-300-10-25-14-60-25-45-16-10-30-60-16-260-10-20-40-40-20-55-30-115-30-110-100-183-40+90-14+10-30-35+25-5-36-20-20-50-21</f>
        <v>-9.5329999999999018</v>
      </c>
      <c r="F34" s="15"/>
      <c r="G34" s="16">
        <f t="shared" ref="G34" si="11">H34-E34</f>
        <v>80.049999999999898</v>
      </c>
      <c r="H34" s="16">
        <v>70.516999999999996</v>
      </c>
      <c r="I34" s="16">
        <v>1988.6969999999999</v>
      </c>
      <c r="J34" s="17" t="s">
        <v>47</v>
      </c>
      <c r="K34" s="76"/>
      <c r="L34" s="83">
        <f t="shared" ref="L34" ca="1" si="12">TODAY()-A34</f>
        <v>260</v>
      </c>
      <c r="M34" s="80"/>
    </row>
    <row r="35" spans="1:13" ht="18.75" hidden="1" x14ac:dyDescent="0.3">
      <c r="A35" s="22"/>
      <c r="B35" s="32" t="s">
        <v>27</v>
      </c>
      <c r="C35" s="13"/>
      <c r="D35" s="13"/>
      <c r="E35" s="23">
        <f>SUBTOTAL(9,E34:E34)</f>
        <v>0</v>
      </c>
      <c r="F35" s="24">
        <f>E35</f>
        <v>0</v>
      </c>
      <c r="G35" s="23">
        <f>SUBTOTAL(9,G34:G34)</f>
        <v>0</v>
      </c>
      <c r="H35" s="23">
        <f>SUBTOTAL(9,H34:H34)</f>
        <v>0</v>
      </c>
      <c r="I35" s="23"/>
      <c r="J35" s="17"/>
      <c r="K35" s="76"/>
      <c r="L35" s="17"/>
      <c r="M35" s="80"/>
    </row>
    <row r="36" spans="1:13" ht="18.75" hidden="1" x14ac:dyDescent="0.3">
      <c r="A36" s="22"/>
      <c r="B36" s="32"/>
      <c r="C36" s="13"/>
      <c r="D36" s="13"/>
      <c r="E36" s="23"/>
      <c r="F36" s="24"/>
      <c r="G36" s="23"/>
      <c r="H36" s="23"/>
      <c r="I36" s="23"/>
      <c r="J36" s="17"/>
      <c r="K36" s="76"/>
      <c r="L36" s="17"/>
      <c r="M36" s="80"/>
    </row>
    <row r="37" spans="1:13" ht="18.75" hidden="1" x14ac:dyDescent="0.3">
      <c r="A37" s="21">
        <v>46320</v>
      </c>
      <c r="B37" s="13" t="s">
        <v>269</v>
      </c>
      <c r="C37" s="13" t="s">
        <v>80</v>
      </c>
      <c r="D37" s="13" t="s">
        <v>9</v>
      </c>
      <c r="E37" s="14">
        <v>0</v>
      </c>
      <c r="F37" s="15"/>
      <c r="G37" s="16">
        <f t="shared" ref="G37:G39" si="13">H37-E37</f>
        <v>0.28999999999999998</v>
      </c>
      <c r="H37" s="16">
        <v>0.28999999999999998</v>
      </c>
      <c r="I37" s="16">
        <v>490.22699999999998</v>
      </c>
      <c r="J37" s="17" t="s">
        <v>47</v>
      </c>
      <c r="K37" s="76"/>
      <c r="L37" s="83">
        <f t="shared" ref="L37:L39" ca="1" si="14">TODAY()-A37</f>
        <v>-159</v>
      </c>
      <c r="M37" s="80"/>
    </row>
    <row r="38" spans="1:13" ht="18.75" hidden="1" x14ac:dyDescent="0.3">
      <c r="A38" s="21">
        <v>45995</v>
      </c>
      <c r="B38" s="13" t="s">
        <v>281</v>
      </c>
      <c r="C38" s="13" t="s">
        <v>80</v>
      </c>
      <c r="D38" s="13" t="s">
        <v>9</v>
      </c>
      <c r="E38" s="14">
        <v>0</v>
      </c>
      <c r="F38" s="15"/>
      <c r="G38" s="16">
        <f t="shared" si="13"/>
        <v>4.4999999999999998E-2</v>
      </c>
      <c r="H38" s="16">
        <v>4.4999999999999998E-2</v>
      </c>
      <c r="I38" s="16">
        <v>522.67499999999995</v>
      </c>
      <c r="J38" s="17" t="s">
        <v>47</v>
      </c>
      <c r="K38" s="76"/>
      <c r="L38" s="83">
        <f t="shared" ca="1" si="14"/>
        <v>166</v>
      </c>
      <c r="M38" s="80"/>
    </row>
    <row r="39" spans="1:13" ht="18.75" hidden="1" x14ac:dyDescent="0.3">
      <c r="A39" s="21">
        <v>46027</v>
      </c>
      <c r="B39" s="13" t="s">
        <v>294</v>
      </c>
      <c r="C39" s="13" t="s">
        <v>80</v>
      </c>
      <c r="D39" s="13" t="s">
        <v>9</v>
      </c>
      <c r="E39" s="14">
        <v>15.195</v>
      </c>
      <c r="F39" s="15"/>
      <c r="G39" s="16">
        <f t="shared" si="13"/>
        <v>3.1000000000000583E-2</v>
      </c>
      <c r="H39" s="16">
        <v>15.226000000000001</v>
      </c>
      <c r="I39" s="16">
        <v>955.39499999999998</v>
      </c>
      <c r="J39" s="17" t="s">
        <v>47</v>
      </c>
      <c r="K39" s="76"/>
      <c r="L39" s="83">
        <f t="shared" ca="1" si="14"/>
        <v>134</v>
      </c>
      <c r="M39" s="80"/>
    </row>
    <row r="40" spans="1:13" ht="18.75" hidden="1" x14ac:dyDescent="0.3">
      <c r="A40" s="22"/>
      <c r="B40" s="32" t="s">
        <v>27</v>
      </c>
      <c r="C40" s="13"/>
      <c r="D40" s="13"/>
      <c r="E40" s="23">
        <f>SUBTOTAL(9,E37:E39)</f>
        <v>0</v>
      </c>
      <c r="F40" s="24">
        <f>E40</f>
        <v>0</v>
      </c>
      <c r="G40" s="23">
        <f>SUBTOTAL(9,G37:G39)</f>
        <v>0</v>
      </c>
      <c r="H40" s="23">
        <f>SUBTOTAL(9,H37:H39)</f>
        <v>0</v>
      </c>
      <c r="I40" s="23"/>
      <c r="J40" s="17"/>
      <c r="K40" s="76"/>
      <c r="L40" s="17"/>
      <c r="M40" s="80"/>
    </row>
    <row r="41" spans="1:13" s="122" customFormat="1" ht="18.75" hidden="1" x14ac:dyDescent="0.3">
      <c r="A41" s="22"/>
      <c r="B41" s="32"/>
      <c r="C41" s="13"/>
      <c r="D41" s="13"/>
      <c r="E41" s="23"/>
      <c r="F41" s="24"/>
      <c r="G41" s="23"/>
      <c r="H41" s="23"/>
      <c r="I41" s="23"/>
      <c r="J41" s="17"/>
      <c r="K41" s="76"/>
      <c r="L41" s="76"/>
      <c r="M41" s="80"/>
    </row>
    <row r="42" spans="1:13" ht="18.75" hidden="1" x14ac:dyDescent="0.3">
      <c r="A42" s="21">
        <v>45936</v>
      </c>
      <c r="B42" s="13" t="s">
        <v>263</v>
      </c>
      <c r="C42" s="13" t="s">
        <v>53</v>
      </c>
      <c r="D42" s="13" t="s">
        <v>9</v>
      </c>
      <c r="E42" s="14">
        <f>161.65-57+14.45-35-154-30-60-100+16+50-70</f>
        <v>-263.89999999999998</v>
      </c>
      <c r="F42" s="15"/>
      <c r="G42" s="16">
        <f t="shared" ref="G42:G49" si="15">H42-E42</f>
        <v>443.31599999999997</v>
      </c>
      <c r="H42" s="16">
        <v>179.416</v>
      </c>
      <c r="I42" s="16">
        <v>1498.79</v>
      </c>
      <c r="J42" s="17" t="s">
        <v>32</v>
      </c>
      <c r="K42" s="76"/>
      <c r="L42" s="83">
        <f t="shared" ref="L42:L49" ca="1" si="16">TODAY()-A42</f>
        <v>225</v>
      </c>
      <c r="M42" s="80"/>
    </row>
    <row r="43" spans="1:13" ht="18.75" hidden="1" x14ac:dyDescent="0.3">
      <c r="A43" s="21">
        <v>45941</v>
      </c>
      <c r="B43" s="13" t="s">
        <v>264</v>
      </c>
      <c r="C43" s="13" t="s">
        <v>53</v>
      </c>
      <c r="D43" s="13" t="s">
        <v>9</v>
      </c>
      <c r="E43" s="14">
        <v>0</v>
      </c>
      <c r="F43" s="15"/>
      <c r="G43" s="16">
        <f t="shared" si="15"/>
        <v>0.55400000000000005</v>
      </c>
      <c r="H43" s="16">
        <v>0.55400000000000005</v>
      </c>
      <c r="I43" s="16">
        <v>1012.934</v>
      </c>
      <c r="J43" s="17" t="s">
        <v>32</v>
      </c>
      <c r="K43" s="76"/>
      <c r="L43" s="83">
        <f t="shared" ca="1" si="16"/>
        <v>220</v>
      </c>
      <c r="M43" s="80"/>
    </row>
    <row r="44" spans="1:13" ht="18.75" hidden="1" x14ac:dyDescent="0.3">
      <c r="A44" s="21">
        <v>45975</v>
      </c>
      <c r="B44" s="13" t="s">
        <v>273</v>
      </c>
      <c r="C44" s="13" t="s">
        <v>53</v>
      </c>
      <c r="D44" s="13" t="s">
        <v>9</v>
      </c>
      <c r="E44" s="14">
        <v>0</v>
      </c>
      <c r="F44" s="15"/>
      <c r="G44" s="16">
        <f t="shared" si="15"/>
        <v>7.0000000000000001E-3</v>
      </c>
      <c r="H44" s="16">
        <v>7.0000000000000001E-3</v>
      </c>
      <c r="I44" s="16">
        <v>1045.4870000000001</v>
      </c>
      <c r="J44" s="17" t="s">
        <v>32</v>
      </c>
      <c r="K44" s="76"/>
      <c r="L44" s="83">
        <f t="shared" ca="1" si="16"/>
        <v>186</v>
      </c>
      <c r="M44" s="80"/>
    </row>
    <row r="45" spans="1:13" ht="18.75" hidden="1" x14ac:dyDescent="0.3">
      <c r="A45" s="21">
        <v>45978</v>
      </c>
      <c r="B45" s="13" t="s">
        <v>275</v>
      </c>
      <c r="C45" s="13" t="s">
        <v>53</v>
      </c>
      <c r="D45" s="13" t="s">
        <v>9</v>
      </c>
      <c r="E45" s="15">
        <f>284.967-121.5+100-42-60-49.5+25.92-21.5-42-21+21-21+21</f>
        <v>74.387</v>
      </c>
      <c r="F45" s="15"/>
      <c r="G45" s="16">
        <f t="shared" si="15"/>
        <v>1.3400000000000034</v>
      </c>
      <c r="H45" s="16">
        <v>75.727000000000004</v>
      </c>
      <c r="I45" s="16">
        <v>473.96699999999998</v>
      </c>
      <c r="J45" s="17" t="s">
        <v>32</v>
      </c>
      <c r="K45" s="76"/>
      <c r="L45" s="83">
        <f t="shared" ca="1" si="16"/>
        <v>183</v>
      </c>
      <c r="M45" s="80"/>
    </row>
    <row r="46" spans="1:13" ht="18.75" hidden="1" x14ac:dyDescent="0.3">
      <c r="A46" s="21">
        <v>46094</v>
      </c>
      <c r="B46" s="32" t="s">
        <v>387</v>
      </c>
      <c r="C46" s="13" t="s">
        <v>53</v>
      </c>
      <c r="D46" s="13" t="s">
        <v>9</v>
      </c>
      <c r="E46" s="14">
        <v>0</v>
      </c>
      <c r="F46" s="15"/>
      <c r="G46" s="16">
        <f t="shared" si="15"/>
        <v>33.414000000000001</v>
      </c>
      <c r="H46" s="16">
        <v>33.414000000000001</v>
      </c>
      <c r="I46" s="16">
        <v>723.74400000000003</v>
      </c>
      <c r="J46" s="17" t="s">
        <v>32</v>
      </c>
      <c r="K46" s="76"/>
      <c r="L46" s="83">
        <f t="shared" ca="1" si="16"/>
        <v>67</v>
      </c>
      <c r="M46" s="80"/>
    </row>
    <row r="47" spans="1:13" ht="18.75" hidden="1" x14ac:dyDescent="0.3">
      <c r="A47" s="21">
        <v>45944</v>
      </c>
      <c r="B47" s="13" t="s">
        <v>266</v>
      </c>
      <c r="C47" s="13" t="s">
        <v>53</v>
      </c>
      <c r="D47" s="13" t="s">
        <v>13</v>
      </c>
      <c r="E47" s="14">
        <v>-63.360999999999997</v>
      </c>
      <c r="F47" s="15"/>
      <c r="G47" s="16">
        <f t="shared" si="15"/>
        <v>63.687999999999995</v>
      </c>
      <c r="H47" s="16">
        <v>0.32700000000000001</v>
      </c>
      <c r="I47" s="16">
        <v>1009.107</v>
      </c>
      <c r="J47" s="17" t="s">
        <v>21</v>
      </c>
      <c r="K47" s="76"/>
      <c r="L47" s="83">
        <f t="shared" ca="1" si="16"/>
        <v>217</v>
      </c>
      <c r="M47" s="80"/>
    </row>
    <row r="48" spans="1:13" ht="18.75" hidden="1" x14ac:dyDescent="0.3">
      <c r="A48" s="21">
        <v>46098</v>
      </c>
      <c r="B48" s="13" t="s">
        <v>364</v>
      </c>
      <c r="C48" s="13" t="s">
        <v>53</v>
      </c>
      <c r="D48" s="13" t="s">
        <v>19</v>
      </c>
      <c r="E48" s="14">
        <f>1896.987-40-25-725-106-40-42-30+32+70-20-576-100-10-7-69+76-26-100-16-80-50+60</f>
        <v>72.98700000000008</v>
      </c>
      <c r="F48" s="15"/>
      <c r="G48" s="16">
        <f t="shared" si="15"/>
        <v>601.50499999999988</v>
      </c>
      <c r="H48" s="16">
        <v>674.49199999999996</v>
      </c>
      <c r="I48" s="16">
        <v>1896.9870000000001</v>
      </c>
      <c r="J48" s="17" t="s">
        <v>365</v>
      </c>
      <c r="K48" s="76"/>
      <c r="L48" s="85">
        <f t="shared" ca="1" si="16"/>
        <v>63</v>
      </c>
      <c r="M48" s="80"/>
    </row>
    <row r="49" spans="1:13" ht="18.75" hidden="1" x14ac:dyDescent="0.3">
      <c r="A49" s="95">
        <v>46090</v>
      </c>
      <c r="B49" s="96" t="s">
        <v>342</v>
      </c>
      <c r="C49" s="96" t="s">
        <v>53</v>
      </c>
      <c r="D49" s="96" t="s">
        <v>19</v>
      </c>
      <c r="E49" s="101">
        <f>1428.162-10-255-120-10-100-102-200-20-37-58-100-5-310.511-20-102+40+42+30-35-10-20-60</f>
        <v>-34.34899999999999</v>
      </c>
      <c r="F49" s="104"/>
      <c r="G49" s="97">
        <f t="shared" si="15"/>
        <v>145.01</v>
      </c>
      <c r="H49" s="97">
        <v>110.661</v>
      </c>
      <c r="I49" s="97">
        <v>1428.162</v>
      </c>
      <c r="J49" s="99" t="s">
        <v>350</v>
      </c>
      <c r="K49" s="100" t="s">
        <v>240</v>
      </c>
      <c r="L49" s="85">
        <f t="shared" ca="1" si="16"/>
        <v>71</v>
      </c>
      <c r="M49" s="80"/>
    </row>
    <row r="50" spans="1:13" ht="18.75" hidden="1" x14ac:dyDescent="0.3">
      <c r="A50" s="22"/>
      <c r="B50" s="32" t="s">
        <v>27</v>
      </c>
      <c r="C50" s="13"/>
      <c r="D50" s="13"/>
      <c r="E50" s="23">
        <f>SUBTOTAL(9,E42:E49)</f>
        <v>0</v>
      </c>
      <c r="F50" s="24">
        <f>E50</f>
        <v>0</v>
      </c>
      <c r="G50" s="23">
        <f>SUBTOTAL(9,G42:G49)</f>
        <v>0</v>
      </c>
      <c r="H50" s="23">
        <f>SUBTOTAL(9,H42:H49)</f>
        <v>0</v>
      </c>
      <c r="I50" s="23"/>
      <c r="J50" s="17"/>
      <c r="K50" s="76"/>
      <c r="L50" s="17"/>
      <c r="M50" s="80"/>
    </row>
    <row r="51" spans="1:13" ht="18.75" hidden="1" x14ac:dyDescent="0.3">
      <c r="A51" s="22"/>
      <c r="B51" s="32"/>
      <c r="C51" s="13"/>
      <c r="D51" s="13"/>
      <c r="E51" s="15"/>
      <c r="F51" s="24"/>
      <c r="G51" s="23"/>
      <c r="H51" s="23"/>
      <c r="I51" s="23"/>
      <c r="J51" s="17"/>
      <c r="K51" s="76"/>
      <c r="L51" s="17"/>
      <c r="M51" s="80"/>
    </row>
    <row r="52" spans="1:13" ht="18.75" hidden="1" x14ac:dyDescent="0.3">
      <c r="A52" s="21">
        <v>45905</v>
      </c>
      <c r="B52" s="32" t="s">
        <v>253</v>
      </c>
      <c r="C52" s="13" t="s">
        <v>67</v>
      </c>
      <c r="D52" s="13" t="s">
        <v>9</v>
      </c>
      <c r="E52" s="15">
        <f>306.391-25+25</f>
        <v>306.39100000000002</v>
      </c>
      <c r="F52" s="24"/>
      <c r="G52" s="16">
        <f t="shared" ref="G52:G61" si="17">H52-E52</f>
        <v>2.7399999999999523</v>
      </c>
      <c r="H52" s="16">
        <v>309.13099999999997</v>
      </c>
      <c r="I52" s="16">
        <v>1890.7629999999999</v>
      </c>
      <c r="J52" s="17" t="s">
        <v>245</v>
      </c>
      <c r="K52" s="76"/>
      <c r="L52" s="83">
        <f t="shared" ref="L52:L61" ca="1" si="18">TODAY()-A52</f>
        <v>256</v>
      </c>
      <c r="M52" s="80"/>
    </row>
    <row r="53" spans="1:13" ht="18.75" hidden="1" x14ac:dyDescent="0.3">
      <c r="A53" s="21">
        <v>45968</v>
      </c>
      <c r="B53" s="13" t="s">
        <v>272</v>
      </c>
      <c r="C53" s="13" t="s">
        <v>67</v>
      </c>
      <c r="D53" s="13" t="s">
        <v>9</v>
      </c>
      <c r="E53" s="14">
        <v>35.591999999999999</v>
      </c>
      <c r="F53" s="24"/>
      <c r="G53" s="16">
        <f t="shared" si="17"/>
        <v>7.9999999999998295E-2</v>
      </c>
      <c r="H53" s="16">
        <v>35.671999999999997</v>
      </c>
      <c r="I53" s="16">
        <v>524.80200000000002</v>
      </c>
      <c r="J53" s="17" t="s">
        <v>32</v>
      </c>
      <c r="K53" s="76"/>
      <c r="L53" s="83">
        <f t="shared" ca="1" si="18"/>
        <v>193</v>
      </c>
      <c r="M53" s="80"/>
    </row>
    <row r="54" spans="1:13" ht="18.75" hidden="1" x14ac:dyDescent="0.3">
      <c r="A54" s="21">
        <v>45975</v>
      </c>
      <c r="B54" s="13" t="s">
        <v>274</v>
      </c>
      <c r="C54" s="13" t="s">
        <v>67</v>
      </c>
      <c r="D54" s="13" t="s">
        <v>9</v>
      </c>
      <c r="E54" s="14">
        <v>0</v>
      </c>
      <c r="F54" s="24"/>
      <c r="G54" s="16">
        <f t="shared" si="17"/>
        <v>7.0000000000000001E-3</v>
      </c>
      <c r="H54" s="16">
        <v>7.0000000000000001E-3</v>
      </c>
      <c r="I54" s="16">
        <v>597.05700000000002</v>
      </c>
      <c r="J54" s="17" t="s">
        <v>32</v>
      </c>
      <c r="K54" s="76"/>
      <c r="L54" s="83">
        <f t="shared" ca="1" si="18"/>
        <v>186</v>
      </c>
      <c r="M54" s="80"/>
    </row>
    <row r="55" spans="1:13" ht="18.75" hidden="1" x14ac:dyDescent="0.3">
      <c r="A55" s="21">
        <v>46123</v>
      </c>
      <c r="B55" s="13" t="s">
        <v>384</v>
      </c>
      <c r="C55" s="13" t="s">
        <v>67</v>
      </c>
      <c r="D55" s="13" t="s">
        <v>9</v>
      </c>
      <c r="E55" s="14">
        <f>238.948-80</f>
        <v>158.94800000000001</v>
      </c>
      <c r="F55" s="24"/>
      <c r="G55" s="16">
        <f t="shared" si="17"/>
        <v>80</v>
      </c>
      <c r="H55" s="16">
        <v>238.94800000000001</v>
      </c>
      <c r="I55" s="16">
        <v>240</v>
      </c>
      <c r="J55" s="17" t="s">
        <v>32</v>
      </c>
      <c r="K55" s="76"/>
      <c r="L55" s="83">
        <f t="shared" ca="1" si="18"/>
        <v>38</v>
      </c>
      <c r="M55" s="80"/>
    </row>
    <row r="56" spans="1:13" ht="18.75" hidden="1" x14ac:dyDescent="0.3">
      <c r="A56" s="21">
        <v>46131</v>
      </c>
      <c r="B56" s="13" t="s">
        <v>396</v>
      </c>
      <c r="C56" s="13" t="s">
        <v>67</v>
      </c>
      <c r="D56" s="13" t="s">
        <v>9</v>
      </c>
      <c r="E56" s="14">
        <f>498.637-20-25-70+20</f>
        <v>403.637</v>
      </c>
      <c r="F56" s="24"/>
      <c r="G56" s="16">
        <f t="shared" si="17"/>
        <v>95</v>
      </c>
      <c r="H56" s="16">
        <v>498.637</v>
      </c>
      <c r="I56" s="16">
        <v>498.637</v>
      </c>
      <c r="J56" s="17" t="s">
        <v>32</v>
      </c>
      <c r="K56" s="76"/>
      <c r="L56" s="83">
        <f t="shared" ca="1" si="18"/>
        <v>30</v>
      </c>
      <c r="M56" s="80"/>
    </row>
    <row r="57" spans="1:13" ht="18.75" hidden="1" x14ac:dyDescent="0.3">
      <c r="A57" s="95">
        <v>46012</v>
      </c>
      <c r="B57" s="96" t="s">
        <v>288</v>
      </c>
      <c r="C57" s="96" t="s">
        <v>67</v>
      </c>
      <c r="D57" s="96" t="s">
        <v>9</v>
      </c>
      <c r="E57" s="101">
        <v>0</v>
      </c>
      <c r="F57" s="98"/>
      <c r="G57" s="97">
        <f t="shared" si="17"/>
        <v>25.105</v>
      </c>
      <c r="H57" s="98">
        <v>25.105</v>
      </c>
      <c r="I57" s="97">
        <v>952.65700000000004</v>
      </c>
      <c r="J57" s="99" t="s">
        <v>32</v>
      </c>
      <c r="K57" s="100" t="s">
        <v>240</v>
      </c>
      <c r="L57" s="83">
        <f t="shared" ca="1" si="18"/>
        <v>149</v>
      </c>
      <c r="M57" s="80"/>
    </row>
    <row r="58" spans="1:13" ht="18.75" hidden="1" x14ac:dyDescent="0.3">
      <c r="A58" s="95">
        <v>46068</v>
      </c>
      <c r="B58" s="96" t="s">
        <v>324</v>
      </c>
      <c r="C58" s="96" t="s">
        <v>67</v>
      </c>
      <c r="D58" s="96" t="s">
        <v>9</v>
      </c>
      <c r="E58" s="101">
        <f>1046.886-100-25-20-125+50-15-85-25-50</f>
        <v>651.88599999999997</v>
      </c>
      <c r="F58" s="98"/>
      <c r="G58" s="97">
        <f t="shared" si="17"/>
        <v>171.05899999999997</v>
      </c>
      <c r="H58" s="98">
        <f>517.161+305.784</f>
        <v>822.94499999999994</v>
      </c>
      <c r="I58" s="97">
        <v>1046.886</v>
      </c>
      <c r="J58" s="99" t="s">
        <v>32</v>
      </c>
      <c r="K58" s="100" t="s">
        <v>240</v>
      </c>
      <c r="L58" s="83">
        <f t="shared" ca="1" si="18"/>
        <v>93</v>
      </c>
      <c r="M58" s="80"/>
    </row>
    <row r="59" spans="1:13" ht="18.75" hidden="1" x14ac:dyDescent="0.3">
      <c r="A59" s="21">
        <v>46155</v>
      </c>
      <c r="B59" s="143" t="s">
        <v>450</v>
      </c>
      <c r="C59" s="13" t="s">
        <v>67</v>
      </c>
      <c r="D59" s="32" t="s">
        <v>13</v>
      </c>
      <c r="E59" s="15">
        <f>200-20-25</f>
        <v>155</v>
      </c>
      <c r="F59" s="24"/>
      <c r="G59" s="16">
        <f t="shared" si="17"/>
        <v>45</v>
      </c>
      <c r="H59" s="16">
        <v>200</v>
      </c>
      <c r="I59" s="16">
        <v>200</v>
      </c>
      <c r="J59" s="17" t="s">
        <v>21</v>
      </c>
      <c r="K59" s="76"/>
      <c r="L59" s="83">
        <f t="shared" ca="1" si="18"/>
        <v>6</v>
      </c>
      <c r="M59" s="80"/>
    </row>
    <row r="60" spans="1:13" ht="18.75" hidden="1" x14ac:dyDescent="0.3">
      <c r="A60" s="21">
        <v>46098</v>
      </c>
      <c r="B60" s="13" t="s">
        <v>367</v>
      </c>
      <c r="C60" s="13" t="s">
        <v>67</v>
      </c>
      <c r="D60" s="13" t="s">
        <v>19</v>
      </c>
      <c r="E60" s="14">
        <f>186.359+40-209-20-54</f>
        <v>-56.640999999999991</v>
      </c>
      <c r="F60" s="24"/>
      <c r="G60" s="16">
        <f t="shared" si="17"/>
        <v>83.669999999999987</v>
      </c>
      <c r="H60" s="16">
        <v>27.029</v>
      </c>
      <c r="I60" s="16">
        <v>475.56900000000002</v>
      </c>
      <c r="J60" s="17" t="s">
        <v>350</v>
      </c>
      <c r="K60" s="76"/>
      <c r="L60" s="83">
        <f t="shared" ca="1" si="18"/>
        <v>63</v>
      </c>
      <c r="M60" s="80"/>
    </row>
    <row r="61" spans="1:13" ht="18.75" hidden="1" x14ac:dyDescent="0.3">
      <c r="A61" s="95">
        <v>46090</v>
      </c>
      <c r="B61" s="96" t="s">
        <v>344</v>
      </c>
      <c r="C61" s="96" t="s">
        <v>67</v>
      </c>
      <c r="D61" s="96" t="s">
        <v>19</v>
      </c>
      <c r="E61" s="101">
        <v>0</v>
      </c>
      <c r="F61" s="98"/>
      <c r="G61" s="97">
        <f t="shared" si="17"/>
        <v>71.97</v>
      </c>
      <c r="H61" s="97">
        <v>71.97</v>
      </c>
      <c r="I61" s="97">
        <v>952.71100000000001</v>
      </c>
      <c r="J61" s="99" t="s">
        <v>350</v>
      </c>
      <c r="K61" s="100" t="s">
        <v>240</v>
      </c>
      <c r="L61" s="83">
        <f t="shared" ca="1" si="18"/>
        <v>71</v>
      </c>
      <c r="M61" s="80"/>
    </row>
    <row r="62" spans="1:13" ht="18.75" hidden="1" x14ac:dyDescent="0.3">
      <c r="A62" s="22"/>
      <c r="B62" s="32" t="s">
        <v>27</v>
      </c>
      <c r="C62" s="13"/>
      <c r="D62" s="13"/>
      <c r="E62" s="23">
        <f>SUBTOTAL(9,E52:E61)</f>
        <v>0</v>
      </c>
      <c r="F62" s="24">
        <f>E62</f>
        <v>0</v>
      </c>
      <c r="G62" s="23">
        <f>SUBTOTAL(9,G52:G61)</f>
        <v>0</v>
      </c>
      <c r="H62" s="23">
        <f>SUBTOTAL(9,H52:H61)</f>
        <v>0</v>
      </c>
      <c r="I62" s="23"/>
      <c r="J62" s="17"/>
      <c r="K62" s="76"/>
      <c r="L62" s="17"/>
      <c r="M62" s="80"/>
    </row>
    <row r="63" spans="1:13" ht="18.75" hidden="1" x14ac:dyDescent="0.3">
      <c r="A63" s="22"/>
      <c r="B63" s="32"/>
      <c r="C63" s="13"/>
      <c r="D63" s="13"/>
      <c r="E63" s="23"/>
      <c r="F63" s="24"/>
      <c r="G63" s="23"/>
      <c r="H63" s="23"/>
      <c r="I63" s="23"/>
      <c r="J63" s="17"/>
      <c r="K63" s="76"/>
      <c r="L63" s="17"/>
      <c r="M63" s="80"/>
    </row>
    <row r="64" spans="1:13" ht="18.75" hidden="1" x14ac:dyDescent="0.3">
      <c r="A64" s="21">
        <v>46071</v>
      </c>
      <c r="B64" s="13" t="s">
        <v>321</v>
      </c>
      <c r="C64" s="13" t="s">
        <v>77</v>
      </c>
      <c r="D64" s="13" t="s">
        <v>9</v>
      </c>
      <c r="E64" s="16">
        <v>-42.65</v>
      </c>
      <c r="F64" s="24"/>
      <c r="G64" s="16">
        <f t="shared" ref="G64" si="19">H64-E64</f>
        <v>64.512</v>
      </c>
      <c r="H64" s="16">
        <v>21.861999999999998</v>
      </c>
      <c r="I64" s="16">
        <v>800.98800000000006</v>
      </c>
      <c r="J64" s="17" t="s">
        <v>32</v>
      </c>
      <c r="K64" s="76"/>
      <c r="L64" s="83">
        <f t="shared" ref="L64" ca="1" si="20">TODAY()-A64</f>
        <v>90</v>
      </c>
      <c r="M64" s="80"/>
    </row>
    <row r="65" spans="1:13" ht="18.75" hidden="1" x14ac:dyDescent="0.3">
      <c r="A65" s="22"/>
      <c r="B65" s="32" t="s">
        <v>27</v>
      </c>
      <c r="C65" s="13"/>
      <c r="D65" s="13"/>
      <c r="E65" s="23">
        <f>SUBTOTAL(9,E64:E64)</f>
        <v>0</v>
      </c>
      <c r="F65" s="24">
        <f>E65</f>
        <v>0</v>
      </c>
      <c r="G65" s="23">
        <f>SUBTOTAL(9,G64:G64)</f>
        <v>0</v>
      </c>
      <c r="H65" s="23">
        <f>SUBTOTAL(9,H64:H64)</f>
        <v>0</v>
      </c>
      <c r="I65" s="23"/>
      <c r="J65" s="17"/>
      <c r="K65" s="76"/>
      <c r="L65" s="17"/>
      <c r="M65" s="80"/>
    </row>
    <row r="66" spans="1:13" ht="18.75" hidden="1" x14ac:dyDescent="0.3">
      <c r="A66" s="22"/>
      <c r="B66" s="32"/>
      <c r="C66" s="13"/>
      <c r="D66" s="13"/>
      <c r="E66" s="23"/>
      <c r="F66" s="24"/>
      <c r="G66" s="23"/>
      <c r="H66" s="23"/>
      <c r="I66" s="23"/>
      <c r="J66" s="17"/>
      <c r="K66" s="76"/>
      <c r="L66" s="17"/>
      <c r="M66" s="80"/>
    </row>
    <row r="67" spans="1:13" ht="18.75" hidden="1" x14ac:dyDescent="0.3">
      <c r="A67" s="21">
        <v>45832</v>
      </c>
      <c r="B67" s="13" t="s">
        <v>248</v>
      </c>
      <c r="C67" s="13" t="s">
        <v>158</v>
      </c>
      <c r="D67" s="13" t="s">
        <v>9</v>
      </c>
      <c r="E67" s="16">
        <v>0</v>
      </c>
      <c r="F67" s="24"/>
      <c r="G67" s="16">
        <f t="shared" ref="G67:G68" si="21">H67-E67</f>
        <v>1E-3</v>
      </c>
      <c r="H67" s="16">
        <v>1E-3</v>
      </c>
      <c r="I67" s="16">
        <v>1526.6410000000001</v>
      </c>
      <c r="J67" s="17" t="s">
        <v>32</v>
      </c>
      <c r="K67" s="76"/>
      <c r="L67" s="83">
        <f t="shared" ref="L67:L68" ca="1" si="22">TODAY()-A67</f>
        <v>329</v>
      </c>
      <c r="M67" s="80"/>
    </row>
    <row r="68" spans="1:13" ht="18.75" hidden="1" x14ac:dyDescent="0.3">
      <c r="A68" s="21">
        <v>45903</v>
      </c>
      <c r="B68" s="13" t="s">
        <v>255</v>
      </c>
      <c r="C68" s="13" t="s">
        <v>158</v>
      </c>
      <c r="D68" s="13" t="s">
        <v>9</v>
      </c>
      <c r="E68" s="16">
        <f>1.051-50</f>
        <v>-48.948999999999998</v>
      </c>
      <c r="F68" s="24"/>
      <c r="G68" s="16">
        <f t="shared" si="21"/>
        <v>49.289000000000001</v>
      </c>
      <c r="H68" s="16">
        <v>0.34</v>
      </c>
      <c r="I68" s="16">
        <v>1046.06</v>
      </c>
      <c r="J68" s="17" t="s">
        <v>257</v>
      </c>
      <c r="K68" s="76"/>
      <c r="L68" s="83">
        <f t="shared" ca="1" si="22"/>
        <v>258</v>
      </c>
      <c r="M68" s="80"/>
    </row>
    <row r="69" spans="1:13" ht="18.75" hidden="1" x14ac:dyDescent="0.3">
      <c r="A69" s="22"/>
      <c r="B69" s="32" t="s">
        <v>27</v>
      </c>
      <c r="C69" s="13"/>
      <c r="D69" s="13"/>
      <c r="E69" s="23">
        <f>SUBTOTAL(9,E67:E68)</f>
        <v>0</v>
      </c>
      <c r="F69" s="24">
        <f>E69</f>
        <v>0</v>
      </c>
      <c r="G69" s="23">
        <f>SUBTOTAL(9,G67:G68)</f>
        <v>0</v>
      </c>
      <c r="H69" s="23">
        <f>SUBTOTAL(9,H67:H68)</f>
        <v>0</v>
      </c>
      <c r="I69" s="23"/>
      <c r="J69" s="17"/>
      <c r="K69" s="76"/>
      <c r="L69" s="17"/>
      <c r="M69" s="80"/>
    </row>
    <row r="70" spans="1:13" ht="18.75" hidden="1" x14ac:dyDescent="0.3">
      <c r="A70" s="22"/>
      <c r="B70" s="32"/>
      <c r="C70" s="13"/>
      <c r="D70" s="13"/>
      <c r="E70" s="23"/>
      <c r="F70" s="24"/>
      <c r="G70" s="23"/>
      <c r="H70" s="23"/>
      <c r="I70" s="23"/>
      <c r="J70" s="17"/>
      <c r="K70" s="76"/>
      <c r="L70" s="17"/>
      <c r="M70" s="80"/>
    </row>
    <row r="71" spans="1:13" ht="18.75" hidden="1" x14ac:dyDescent="0.3">
      <c r="A71" s="105">
        <v>45922</v>
      </c>
      <c r="B71" s="106" t="s">
        <v>270</v>
      </c>
      <c r="C71" s="106" t="s">
        <v>118</v>
      </c>
      <c r="D71" s="106" t="s">
        <v>9</v>
      </c>
      <c r="E71" s="84">
        <v>-24.72</v>
      </c>
      <c r="F71" s="107"/>
      <c r="G71" s="84">
        <f t="shared" ref="G71" si="23">H71-E71</f>
        <v>24.721</v>
      </c>
      <c r="H71" s="16">
        <v>1E-3</v>
      </c>
      <c r="I71" s="16">
        <v>795.53</v>
      </c>
      <c r="J71" s="108" t="s">
        <v>47</v>
      </c>
      <c r="K71" s="109"/>
      <c r="L71" s="83">
        <f t="shared" ref="L71" ca="1" si="24">TODAY()-A71</f>
        <v>239</v>
      </c>
      <c r="M71" s="110"/>
    </row>
    <row r="72" spans="1:13" ht="18.75" hidden="1" x14ac:dyDescent="0.3">
      <c r="A72" s="22"/>
      <c r="B72" s="32" t="s">
        <v>27</v>
      </c>
      <c r="C72" s="13"/>
      <c r="D72" s="13"/>
      <c r="E72" s="23">
        <f>SUBTOTAL(9,E71:E71)</f>
        <v>0</v>
      </c>
      <c r="F72" s="24">
        <f>E72</f>
        <v>0</v>
      </c>
      <c r="G72" s="23">
        <f>SUBTOTAL(9,G71:G71)</f>
        <v>0</v>
      </c>
      <c r="H72" s="23">
        <f>SUBTOTAL(9,H71:H71)</f>
        <v>0</v>
      </c>
      <c r="I72" s="23"/>
      <c r="J72" s="17"/>
      <c r="K72" s="76"/>
      <c r="L72" s="17"/>
      <c r="M72" s="80"/>
    </row>
    <row r="73" spans="1:13" ht="18.75" hidden="1" x14ac:dyDescent="0.3">
      <c r="A73" s="22"/>
      <c r="B73" s="32"/>
      <c r="C73" s="13"/>
      <c r="D73" s="13"/>
      <c r="E73" s="15"/>
      <c r="F73" s="24"/>
      <c r="G73" s="23"/>
      <c r="H73" s="23"/>
      <c r="I73" s="23"/>
      <c r="J73" s="17"/>
      <c r="K73" s="76"/>
      <c r="L73" s="17"/>
      <c r="M73" s="80"/>
    </row>
    <row r="74" spans="1:13" ht="18.75" hidden="1" x14ac:dyDescent="0.3">
      <c r="A74" s="21">
        <v>46086</v>
      </c>
      <c r="B74" s="13" t="s">
        <v>336</v>
      </c>
      <c r="C74" s="13" t="s">
        <v>230</v>
      </c>
      <c r="D74" s="13" t="s">
        <v>13</v>
      </c>
      <c r="E74" s="16">
        <v>0</v>
      </c>
      <c r="F74" s="24"/>
      <c r="G74" s="16">
        <f t="shared" ref="G74:G75" si="25">H74-E74</f>
        <v>13.513999999999999</v>
      </c>
      <c r="H74" s="16">
        <v>13.513999999999999</v>
      </c>
      <c r="I74" s="16">
        <v>496.86399999999998</v>
      </c>
      <c r="J74" s="17" t="s">
        <v>21</v>
      </c>
      <c r="K74" s="76"/>
      <c r="L74" s="83">
        <f t="shared" ref="L74:L75" ca="1" si="26">TODAY()-A74</f>
        <v>75</v>
      </c>
      <c r="M74" s="80"/>
    </row>
    <row r="75" spans="1:13" ht="18.75" hidden="1" x14ac:dyDescent="0.3">
      <c r="A75" s="21">
        <v>46156</v>
      </c>
      <c r="B75" s="13" t="s">
        <v>460</v>
      </c>
      <c r="C75" s="13" t="s">
        <v>230</v>
      </c>
      <c r="D75" s="13" t="s">
        <v>13</v>
      </c>
      <c r="E75" s="16">
        <f>306.157-21-65-71</f>
        <v>149.15699999999998</v>
      </c>
      <c r="F75" s="24"/>
      <c r="G75" s="16">
        <f t="shared" si="25"/>
        <v>157</v>
      </c>
      <c r="H75" s="16">
        <v>306.15699999999998</v>
      </c>
      <c r="I75" s="16">
        <v>306.15699999999998</v>
      </c>
      <c r="J75" s="17" t="s">
        <v>21</v>
      </c>
      <c r="K75" s="76"/>
      <c r="L75" s="83">
        <f t="shared" ca="1" si="26"/>
        <v>5</v>
      </c>
      <c r="M75" s="80"/>
    </row>
    <row r="76" spans="1:13" ht="18.75" hidden="1" x14ac:dyDescent="0.3">
      <c r="A76" s="22"/>
      <c r="B76" s="32"/>
      <c r="C76" s="13"/>
      <c r="D76" s="13"/>
      <c r="E76" s="23">
        <f>SUBTOTAL(9,E74:E75)</f>
        <v>0</v>
      </c>
      <c r="F76" s="24">
        <f>E76</f>
        <v>0</v>
      </c>
      <c r="G76" s="23">
        <f>SUBTOTAL(9,G74:G75)</f>
        <v>0</v>
      </c>
      <c r="H76" s="23">
        <f>SUBTOTAL(9,H74:H75)</f>
        <v>0</v>
      </c>
      <c r="I76" s="23"/>
      <c r="J76" s="17"/>
      <c r="K76" s="76"/>
      <c r="L76" s="17"/>
      <c r="M76" s="80"/>
    </row>
    <row r="77" spans="1:13" ht="18.75" hidden="1" x14ac:dyDescent="0.3">
      <c r="A77" s="22"/>
      <c r="B77" s="32"/>
      <c r="C77" s="13"/>
      <c r="D77" s="13"/>
      <c r="E77" s="15"/>
      <c r="F77" s="24"/>
      <c r="G77" s="23"/>
      <c r="H77" s="23"/>
      <c r="I77" s="23"/>
      <c r="J77" s="17"/>
      <c r="K77" s="76"/>
      <c r="L77" s="17"/>
      <c r="M77" s="80"/>
    </row>
    <row r="78" spans="1:13" ht="18.75" hidden="1" x14ac:dyDescent="0.3">
      <c r="A78" s="95">
        <v>45607</v>
      </c>
      <c r="B78" s="96" t="s">
        <v>241</v>
      </c>
      <c r="C78" s="96" t="s">
        <v>238</v>
      </c>
      <c r="D78" s="96" t="s">
        <v>9</v>
      </c>
      <c r="E78" s="97">
        <v>0</v>
      </c>
      <c r="F78" s="98"/>
      <c r="G78" s="97">
        <f t="shared" ref="G78:G79" si="27">H78-E78</f>
        <v>178.98</v>
      </c>
      <c r="H78" s="98">
        <v>178.98</v>
      </c>
      <c r="I78" s="97"/>
      <c r="J78" s="99" t="s">
        <v>29</v>
      </c>
      <c r="K78" s="100" t="s">
        <v>240</v>
      </c>
      <c r="L78" s="83">
        <f t="shared" ref="L78:L79" ca="1" si="28">TODAY()-A78</f>
        <v>554</v>
      </c>
      <c r="M78" s="80"/>
    </row>
    <row r="79" spans="1:13" ht="18.75" hidden="1" x14ac:dyDescent="0.3">
      <c r="A79" s="95">
        <v>45809</v>
      </c>
      <c r="B79" s="96" t="s">
        <v>244</v>
      </c>
      <c r="C79" s="96" t="s">
        <v>238</v>
      </c>
      <c r="D79" s="96" t="s">
        <v>9</v>
      </c>
      <c r="E79" s="97">
        <f>663.055-54-105-12-25-20</f>
        <v>447.05499999999995</v>
      </c>
      <c r="F79" s="98"/>
      <c r="G79" s="97">
        <f t="shared" si="27"/>
        <v>216</v>
      </c>
      <c r="H79" s="98">
        <v>663.05499999999995</v>
      </c>
      <c r="I79" s="97"/>
      <c r="J79" s="99" t="s">
        <v>29</v>
      </c>
      <c r="K79" s="100" t="s">
        <v>240</v>
      </c>
      <c r="L79" s="83">
        <f t="shared" ca="1" si="28"/>
        <v>352</v>
      </c>
      <c r="M79" s="80"/>
    </row>
    <row r="80" spans="1:13" ht="18.75" hidden="1" x14ac:dyDescent="0.3">
      <c r="A80" s="22"/>
      <c r="B80" s="32" t="s">
        <v>27</v>
      </c>
      <c r="C80" s="13"/>
      <c r="D80" s="13"/>
      <c r="E80" s="23">
        <f>SUBTOTAL(9,E78:E79)</f>
        <v>0</v>
      </c>
      <c r="F80" s="24">
        <f>E80</f>
        <v>0</v>
      </c>
      <c r="G80" s="23">
        <f>SUBTOTAL(9,G78:G79)</f>
        <v>0</v>
      </c>
      <c r="H80" s="23">
        <f>SUBTOTAL(9,H78:H79)</f>
        <v>0</v>
      </c>
      <c r="I80" s="23"/>
      <c r="J80" s="17"/>
      <c r="K80" s="76"/>
      <c r="L80" s="17"/>
      <c r="M80" s="80"/>
    </row>
    <row r="81" spans="1:13" ht="18.75" hidden="1" x14ac:dyDescent="0.3">
      <c r="A81" s="22"/>
      <c r="B81" s="32"/>
      <c r="C81" s="13"/>
      <c r="D81" s="13"/>
      <c r="E81" s="23"/>
      <c r="F81" s="24"/>
      <c r="G81" s="23"/>
      <c r="H81" s="23"/>
      <c r="I81" s="23"/>
      <c r="J81" s="17"/>
      <c r="K81" s="76"/>
      <c r="L81" s="17"/>
      <c r="M81" s="80"/>
    </row>
    <row r="82" spans="1:13" ht="18.75" hidden="1" x14ac:dyDescent="0.3">
      <c r="A82" s="21">
        <v>45823</v>
      </c>
      <c r="B82" s="13" t="s">
        <v>246</v>
      </c>
      <c r="C82" s="13" t="s">
        <v>82</v>
      </c>
      <c r="D82" s="13" t="s">
        <v>9</v>
      </c>
      <c r="E82" s="16">
        <v>0</v>
      </c>
      <c r="F82" s="24"/>
      <c r="G82" s="16">
        <f t="shared" ref="G82:G84" si="29">H82-E82</f>
        <v>0.24299999999999999</v>
      </c>
      <c r="H82" s="16">
        <v>0.24299999999999999</v>
      </c>
      <c r="I82" s="16">
        <v>522.51300000000003</v>
      </c>
      <c r="J82" s="17" t="s">
        <v>32</v>
      </c>
      <c r="K82" s="76"/>
      <c r="L82" s="83">
        <f t="shared" ref="L82:L84" ca="1" si="30">TODAY()-A82</f>
        <v>338</v>
      </c>
      <c r="M82" s="80"/>
    </row>
    <row r="83" spans="1:13" ht="18.75" hidden="1" x14ac:dyDescent="0.3">
      <c r="A83" s="21">
        <v>45832</v>
      </c>
      <c r="B83" s="13" t="s">
        <v>249</v>
      </c>
      <c r="C83" s="13" t="s">
        <v>82</v>
      </c>
      <c r="D83" s="13" t="s">
        <v>9</v>
      </c>
      <c r="E83" s="16">
        <f>510.073-52.143-102-175+8.143-50-21-56-40-18</f>
        <v>4.0729999999999507</v>
      </c>
      <c r="F83" s="24"/>
      <c r="G83" s="16">
        <f t="shared" si="29"/>
        <v>0.3790000000000493</v>
      </c>
      <c r="H83" s="16">
        <v>4.452</v>
      </c>
      <c r="I83" s="16">
        <v>510.07299999999998</v>
      </c>
      <c r="J83" s="17" t="s">
        <v>32</v>
      </c>
      <c r="K83" s="76"/>
      <c r="L83" s="83">
        <f t="shared" ca="1" si="30"/>
        <v>329</v>
      </c>
      <c r="M83" s="80"/>
    </row>
    <row r="84" spans="1:13" ht="18.75" x14ac:dyDescent="0.3">
      <c r="A84" s="126">
        <v>46147</v>
      </c>
      <c r="B84" s="127" t="s">
        <v>432</v>
      </c>
      <c r="C84" s="127" t="s">
        <v>82</v>
      </c>
      <c r="D84" s="127" t="s">
        <v>9</v>
      </c>
      <c r="E84" s="130">
        <f>1731.193-1010-30-50-83-17</f>
        <v>541.19299999999998</v>
      </c>
      <c r="F84" s="136"/>
      <c r="G84" s="130">
        <f t="shared" si="29"/>
        <v>937.97</v>
      </c>
      <c r="H84" s="130">
        <v>1479.163</v>
      </c>
      <c r="I84" s="130">
        <v>1731.193</v>
      </c>
      <c r="J84" s="131" t="s">
        <v>32</v>
      </c>
      <c r="K84" s="132" t="s">
        <v>340</v>
      </c>
      <c r="L84" s="133">
        <f t="shared" ca="1" si="30"/>
        <v>14</v>
      </c>
      <c r="M84" s="80"/>
    </row>
    <row r="85" spans="1:13" ht="18.75" hidden="1" x14ac:dyDescent="0.3">
      <c r="A85" s="21">
        <v>46127</v>
      </c>
      <c r="B85" s="13" t="s">
        <v>389</v>
      </c>
      <c r="C85" s="13" t="s">
        <v>82</v>
      </c>
      <c r="D85" s="13" t="s">
        <v>19</v>
      </c>
      <c r="E85" s="16">
        <v>0</v>
      </c>
      <c r="F85" s="24"/>
      <c r="G85" s="16">
        <f t="shared" ref="G85:G86" si="31">H85-E85</f>
        <v>40.256999999999998</v>
      </c>
      <c r="H85" s="16">
        <v>40.256999999999998</v>
      </c>
      <c r="I85" s="16">
        <v>715.29399999999998</v>
      </c>
      <c r="J85" s="17" t="s">
        <v>26</v>
      </c>
      <c r="K85" s="76"/>
      <c r="L85" s="83">
        <f t="shared" ref="L85:L86" ca="1" si="32">TODAY()-A85</f>
        <v>34</v>
      </c>
      <c r="M85" s="80"/>
    </row>
    <row r="86" spans="1:13" ht="18.75" x14ac:dyDescent="0.3">
      <c r="A86" s="126">
        <v>46144</v>
      </c>
      <c r="B86" s="127" t="s">
        <v>417</v>
      </c>
      <c r="C86" s="127" t="s">
        <v>82</v>
      </c>
      <c r="D86" s="127" t="s">
        <v>19</v>
      </c>
      <c r="E86" s="130">
        <f>950-318.063-75-105-65-53+30-25-10-70-25</f>
        <v>233.93700000000001</v>
      </c>
      <c r="F86" s="136"/>
      <c r="G86" s="130">
        <f t="shared" si="31"/>
        <v>203.29699999999997</v>
      </c>
      <c r="H86" s="130">
        <v>437.23399999999998</v>
      </c>
      <c r="I86" s="130">
        <v>948.20399999999995</v>
      </c>
      <c r="J86" s="131" t="s">
        <v>26</v>
      </c>
      <c r="K86" s="132" t="s">
        <v>340</v>
      </c>
      <c r="L86" s="133">
        <f t="shared" ca="1" si="32"/>
        <v>17</v>
      </c>
      <c r="M86" s="80"/>
    </row>
    <row r="87" spans="1:13" ht="18.75" hidden="1" x14ac:dyDescent="0.3">
      <c r="A87" s="22"/>
      <c r="B87" s="32" t="s">
        <v>27</v>
      </c>
      <c r="C87" s="13"/>
      <c r="D87" s="13"/>
      <c r="E87" s="23">
        <f>SUBTOTAL(9,E81:E86)</f>
        <v>775.13</v>
      </c>
      <c r="F87" s="24">
        <f>E87</f>
        <v>775.13</v>
      </c>
      <c r="G87" s="23">
        <f>SUBTOTAL(9,G81:G86)</f>
        <v>1141.2670000000001</v>
      </c>
      <c r="H87" s="23">
        <f>SUBTOTAL(9,H81:H86)</f>
        <v>1916.3969999999999</v>
      </c>
      <c r="I87" s="23"/>
      <c r="J87" s="17"/>
      <c r="K87" s="76"/>
      <c r="L87" s="17"/>
      <c r="M87" s="80"/>
    </row>
    <row r="88" spans="1:13" ht="18.75" hidden="1" x14ac:dyDescent="0.3">
      <c r="A88" s="22"/>
      <c r="B88" s="32"/>
      <c r="C88" s="13"/>
      <c r="D88" s="13"/>
      <c r="E88" s="23"/>
      <c r="F88" s="24"/>
      <c r="G88" s="23"/>
      <c r="H88" s="23"/>
      <c r="I88" s="23"/>
      <c r="J88" s="17"/>
      <c r="K88" s="76"/>
      <c r="L88" s="17"/>
      <c r="M88" s="80"/>
    </row>
    <row r="89" spans="1:13" ht="18.75" hidden="1" x14ac:dyDescent="0.3">
      <c r="A89" s="21">
        <v>45999</v>
      </c>
      <c r="B89" s="13" t="s">
        <v>284</v>
      </c>
      <c r="C89" s="13" t="s">
        <v>229</v>
      </c>
      <c r="D89" s="13" t="s">
        <v>13</v>
      </c>
      <c r="E89" s="14">
        <v>0</v>
      </c>
      <c r="F89" s="15"/>
      <c r="G89" s="16">
        <f t="shared" ref="G89:G92" si="33">H89-E89</f>
        <v>5.4459999999999997</v>
      </c>
      <c r="H89" s="16">
        <v>5.4459999999999997</v>
      </c>
      <c r="I89" s="16">
        <v>1989.6610000000001</v>
      </c>
      <c r="J89" s="17" t="s">
        <v>21</v>
      </c>
      <c r="K89" s="76"/>
      <c r="L89" s="83">
        <f t="shared" ref="L89:L92" ca="1" si="34">TODAY()-A89</f>
        <v>162</v>
      </c>
      <c r="M89" s="80"/>
    </row>
    <row r="90" spans="1:13" ht="18.75" hidden="1" x14ac:dyDescent="0.3">
      <c r="A90" s="21">
        <v>46067</v>
      </c>
      <c r="B90" s="13" t="s">
        <v>312</v>
      </c>
      <c r="C90" s="13" t="s">
        <v>229</v>
      </c>
      <c r="D90" s="13" t="s">
        <v>13</v>
      </c>
      <c r="E90" s="14">
        <v>0</v>
      </c>
      <c r="F90" s="15"/>
      <c r="G90" s="16">
        <f t="shared" si="33"/>
        <v>10.57</v>
      </c>
      <c r="H90" s="16">
        <v>10.57</v>
      </c>
      <c r="I90" s="16">
        <v>2000</v>
      </c>
      <c r="J90" s="17" t="s">
        <v>21</v>
      </c>
      <c r="K90" s="76"/>
      <c r="L90" s="83">
        <f t="shared" ca="1" si="34"/>
        <v>94</v>
      </c>
      <c r="M90" s="80"/>
    </row>
    <row r="91" spans="1:13" ht="18.75" hidden="1" x14ac:dyDescent="0.3">
      <c r="A91" s="21">
        <v>46148</v>
      </c>
      <c r="B91" s="13" t="s">
        <v>430</v>
      </c>
      <c r="C91" s="13" t="s">
        <v>229</v>
      </c>
      <c r="D91" s="13" t="s">
        <v>13</v>
      </c>
      <c r="E91" s="14">
        <f>2099.561-336-60-10-181-90-35-25</f>
        <v>1362.5610000000001</v>
      </c>
      <c r="F91" s="15"/>
      <c r="G91" s="16">
        <f t="shared" si="33"/>
        <v>590.15599999999995</v>
      </c>
      <c r="H91" s="16">
        <v>1952.7170000000001</v>
      </c>
      <c r="I91" s="16">
        <v>2099.5610000000001</v>
      </c>
      <c r="J91" s="17" t="s">
        <v>21</v>
      </c>
      <c r="K91" s="76"/>
      <c r="L91" s="83">
        <f t="shared" ca="1" si="34"/>
        <v>13</v>
      </c>
      <c r="M91" s="80"/>
    </row>
    <row r="92" spans="1:13" ht="18.75" hidden="1" x14ac:dyDescent="0.3">
      <c r="A92" s="21">
        <v>45948</v>
      </c>
      <c r="B92" s="13" t="s">
        <v>267</v>
      </c>
      <c r="C92" s="13" t="s">
        <v>229</v>
      </c>
      <c r="D92" s="13" t="s">
        <v>9</v>
      </c>
      <c r="E92" s="14">
        <f>93.71-60-25</f>
        <v>8.7099999999999937</v>
      </c>
      <c r="F92" s="15"/>
      <c r="G92" s="16">
        <f t="shared" si="33"/>
        <v>2.3520000000000056</v>
      </c>
      <c r="H92" s="16">
        <v>11.061999999999999</v>
      </c>
      <c r="I92" s="16">
        <v>4979.1419999999998</v>
      </c>
      <c r="J92" s="17" t="s">
        <v>32</v>
      </c>
      <c r="K92" s="76"/>
      <c r="L92" s="83">
        <f t="shared" ca="1" si="34"/>
        <v>213</v>
      </c>
      <c r="M92" s="80"/>
    </row>
    <row r="93" spans="1:13" ht="18.75" hidden="1" x14ac:dyDescent="0.3">
      <c r="A93" s="22"/>
      <c r="B93" s="32" t="s">
        <v>27</v>
      </c>
      <c r="C93" s="13"/>
      <c r="D93" s="13"/>
      <c r="E93" s="23">
        <f>SUBTOTAL(9,E89:E92)</f>
        <v>0</v>
      </c>
      <c r="F93" s="24">
        <f>E93</f>
        <v>0</v>
      </c>
      <c r="G93" s="23">
        <f>SUBTOTAL(9,G89:G92)</f>
        <v>0</v>
      </c>
      <c r="H93" s="23">
        <f>SUBTOTAL(9,H89:H92)</f>
        <v>0</v>
      </c>
      <c r="I93" s="23"/>
      <c r="J93" s="17"/>
      <c r="K93" s="76"/>
      <c r="L93" s="17"/>
      <c r="M93" s="80"/>
    </row>
    <row r="94" spans="1:13" ht="18.75" hidden="1" x14ac:dyDescent="0.3">
      <c r="A94" s="22"/>
      <c r="B94" s="13"/>
      <c r="C94" s="13"/>
      <c r="D94" s="13"/>
      <c r="E94" s="14"/>
      <c r="F94" s="15"/>
      <c r="G94" s="15"/>
      <c r="H94" s="34"/>
      <c r="I94" s="34"/>
      <c r="J94" s="17"/>
      <c r="K94" s="76"/>
      <c r="L94" s="17"/>
      <c r="M94" s="80"/>
    </row>
    <row r="95" spans="1:13" ht="18.75" hidden="1" x14ac:dyDescent="0.3">
      <c r="A95" s="21">
        <v>46123</v>
      </c>
      <c r="B95" s="13" t="s">
        <v>383</v>
      </c>
      <c r="C95" s="13" t="s">
        <v>84</v>
      </c>
      <c r="D95" s="13" t="s">
        <v>9</v>
      </c>
      <c r="E95" s="14">
        <f>139.387-60+45-30-100</f>
        <v>-5.6129999999999995</v>
      </c>
      <c r="F95" s="15"/>
      <c r="G95" s="16">
        <f t="shared" ref="G95" si="35">H95-E95</f>
        <v>360.76</v>
      </c>
      <c r="H95" s="16">
        <v>355.14699999999999</v>
      </c>
      <c r="I95" s="16">
        <v>999.42700000000002</v>
      </c>
      <c r="J95" s="17" t="s">
        <v>47</v>
      </c>
      <c r="K95" s="76"/>
      <c r="L95" s="83">
        <f t="shared" ref="L95" ca="1" si="36">TODAY()-A95</f>
        <v>38</v>
      </c>
      <c r="M95" s="80"/>
    </row>
    <row r="96" spans="1:13" ht="18.75" hidden="1" x14ac:dyDescent="0.3">
      <c r="A96" s="22"/>
      <c r="B96" s="32" t="s">
        <v>27</v>
      </c>
      <c r="C96" s="13"/>
      <c r="D96" s="13"/>
      <c r="E96" s="23">
        <f>SUBTOTAL(9,E95:E95)</f>
        <v>0</v>
      </c>
      <c r="F96" s="24">
        <f>E96</f>
        <v>0</v>
      </c>
      <c r="G96" s="23">
        <f>SUBTOTAL(9,G95:G95)</f>
        <v>0</v>
      </c>
      <c r="H96" s="23">
        <f>SUBTOTAL(9,H95:H95)</f>
        <v>0</v>
      </c>
      <c r="I96" s="23"/>
      <c r="J96" s="17"/>
      <c r="K96" s="76"/>
      <c r="L96" s="17"/>
      <c r="M96" s="80"/>
    </row>
    <row r="97" spans="1:13" ht="18.75" hidden="1" x14ac:dyDescent="0.3">
      <c r="A97" s="22"/>
      <c r="B97" s="32"/>
      <c r="C97" s="13"/>
      <c r="D97" s="13"/>
      <c r="E97" s="23"/>
      <c r="F97" s="24"/>
      <c r="G97" s="23"/>
      <c r="H97" s="23"/>
      <c r="I97" s="23"/>
      <c r="J97" s="17"/>
      <c r="K97" s="76"/>
      <c r="L97" s="17"/>
      <c r="M97" s="80"/>
    </row>
    <row r="98" spans="1:13" ht="18.75" hidden="1" x14ac:dyDescent="0.3">
      <c r="A98" s="21">
        <v>46068</v>
      </c>
      <c r="B98" s="13" t="s">
        <v>319</v>
      </c>
      <c r="C98" s="13" t="s">
        <v>320</v>
      </c>
      <c r="D98" s="13" t="s">
        <v>9</v>
      </c>
      <c r="E98" s="14">
        <f>106.651-15-25-16</f>
        <v>50.650999999999996</v>
      </c>
      <c r="F98" s="15"/>
      <c r="G98" s="16">
        <f t="shared" ref="G98" si="37">H98-E98</f>
        <v>65.27000000000001</v>
      </c>
      <c r="H98" s="16">
        <v>115.92100000000001</v>
      </c>
      <c r="I98" s="16">
        <v>426.50099999999998</v>
      </c>
      <c r="J98" s="17" t="s">
        <v>32</v>
      </c>
      <c r="K98" s="76"/>
      <c r="L98" s="83">
        <f t="shared" ref="L98" ca="1" si="38">TODAY()-A98</f>
        <v>93</v>
      </c>
      <c r="M98" s="80"/>
    </row>
    <row r="99" spans="1:13" ht="18.75" hidden="1" x14ac:dyDescent="0.3">
      <c r="A99" s="22"/>
      <c r="B99" s="32"/>
      <c r="C99" s="13"/>
      <c r="D99" s="13"/>
      <c r="E99" s="23">
        <f>SUBTOTAL(9,E98:E98)</f>
        <v>0</v>
      </c>
      <c r="F99" s="24">
        <f>E99</f>
        <v>0</v>
      </c>
      <c r="G99" s="23">
        <f>SUBTOTAL(9,G98:G98)</f>
        <v>0</v>
      </c>
      <c r="H99" s="23">
        <f>SUBTOTAL(9,H98:H98)</f>
        <v>0</v>
      </c>
      <c r="I99" s="23"/>
      <c r="J99" s="17"/>
      <c r="K99" s="76"/>
      <c r="L99" s="17"/>
      <c r="M99" s="80"/>
    </row>
    <row r="100" spans="1:13" ht="18.75" hidden="1" x14ac:dyDescent="0.3">
      <c r="A100" s="22"/>
      <c r="B100" s="32"/>
      <c r="C100" s="13"/>
      <c r="D100" s="13"/>
      <c r="E100" s="15"/>
      <c r="F100" s="15"/>
      <c r="G100" s="15"/>
      <c r="H100" s="34"/>
      <c r="I100" s="34"/>
      <c r="J100" s="17"/>
      <c r="K100" s="76"/>
      <c r="L100" s="17"/>
      <c r="M100" s="80"/>
    </row>
    <row r="101" spans="1:13" ht="18.75" hidden="1" x14ac:dyDescent="0.3">
      <c r="A101" s="21">
        <v>46013</v>
      </c>
      <c r="B101" s="35" t="s">
        <v>291</v>
      </c>
      <c r="C101" s="35" t="s">
        <v>88</v>
      </c>
      <c r="D101" s="35" t="s">
        <v>9</v>
      </c>
      <c r="E101" s="16">
        <v>30.721</v>
      </c>
      <c r="F101" s="94"/>
      <c r="G101" s="16">
        <f t="shared" ref="G101:G117" si="39">H101-E101</f>
        <v>21.148999999999997</v>
      </c>
      <c r="H101" s="16">
        <v>51.87</v>
      </c>
      <c r="I101" s="16">
        <v>2838.95</v>
      </c>
      <c r="J101" s="17" t="s">
        <v>29</v>
      </c>
      <c r="K101" s="76"/>
      <c r="L101" s="83">
        <f t="shared" ref="L101:L117" ca="1" si="40">TODAY()-A101</f>
        <v>148</v>
      </c>
      <c r="M101" s="80"/>
    </row>
    <row r="102" spans="1:13" ht="18.75" hidden="1" x14ac:dyDescent="0.3">
      <c r="A102" s="21">
        <v>46091</v>
      </c>
      <c r="B102" s="35" t="s">
        <v>347</v>
      </c>
      <c r="C102" s="35" t="s">
        <v>88</v>
      </c>
      <c r="D102" s="35" t="s">
        <v>9</v>
      </c>
      <c r="E102" s="16">
        <f>1570.567-208.51-260</f>
        <v>1102.057</v>
      </c>
      <c r="F102" s="94"/>
      <c r="G102" s="16">
        <f t="shared" si="39"/>
        <v>362.30099999999993</v>
      </c>
      <c r="H102" s="16">
        <v>1464.3579999999999</v>
      </c>
      <c r="I102" s="16">
        <v>1575</v>
      </c>
      <c r="J102" s="17" t="s">
        <v>32</v>
      </c>
      <c r="K102" s="76"/>
      <c r="L102" s="83">
        <f t="shared" ca="1" si="40"/>
        <v>70</v>
      </c>
      <c r="M102" s="80"/>
    </row>
    <row r="103" spans="1:13" ht="18.75" hidden="1" x14ac:dyDescent="0.3">
      <c r="A103" s="21">
        <v>46095</v>
      </c>
      <c r="B103" s="35" t="s">
        <v>356</v>
      </c>
      <c r="C103" s="35" t="s">
        <v>88</v>
      </c>
      <c r="D103" s="35" t="s">
        <v>9</v>
      </c>
      <c r="E103" s="16">
        <v>0</v>
      </c>
      <c r="F103" s="94"/>
      <c r="G103" s="16">
        <f t="shared" si="39"/>
        <v>780.51599999999996</v>
      </c>
      <c r="H103" s="16">
        <v>780.51599999999996</v>
      </c>
      <c r="I103" s="16">
        <v>1275.9259999999999</v>
      </c>
      <c r="J103" s="17" t="s">
        <v>32</v>
      </c>
      <c r="K103" s="76"/>
      <c r="L103" s="83">
        <f t="shared" ca="1" si="40"/>
        <v>66</v>
      </c>
      <c r="M103" s="80"/>
    </row>
    <row r="104" spans="1:13" ht="18.75" hidden="1" x14ac:dyDescent="0.3">
      <c r="A104" s="21">
        <v>46095</v>
      </c>
      <c r="B104" s="35" t="s">
        <v>357</v>
      </c>
      <c r="C104" s="35" t="s">
        <v>88</v>
      </c>
      <c r="D104" s="35" t="s">
        <v>9</v>
      </c>
      <c r="E104" s="16">
        <v>0</v>
      </c>
      <c r="F104" s="94"/>
      <c r="G104" s="16">
        <f t="shared" si="39"/>
        <v>41.32</v>
      </c>
      <c r="H104" s="16">
        <v>41.32</v>
      </c>
      <c r="I104" s="16">
        <v>1000</v>
      </c>
      <c r="J104" s="17" t="s">
        <v>47</v>
      </c>
      <c r="K104" s="76"/>
      <c r="L104" s="83">
        <f t="shared" ca="1" si="40"/>
        <v>66</v>
      </c>
      <c r="M104" s="80"/>
    </row>
    <row r="105" spans="1:13" ht="18.75" hidden="1" x14ac:dyDescent="0.3">
      <c r="A105" s="21">
        <v>46136</v>
      </c>
      <c r="B105" s="35" t="s">
        <v>402</v>
      </c>
      <c r="C105" s="35" t="s">
        <v>88</v>
      </c>
      <c r="D105" s="35" t="s">
        <v>9</v>
      </c>
      <c r="E105" s="16">
        <f>1970.256</f>
        <v>1970.2560000000001</v>
      </c>
      <c r="F105" s="94"/>
      <c r="G105" s="16">
        <f t="shared" si="39"/>
        <v>0</v>
      </c>
      <c r="H105" s="16">
        <f>1960.109+10.147</f>
        <v>1970.2559999999999</v>
      </c>
      <c r="I105" s="16">
        <v>1984.7159999999999</v>
      </c>
      <c r="J105" s="17" t="s">
        <v>416</v>
      </c>
      <c r="K105" s="76"/>
      <c r="L105" s="83">
        <f t="shared" ca="1" si="40"/>
        <v>25</v>
      </c>
      <c r="M105" s="80"/>
    </row>
    <row r="106" spans="1:13" ht="18.75" hidden="1" x14ac:dyDescent="0.3">
      <c r="A106" s="95">
        <v>46045</v>
      </c>
      <c r="B106" s="96" t="s">
        <v>303</v>
      </c>
      <c r="C106" s="96" t="s">
        <v>88</v>
      </c>
      <c r="D106" s="96" t="s">
        <v>9</v>
      </c>
      <c r="E106" s="101">
        <v>251.68100000000001</v>
      </c>
      <c r="F106" s="104"/>
      <c r="G106" s="97">
        <f t="shared" si="39"/>
        <v>74.84</v>
      </c>
      <c r="H106" s="97">
        <v>326.52100000000002</v>
      </c>
      <c r="I106" s="97">
        <v>2084.1410000000001</v>
      </c>
      <c r="J106" s="99" t="s">
        <v>32</v>
      </c>
      <c r="K106" s="100" t="s">
        <v>240</v>
      </c>
      <c r="L106" s="114">
        <f t="shared" ca="1" si="40"/>
        <v>116</v>
      </c>
      <c r="M106" s="80"/>
    </row>
    <row r="107" spans="1:13" ht="18.75" hidden="1" x14ac:dyDescent="0.3">
      <c r="A107" s="95">
        <v>46085</v>
      </c>
      <c r="B107" s="96" t="s">
        <v>338</v>
      </c>
      <c r="C107" s="96" t="s">
        <v>88</v>
      </c>
      <c r="D107" s="96" t="s">
        <v>9</v>
      </c>
      <c r="E107" s="101">
        <v>3659.5459999999998</v>
      </c>
      <c r="F107" s="104"/>
      <c r="G107" s="97">
        <f t="shared" si="39"/>
        <v>333.68000000000029</v>
      </c>
      <c r="H107" s="97">
        <v>3993.2260000000001</v>
      </c>
      <c r="I107" s="97">
        <v>5700</v>
      </c>
      <c r="J107" s="99" t="s">
        <v>339</v>
      </c>
      <c r="K107" s="100" t="s">
        <v>240</v>
      </c>
      <c r="L107" s="114">
        <f t="shared" ca="1" si="40"/>
        <v>76</v>
      </c>
      <c r="M107" s="80"/>
    </row>
    <row r="108" spans="1:13" ht="18.75" hidden="1" x14ac:dyDescent="0.3">
      <c r="A108" s="21">
        <v>46009</v>
      </c>
      <c r="B108" s="13" t="s">
        <v>286</v>
      </c>
      <c r="C108" s="13" t="s">
        <v>88</v>
      </c>
      <c r="D108" s="13" t="s">
        <v>13</v>
      </c>
      <c r="E108" s="14">
        <v>0</v>
      </c>
      <c r="F108" s="15"/>
      <c r="G108" s="16">
        <f t="shared" si="39"/>
        <v>0.751</v>
      </c>
      <c r="H108" s="16">
        <v>0.751</v>
      </c>
      <c r="I108" s="16">
        <v>1416.0609999999999</v>
      </c>
      <c r="J108" s="17" t="s">
        <v>21</v>
      </c>
      <c r="K108" s="76"/>
      <c r="L108" s="83">
        <f t="shared" ca="1" si="40"/>
        <v>152</v>
      </c>
      <c r="M108" s="80"/>
    </row>
    <row r="109" spans="1:13" ht="18.75" hidden="1" x14ac:dyDescent="0.3">
      <c r="A109" s="21">
        <v>46082</v>
      </c>
      <c r="B109" s="13" t="s">
        <v>345</v>
      </c>
      <c r="C109" s="13" t="s">
        <v>88</v>
      </c>
      <c r="D109" s="13" t="s">
        <v>13</v>
      </c>
      <c r="E109" s="14">
        <v>0</v>
      </c>
      <c r="F109" s="15"/>
      <c r="G109" s="16">
        <f t="shared" si="39"/>
        <v>379.87099999999987</v>
      </c>
      <c r="H109" s="16">
        <f>1350.001-125.19-24.63-53.5-103.2-59.3-79.56-276.64-126.04-108.08-13.99</f>
        <v>379.87099999999987</v>
      </c>
      <c r="I109" s="16">
        <v>1895.021</v>
      </c>
      <c r="J109" s="17" t="s">
        <v>21</v>
      </c>
      <c r="K109" s="76"/>
      <c r="L109" s="83">
        <f t="shared" ca="1" si="40"/>
        <v>79</v>
      </c>
      <c r="M109" s="80"/>
    </row>
    <row r="110" spans="1:13" ht="18.75" hidden="1" x14ac:dyDescent="0.3">
      <c r="A110" s="21">
        <v>46082</v>
      </c>
      <c r="B110" s="13" t="s">
        <v>346</v>
      </c>
      <c r="C110" s="13" t="s">
        <v>88</v>
      </c>
      <c r="D110" s="13" t="s">
        <v>13</v>
      </c>
      <c r="E110" s="14">
        <f>1904.769-118-700-160-20</f>
        <v>906.76900000000001</v>
      </c>
      <c r="F110" s="15"/>
      <c r="G110" s="16">
        <f t="shared" si="39"/>
        <v>998</v>
      </c>
      <c r="H110" s="16">
        <v>1904.769</v>
      </c>
      <c r="I110" s="16">
        <v>1904.769</v>
      </c>
      <c r="J110" s="17" t="s">
        <v>21</v>
      </c>
      <c r="K110" s="76"/>
      <c r="L110" s="83">
        <f t="shared" ca="1" si="40"/>
        <v>79</v>
      </c>
      <c r="M110" s="80"/>
    </row>
    <row r="111" spans="1:13" ht="18.75" hidden="1" x14ac:dyDescent="0.3">
      <c r="A111" s="95">
        <v>46041</v>
      </c>
      <c r="B111" s="96" t="s">
        <v>299</v>
      </c>
      <c r="C111" s="96" t="s">
        <v>88</v>
      </c>
      <c r="D111" s="96" t="s">
        <v>13</v>
      </c>
      <c r="E111" s="101">
        <v>0</v>
      </c>
      <c r="F111" s="104"/>
      <c r="G111" s="97">
        <f t="shared" si="39"/>
        <v>4.9580000000000002</v>
      </c>
      <c r="H111" s="97">
        <v>4.9580000000000002</v>
      </c>
      <c r="I111" s="97">
        <v>1007.468</v>
      </c>
      <c r="J111" s="99" t="s">
        <v>21</v>
      </c>
      <c r="K111" s="100" t="s">
        <v>240</v>
      </c>
      <c r="L111" s="114">
        <f t="shared" ca="1" si="40"/>
        <v>120</v>
      </c>
      <c r="M111" s="80"/>
    </row>
    <row r="112" spans="1:13" ht="18.75" hidden="1" x14ac:dyDescent="0.3">
      <c r="A112" s="95">
        <v>46041</v>
      </c>
      <c r="B112" s="96" t="s">
        <v>300</v>
      </c>
      <c r="C112" s="96" t="s">
        <v>88</v>
      </c>
      <c r="D112" s="96" t="s">
        <v>13</v>
      </c>
      <c r="E112" s="101">
        <v>0</v>
      </c>
      <c r="F112" s="104"/>
      <c r="G112" s="97">
        <f t="shared" si="39"/>
        <v>0.30399999999999999</v>
      </c>
      <c r="H112" s="97">
        <v>0.30399999999999999</v>
      </c>
      <c r="I112" s="97">
        <v>2999.3339999999998</v>
      </c>
      <c r="J112" s="99" t="s">
        <v>21</v>
      </c>
      <c r="K112" s="100" t="s">
        <v>240</v>
      </c>
      <c r="L112" s="114">
        <f t="shared" ca="1" si="40"/>
        <v>120</v>
      </c>
      <c r="M112" s="80"/>
    </row>
    <row r="113" spans="1:13" ht="18.75" hidden="1" x14ac:dyDescent="0.3">
      <c r="A113" s="95">
        <v>46078</v>
      </c>
      <c r="B113" s="96" t="s">
        <v>329</v>
      </c>
      <c r="C113" s="96" t="s">
        <v>88</v>
      </c>
      <c r="D113" s="96" t="s">
        <v>13</v>
      </c>
      <c r="E113" s="101">
        <v>-77.524000000000001</v>
      </c>
      <c r="F113" s="104"/>
      <c r="G113" s="97">
        <f t="shared" si="39"/>
        <v>84.308000000000007</v>
      </c>
      <c r="H113" s="97">
        <v>6.7839999999999998</v>
      </c>
      <c r="I113" s="97">
        <v>1010.135</v>
      </c>
      <c r="J113" s="99" t="s">
        <v>21</v>
      </c>
      <c r="K113" s="100" t="s">
        <v>240</v>
      </c>
      <c r="L113" s="114">
        <f t="shared" ca="1" si="40"/>
        <v>83</v>
      </c>
      <c r="M113" s="80"/>
    </row>
    <row r="114" spans="1:13" ht="18.75" hidden="1" x14ac:dyDescent="0.3">
      <c r="A114" s="95">
        <v>46078</v>
      </c>
      <c r="B114" s="96" t="s">
        <v>328</v>
      </c>
      <c r="C114" s="96" t="s">
        <v>88</v>
      </c>
      <c r="D114" s="96" t="s">
        <v>13</v>
      </c>
      <c r="E114" s="101">
        <v>0</v>
      </c>
      <c r="F114" s="104"/>
      <c r="G114" s="97">
        <f t="shared" si="39"/>
        <v>3.202</v>
      </c>
      <c r="H114" s="97">
        <v>3.202</v>
      </c>
      <c r="I114" s="97">
        <v>1992.1869999999999</v>
      </c>
      <c r="J114" s="99" t="s">
        <v>21</v>
      </c>
      <c r="K114" s="100" t="s">
        <v>240</v>
      </c>
      <c r="L114" s="114">
        <f t="shared" ca="1" si="40"/>
        <v>83</v>
      </c>
      <c r="M114" s="80"/>
    </row>
    <row r="115" spans="1:13" ht="18.75" hidden="1" x14ac:dyDescent="0.3">
      <c r="A115" s="21">
        <v>46060</v>
      </c>
      <c r="B115" s="13" t="s">
        <v>310</v>
      </c>
      <c r="C115" s="13" t="s">
        <v>88</v>
      </c>
      <c r="D115" s="13" t="s">
        <v>19</v>
      </c>
      <c r="E115" s="14">
        <v>0</v>
      </c>
      <c r="F115" s="15"/>
      <c r="G115" s="16">
        <f t="shared" si="39"/>
        <v>46.286000000000001</v>
      </c>
      <c r="H115" s="16">
        <v>46.286000000000001</v>
      </c>
      <c r="I115" s="16">
        <v>1911.7260000000001</v>
      </c>
      <c r="J115" s="17" t="s">
        <v>26</v>
      </c>
      <c r="K115" s="76"/>
      <c r="L115" s="83">
        <f t="shared" ca="1" si="40"/>
        <v>101</v>
      </c>
      <c r="M115" s="80"/>
    </row>
    <row r="116" spans="1:13" ht="18.75" hidden="1" x14ac:dyDescent="0.3">
      <c r="A116" s="21">
        <v>46131</v>
      </c>
      <c r="B116" s="13" t="s">
        <v>395</v>
      </c>
      <c r="C116" s="13" t="s">
        <v>88</v>
      </c>
      <c r="D116" s="13" t="s">
        <v>19</v>
      </c>
      <c r="E116" s="14">
        <f>1048.539-178-216-510-50-73-16-250</f>
        <v>-244.46100000000001</v>
      </c>
      <c r="F116" s="15"/>
      <c r="G116" s="16">
        <f t="shared" si="39"/>
        <v>355.19600000000003</v>
      </c>
      <c r="H116" s="16">
        <v>110.735</v>
      </c>
      <c r="I116" s="16">
        <v>1048.539</v>
      </c>
      <c r="J116" s="17" t="s">
        <v>26</v>
      </c>
      <c r="K116" s="76"/>
      <c r="L116" s="83">
        <f t="shared" ca="1" si="40"/>
        <v>30</v>
      </c>
      <c r="M116" s="80"/>
    </row>
    <row r="117" spans="1:13" ht="18.75" hidden="1" x14ac:dyDescent="0.3">
      <c r="A117" s="21">
        <v>46086</v>
      </c>
      <c r="B117" s="13" t="s">
        <v>337</v>
      </c>
      <c r="C117" s="13" t="s">
        <v>88</v>
      </c>
      <c r="D117" s="13" t="s">
        <v>166</v>
      </c>
      <c r="E117" s="14">
        <f>93.713-120</f>
        <v>-26.287000000000006</v>
      </c>
      <c r="F117" s="15"/>
      <c r="G117" s="16">
        <f t="shared" si="39"/>
        <v>555.14</v>
      </c>
      <c r="H117" s="16">
        <v>528.85299999999995</v>
      </c>
      <c r="I117" s="16">
        <v>2100</v>
      </c>
      <c r="J117" s="17" t="s">
        <v>167</v>
      </c>
      <c r="K117" s="76"/>
      <c r="L117" s="83">
        <f t="shared" ca="1" si="40"/>
        <v>75</v>
      </c>
      <c r="M117" s="80"/>
    </row>
    <row r="118" spans="1:13" ht="18.75" hidden="1" x14ac:dyDescent="0.3">
      <c r="A118" s="22"/>
      <c r="B118" s="32" t="s">
        <v>27</v>
      </c>
      <c r="C118" s="13"/>
      <c r="D118" s="13"/>
      <c r="E118" s="23">
        <f>SUBTOTAL(9,E101:E117)</f>
        <v>0</v>
      </c>
      <c r="F118" s="24">
        <f>E118</f>
        <v>0</v>
      </c>
      <c r="G118" s="23">
        <f>SUBTOTAL(9,G101:G117)</f>
        <v>0</v>
      </c>
      <c r="H118" s="23">
        <f>SUBTOTAL(9,H101:H117)</f>
        <v>0</v>
      </c>
      <c r="I118" s="23"/>
      <c r="J118" s="17"/>
      <c r="K118" s="76"/>
      <c r="L118" s="17"/>
      <c r="M118" s="80"/>
    </row>
    <row r="119" spans="1:13" ht="18.75" hidden="1" x14ac:dyDescent="0.3">
      <c r="A119" s="22"/>
      <c r="B119" s="13"/>
      <c r="C119" s="13"/>
      <c r="D119" s="13"/>
      <c r="E119" s="14"/>
      <c r="F119" s="15"/>
      <c r="G119" s="15"/>
      <c r="H119" s="23"/>
      <c r="I119" s="23"/>
      <c r="J119" s="17"/>
      <c r="K119" s="76"/>
      <c r="L119" s="17"/>
      <c r="M119" s="80"/>
    </row>
    <row r="120" spans="1:13" ht="19.5" hidden="1" customHeight="1" x14ac:dyDescent="0.3">
      <c r="A120" s="21">
        <v>46107</v>
      </c>
      <c r="B120" s="32" t="s">
        <v>381</v>
      </c>
      <c r="C120" s="13" t="s">
        <v>99</v>
      </c>
      <c r="D120" s="13" t="s">
        <v>13</v>
      </c>
      <c r="E120" s="14">
        <f>500-156-100-155+120+60+30+40-110-100-75-100-30-50+30+50+50</f>
        <v>4</v>
      </c>
      <c r="F120" s="24"/>
      <c r="G120" s="16">
        <f t="shared" ref="G120:G121" si="41">H120-E120</f>
        <v>101.038</v>
      </c>
      <c r="H120" s="16">
        <v>105.038</v>
      </c>
      <c r="I120" s="16">
        <v>500</v>
      </c>
      <c r="J120" s="17" t="s">
        <v>21</v>
      </c>
      <c r="K120" s="76"/>
      <c r="L120" s="83">
        <f t="shared" ref="L120:L121" ca="1" si="42">TODAY()-A120</f>
        <v>54</v>
      </c>
      <c r="M120" s="80"/>
    </row>
    <row r="121" spans="1:13" ht="19.5" customHeight="1" x14ac:dyDescent="0.3">
      <c r="A121" s="126">
        <v>46140</v>
      </c>
      <c r="B121" s="127" t="s">
        <v>413</v>
      </c>
      <c r="C121" s="127" t="s">
        <v>99</v>
      </c>
      <c r="D121" s="127" t="s">
        <v>13</v>
      </c>
      <c r="E121" s="128">
        <f>1494.536-60-175-30-23-200+32.4-20-152-50-50-121-85-430-55</f>
        <v>75.936000000000149</v>
      </c>
      <c r="F121" s="136"/>
      <c r="G121" s="130">
        <f t="shared" si="41"/>
        <v>1129.6599999999999</v>
      </c>
      <c r="H121" s="130">
        <v>1205.596</v>
      </c>
      <c r="I121" s="130">
        <v>1494.5360000000001</v>
      </c>
      <c r="J121" s="131" t="s">
        <v>21</v>
      </c>
      <c r="K121" s="132" t="s">
        <v>340</v>
      </c>
      <c r="L121" s="133">
        <f t="shared" ca="1" si="42"/>
        <v>21</v>
      </c>
      <c r="M121" s="80"/>
    </row>
    <row r="122" spans="1:13" ht="19.5" hidden="1" customHeight="1" x14ac:dyDescent="0.3">
      <c r="A122" s="21"/>
      <c r="B122" s="32" t="s">
        <v>27</v>
      </c>
      <c r="C122" s="13"/>
      <c r="D122" s="13"/>
      <c r="E122" s="23">
        <f>SUBTOTAL(9,E120:E121)</f>
        <v>75.936000000000149</v>
      </c>
      <c r="F122" s="24">
        <f>E122</f>
        <v>75.936000000000149</v>
      </c>
      <c r="G122" s="23">
        <f>SUBTOTAL(9,G120:G121)</f>
        <v>1129.6599999999999</v>
      </c>
      <c r="H122" s="23">
        <f>SUBTOTAL(9,H120:H121)</f>
        <v>1205.596</v>
      </c>
      <c r="I122" s="23"/>
      <c r="J122" s="17"/>
      <c r="K122" s="76"/>
      <c r="L122" s="17"/>
      <c r="M122" s="80"/>
    </row>
    <row r="123" spans="1:13" ht="18.75" hidden="1" x14ac:dyDescent="0.3">
      <c r="A123" s="22"/>
      <c r="B123" s="32"/>
      <c r="C123" s="13"/>
      <c r="D123" s="13"/>
      <c r="E123" s="15"/>
      <c r="F123" s="15"/>
      <c r="G123" s="15"/>
      <c r="H123" s="23"/>
      <c r="I123" s="23"/>
      <c r="J123" s="17"/>
      <c r="K123" s="76"/>
      <c r="L123" s="17"/>
      <c r="M123" s="80"/>
    </row>
    <row r="124" spans="1:13" ht="18.75" hidden="1" x14ac:dyDescent="0.3">
      <c r="A124" s="21">
        <v>45989</v>
      </c>
      <c r="B124" s="13" t="s">
        <v>280</v>
      </c>
      <c r="C124" s="13" t="s">
        <v>108</v>
      </c>
      <c r="D124" s="13" t="s">
        <v>9</v>
      </c>
      <c r="E124" s="14">
        <v>0</v>
      </c>
      <c r="F124" s="15"/>
      <c r="G124" s="16">
        <f t="shared" ref="G124:G125" si="43">H124-E124</f>
        <v>0.49399999999999999</v>
      </c>
      <c r="H124" s="16">
        <v>0.49399999999999999</v>
      </c>
      <c r="I124" s="16">
        <v>487.03500000000003</v>
      </c>
      <c r="J124" s="17" t="s">
        <v>32</v>
      </c>
      <c r="K124" s="76"/>
      <c r="L124" s="83">
        <f t="shared" ref="L124:L125" ca="1" si="44">TODAY()-A124</f>
        <v>172</v>
      </c>
      <c r="M124" s="80"/>
    </row>
    <row r="125" spans="1:13" ht="18.75" hidden="1" x14ac:dyDescent="0.3">
      <c r="A125" s="21">
        <v>46069</v>
      </c>
      <c r="B125" s="13" t="s">
        <v>317</v>
      </c>
      <c r="C125" s="13" t="s">
        <v>108</v>
      </c>
      <c r="D125" s="13" t="s">
        <v>13</v>
      </c>
      <c r="E125" s="14">
        <v>-2.8660000000000001</v>
      </c>
      <c r="F125" s="15"/>
      <c r="G125" s="16">
        <f t="shared" si="43"/>
        <v>4.149</v>
      </c>
      <c r="H125" s="16">
        <v>1.2829999999999999</v>
      </c>
      <c r="I125" s="16">
        <v>300</v>
      </c>
      <c r="J125" s="17" t="s">
        <v>21</v>
      </c>
      <c r="K125" s="76"/>
      <c r="L125" s="83">
        <f t="shared" ca="1" si="44"/>
        <v>92</v>
      </c>
      <c r="M125" s="80"/>
    </row>
    <row r="126" spans="1:13" ht="18.75" hidden="1" x14ac:dyDescent="0.3">
      <c r="A126" s="22"/>
      <c r="B126" s="32" t="s">
        <v>27</v>
      </c>
      <c r="C126" s="13"/>
      <c r="D126" s="13"/>
      <c r="E126" s="23">
        <f>SUBTOTAL(9,E124:E125)</f>
        <v>0</v>
      </c>
      <c r="F126" s="24">
        <f>E126</f>
        <v>0</v>
      </c>
      <c r="G126" s="23">
        <f>SUBTOTAL(9,G124:G125)</f>
        <v>0</v>
      </c>
      <c r="H126" s="23">
        <f>SUBTOTAL(9,H124:H125)</f>
        <v>0</v>
      </c>
      <c r="I126" s="23"/>
      <c r="J126" s="17"/>
      <c r="K126" s="76"/>
      <c r="L126" s="17"/>
      <c r="M126" s="80"/>
    </row>
    <row r="127" spans="1:13" ht="18.75" hidden="1" x14ac:dyDescent="0.3">
      <c r="A127" s="22"/>
      <c r="B127" s="32"/>
      <c r="C127" s="13"/>
      <c r="D127" s="13"/>
      <c r="E127" s="15"/>
      <c r="F127" s="15"/>
      <c r="G127" s="15"/>
      <c r="H127" s="34"/>
      <c r="I127" s="34"/>
      <c r="J127" s="17"/>
      <c r="K127" s="76"/>
      <c r="L127" s="17"/>
      <c r="M127" s="80"/>
    </row>
    <row r="128" spans="1:13" ht="18.75" hidden="1" x14ac:dyDescent="0.3">
      <c r="A128" s="21">
        <v>46075</v>
      </c>
      <c r="B128" s="13" t="s">
        <v>326</v>
      </c>
      <c r="C128" s="13" t="s">
        <v>228</v>
      </c>
      <c r="D128" s="13" t="s">
        <v>13</v>
      </c>
      <c r="E128" s="14">
        <v>0</v>
      </c>
      <c r="F128" s="15"/>
      <c r="G128" s="16">
        <f t="shared" ref="G128:G130" si="45">H128-E128</f>
        <v>12.398</v>
      </c>
      <c r="H128" s="16">
        <v>12.398</v>
      </c>
      <c r="I128" s="16">
        <v>1045.711</v>
      </c>
      <c r="J128" s="17" t="s">
        <v>21</v>
      </c>
      <c r="K128" s="76"/>
      <c r="L128" s="83">
        <f t="shared" ref="L128:L130" ca="1" si="46">TODAY()-A128</f>
        <v>86</v>
      </c>
      <c r="M128" s="80"/>
    </row>
    <row r="129" spans="1:13" ht="18.75" hidden="1" x14ac:dyDescent="0.3">
      <c r="A129" s="21">
        <v>46131</v>
      </c>
      <c r="B129" s="13" t="s">
        <v>391</v>
      </c>
      <c r="C129" s="13" t="s">
        <v>228</v>
      </c>
      <c r="D129" s="13" t="s">
        <v>13</v>
      </c>
      <c r="E129" s="14">
        <f>472.89-100-22+22-25-45-20-128-20</f>
        <v>134.88999999999999</v>
      </c>
      <c r="F129" s="15"/>
      <c r="G129" s="16">
        <f t="shared" si="45"/>
        <v>260.44</v>
      </c>
      <c r="H129" s="16">
        <v>395.33</v>
      </c>
      <c r="I129" s="16">
        <v>472.89</v>
      </c>
      <c r="J129" s="17" t="s">
        <v>21</v>
      </c>
      <c r="K129" s="76"/>
      <c r="L129" s="83">
        <f t="shared" ca="1" si="46"/>
        <v>30</v>
      </c>
      <c r="M129" s="80"/>
    </row>
    <row r="130" spans="1:13" ht="18.75" hidden="1" x14ac:dyDescent="0.3">
      <c r="A130" s="21">
        <v>46128</v>
      </c>
      <c r="B130" s="13" t="s">
        <v>390</v>
      </c>
      <c r="C130" s="13" t="s">
        <v>228</v>
      </c>
      <c r="D130" s="13" t="s">
        <v>16</v>
      </c>
      <c r="E130" s="14">
        <f>948.442-200-27-21-14.5-46-25-35-12-10-46.6-12-85-26</f>
        <v>388.34199999999998</v>
      </c>
      <c r="F130" s="15"/>
      <c r="G130" s="16">
        <f t="shared" si="45"/>
        <v>344.31000000000006</v>
      </c>
      <c r="H130" s="16">
        <v>732.65200000000004</v>
      </c>
      <c r="I130" s="16">
        <v>948.44200000000001</v>
      </c>
      <c r="J130" s="17" t="s">
        <v>26</v>
      </c>
      <c r="K130" s="76"/>
      <c r="L130" s="83">
        <f t="shared" ca="1" si="46"/>
        <v>33</v>
      </c>
      <c r="M130" s="80"/>
    </row>
    <row r="131" spans="1:13" ht="18.75" hidden="1" x14ac:dyDescent="0.3">
      <c r="A131" s="22"/>
      <c r="B131" s="32" t="s">
        <v>27</v>
      </c>
      <c r="C131" s="13"/>
      <c r="D131" s="13"/>
      <c r="E131" s="23">
        <f>SUBTOTAL(9,E128:E130)</f>
        <v>0</v>
      </c>
      <c r="F131" s="24">
        <f>E131</f>
        <v>0</v>
      </c>
      <c r="G131" s="23">
        <f>SUBTOTAL(9,G128:G130)</f>
        <v>0</v>
      </c>
      <c r="H131" s="23">
        <f>SUBTOTAL(9,H128:H130)</f>
        <v>0</v>
      </c>
      <c r="I131" s="23"/>
      <c r="J131" s="17"/>
      <c r="K131" s="76"/>
      <c r="L131" s="17"/>
      <c r="M131" s="80"/>
    </row>
    <row r="132" spans="1:13" ht="18.75" hidden="1" x14ac:dyDescent="0.3">
      <c r="A132" s="22"/>
      <c r="B132" s="35"/>
      <c r="C132" s="13"/>
      <c r="D132" s="13"/>
      <c r="E132" s="15"/>
      <c r="F132" s="15"/>
      <c r="G132" s="15"/>
      <c r="H132" s="34"/>
      <c r="I132" s="34"/>
      <c r="J132" s="17"/>
      <c r="K132" s="76"/>
      <c r="L132" s="17"/>
      <c r="M132" s="80"/>
    </row>
    <row r="133" spans="1:13" ht="18.75" hidden="1" x14ac:dyDescent="0.3">
      <c r="A133" s="21">
        <v>45937</v>
      </c>
      <c r="B133" s="13" t="s">
        <v>262</v>
      </c>
      <c r="C133" s="13" t="s">
        <v>122</v>
      </c>
      <c r="D133" s="13" t="s">
        <v>9</v>
      </c>
      <c r="E133" s="14">
        <v>19.943999999999999</v>
      </c>
      <c r="F133" s="15"/>
      <c r="G133" s="16">
        <f t="shared" ref="G133:G140" si="47">H133-E133</f>
        <v>0</v>
      </c>
      <c r="H133" s="16">
        <v>19.943999999999999</v>
      </c>
      <c r="I133" s="16">
        <v>3136.0839999999998</v>
      </c>
      <c r="J133" s="17" t="s">
        <v>32</v>
      </c>
      <c r="K133" s="76"/>
      <c r="L133" s="83">
        <f t="shared" ref="L133:L140" ca="1" si="48">TODAY()-A133</f>
        <v>224</v>
      </c>
      <c r="M133" s="80"/>
    </row>
    <row r="134" spans="1:13" ht="18.75" hidden="1" x14ac:dyDescent="0.3">
      <c r="A134" s="21">
        <v>46054</v>
      </c>
      <c r="B134" s="13" t="s">
        <v>316</v>
      </c>
      <c r="C134" s="13" t="s">
        <v>122</v>
      </c>
      <c r="D134" s="13" t="s">
        <v>9</v>
      </c>
      <c r="E134" s="14">
        <v>0.3</v>
      </c>
      <c r="F134" s="15"/>
      <c r="G134" s="16">
        <f t="shared" si="47"/>
        <v>19.099999999999998</v>
      </c>
      <c r="H134" s="16">
        <v>19.399999999999999</v>
      </c>
      <c r="I134" s="16">
        <v>199.7</v>
      </c>
      <c r="J134" s="17" t="s">
        <v>29</v>
      </c>
      <c r="K134" s="76"/>
      <c r="L134" s="83">
        <f t="shared" ca="1" si="48"/>
        <v>107</v>
      </c>
      <c r="M134" s="80"/>
    </row>
    <row r="135" spans="1:13" ht="18.75" hidden="1" x14ac:dyDescent="0.3">
      <c r="A135" s="21">
        <v>46131</v>
      </c>
      <c r="B135" s="13" t="s">
        <v>397</v>
      </c>
      <c r="C135" s="13" t="s">
        <v>122</v>
      </c>
      <c r="D135" s="13" t="s">
        <v>9</v>
      </c>
      <c r="E135" s="14">
        <f>1219.877</f>
        <v>1219.877</v>
      </c>
      <c r="F135" s="15"/>
      <c r="G135" s="16">
        <f t="shared" si="47"/>
        <v>500</v>
      </c>
      <c r="H135" s="16">
        <v>1719.877</v>
      </c>
      <c r="I135" s="16">
        <v>1725</v>
      </c>
      <c r="J135" s="17" t="s">
        <v>459</v>
      </c>
      <c r="K135" s="76"/>
      <c r="L135" s="83">
        <f t="shared" ca="1" si="48"/>
        <v>30</v>
      </c>
      <c r="M135" s="80"/>
    </row>
    <row r="136" spans="1:13" ht="18.75" hidden="1" x14ac:dyDescent="0.3">
      <c r="A136" s="21">
        <v>46131</v>
      </c>
      <c r="B136" s="13" t="s">
        <v>398</v>
      </c>
      <c r="C136" s="13" t="s">
        <v>122</v>
      </c>
      <c r="D136" s="13" t="s">
        <v>9</v>
      </c>
      <c r="E136" s="14">
        <v>122.851</v>
      </c>
      <c r="F136" s="15"/>
      <c r="G136" s="16">
        <f t="shared" ref="G136:G138" si="49">H136-E136</f>
        <v>716.54700000000003</v>
      </c>
      <c r="H136" s="16">
        <v>839.39800000000002</v>
      </c>
      <c r="I136" s="16">
        <v>947.17899999999997</v>
      </c>
      <c r="J136" s="17" t="s">
        <v>29</v>
      </c>
      <c r="K136" s="76"/>
      <c r="L136" s="83">
        <f t="shared" ref="L136:L138" ca="1" si="50">TODAY()-A136</f>
        <v>30</v>
      </c>
      <c r="M136" s="80"/>
    </row>
    <row r="137" spans="1:13" ht="18.75" hidden="1" x14ac:dyDescent="0.3">
      <c r="A137" s="21">
        <v>46136</v>
      </c>
      <c r="B137" s="13" t="s">
        <v>407</v>
      </c>
      <c r="C137" s="13" t="s">
        <v>122</v>
      </c>
      <c r="D137" s="13" t="s">
        <v>9</v>
      </c>
      <c r="E137" s="14">
        <v>313.59300000000002</v>
      </c>
      <c r="F137" s="15"/>
      <c r="G137" s="16">
        <f t="shared" si="49"/>
        <v>0</v>
      </c>
      <c r="H137" s="16">
        <v>313.59300000000002</v>
      </c>
      <c r="I137" s="16">
        <v>313.59300000000002</v>
      </c>
      <c r="J137" s="17" t="s">
        <v>32</v>
      </c>
      <c r="K137" s="76"/>
      <c r="L137" s="85">
        <f t="shared" ca="1" si="50"/>
        <v>25</v>
      </c>
      <c r="M137" s="80"/>
    </row>
    <row r="138" spans="1:13" ht="18.75" hidden="1" x14ac:dyDescent="0.3">
      <c r="A138" s="21">
        <v>46144</v>
      </c>
      <c r="B138" s="13" t="s">
        <v>410</v>
      </c>
      <c r="C138" s="13" t="s">
        <v>122</v>
      </c>
      <c r="D138" s="13" t="s">
        <v>9</v>
      </c>
      <c r="E138" s="14">
        <v>2871.8339999999998</v>
      </c>
      <c r="F138" s="15"/>
      <c r="G138" s="16">
        <f t="shared" si="49"/>
        <v>0</v>
      </c>
      <c r="H138" s="16">
        <v>2871.8339999999998</v>
      </c>
      <c r="I138" s="16">
        <v>2871.8339999999998</v>
      </c>
      <c r="J138" s="17" t="s">
        <v>298</v>
      </c>
      <c r="K138" s="76"/>
      <c r="L138" s="85">
        <f t="shared" ca="1" si="50"/>
        <v>17</v>
      </c>
      <c r="M138" s="80"/>
    </row>
    <row r="139" spans="1:13" ht="18.75" hidden="1" x14ac:dyDescent="0.3">
      <c r="A139" s="21">
        <v>46144</v>
      </c>
      <c r="B139" s="13" t="s">
        <v>411</v>
      </c>
      <c r="C139" s="13" t="s">
        <v>122</v>
      </c>
      <c r="D139" s="13" t="s">
        <v>9</v>
      </c>
      <c r="E139" s="14">
        <v>969.38099999999997</v>
      </c>
      <c r="F139" s="15"/>
      <c r="G139" s="16">
        <f t="shared" ref="G139" si="51">H139-E139</f>
        <v>0</v>
      </c>
      <c r="H139" s="16">
        <v>969.38099999999997</v>
      </c>
      <c r="I139" s="16">
        <v>969.38099999999997</v>
      </c>
      <c r="J139" s="17" t="s">
        <v>298</v>
      </c>
      <c r="K139" s="76"/>
      <c r="L139" s="85">
        <f t="shared" ref="L139" ca="1" si="52">TODAY()-A139</f>
        <v>17</v>
      </c>
      <c r="M139" s="80"/>
    </row>
    <row r="140" spans="1:13" ht="18.75" hidden="1" x14ac:dyDescent="0.3">
      <c r="A140" s="95">
        <v>45980</v>
      </c>
      <c r="B140" s="96" t="s">
        <v>277</v>
      </c>
      <c r="C140" s="96" t="s">
        <v>122</v>
      </c>
      <c r="D140" s="96" t="s">
        <v>9</v>
      </c>
      <c r="E140" s="101">
        <v>0</v>
      </c>
      <c r="F140" s="104"/>
      <c r="G140" s="97">
        <f t="shared" si="47"/>
        <v>1.885</v>
      </c>
      <c r="H140" s="97">
        <v>1.885</v>
      </c>
      <c r="I140" s="97"/>
      <c r="J140" s="99" t="s">
        <v>47</v>
      </c>
      <c r="K140" s="100" t="s">
        <v>240</v>
      </c>
      <c r="L140" s="85">
        <f t="shared" ca="1" si="48"/>
        <v>181</v>
      </c>
      <c r="M140" s="80"/>
    </row>
    <row r="141" spans="1:13" ht="18.75" hidden="1" x14ac:dyDescent="0.3">
      <c r="A141" s="95">
        <v>46037</v>
      </c>
      <c r="B141" s="96" t="s">
        <v>334</v>
      </c>
      <c r="C141" s="96" t="s">
        <v>122</v>
      </c>
      <c r="D141" s="96" t="s">
        <v>9</v>
      </c>
      <c r="E141" s="101">
        <v>0</v>
      </c>
      <c r="F141" s="104"/>
      <c r="G141" s="97">
        <f t="shared" ref="G141:G142" si="53">H141-E141</f>
        <v>0.216</v>
      </c>
      <c r="H141" s="97">
        <v>0.216</v>
      </c>
      <c r="I141" s="97">
        <v>2002.7950000000001</v>
      </c>
      <c r="J141" s="99" t="s">
        <v>32</v>
      </c>
      <c r="K141" s="100" t="s">
        <v>240</v>
      </c>
      <c r="L141" s="85">
        <f t="shared" ref="L141:L143" ca="1" si="54">TODAY()-A141</f>
        <v>124</v>
      </c>
      <c r="M141" s="80"/>
    </row>
    <row r="142" spans="1:13" ht="18.75" hidden="1" x14ac:dyDescent="0.3">
      <c r="A142" s="95">
        <v>46084</v>
      </c>
      <c r="B142" s="96" t="s">
        <v>335</v>
      </c>
      <c r="C142" s="96" t="s">
        <v>122</v>
      </c>
      <c r="D142" s="96" t="s">
        <v>9</v>
      </c>
      <c r="E142" s="101">
        <v>0</v>
      </c>
      <c r="F142" s="104"/>
      <c r="G142" s="97">
        <f t="shared" si="53"/>
        <v>31.916</v>
      </c>
      <c r="H142" s="97">
        <v>31.916</v>
      </c>
      <c r="I142" s="97">
        <v>2850</v>
      </c>
      <c r="J142" s="99" t="s">
        <v>298</v>
      </c>
      <c r="K142" s="100" t="s">
        <v>240</v>
      </c>
      <c r="L142" s="85">
        <f t="shared" ca="1" si="54"/>
        <v>77</v>
      </c>
      <c r="M142" s="80"/>
    </row>
    <row r="143" spans="1:13" ht="18.75" hidden="1" x14ac:dyDescent="0.3">
      <c r="A143" s="95">
        <v>46106</v>
      </c>
      <c r="B143" s="96" t="s">
        <v>374</v>
      </c>
      <c r="C143" s="96" t="s">
        <v>122</v>
      </c>
      <c r="D143" s="96" t="s">
        <v>9</v>
      </c>
      <c r="E143" s="101">
        <v>0</v>
      </c>
      <c r="F143" s="104"/>
      <c r="G143" s="97">
        <f>H143-E143</f>
        <v>936.48099999999999</v>
      </c>
      <c r="H143" s="97">
        <v>936.48099999999999</v>
      </c>
      <c r="I143" s="97">
        <v>2850</v>
      </c>
      <c r="J143" s="99" t="s">
        <v>32</v>
      </c>
      <c r="K143" s="100" t="s">
        <v>240</v>
      </c>
      <c r="L143" s="85">
        <f t="shared" ca="1" si="54"/>
        <v>55</v>
      </c>
      <c r="M143" s="80"/>
    </row>
    <row r="144" spans="1:13" ht="18.75" hidden="1" x14ac:dyDescent="0.3">
      <c r="A144" s="22"/>
      <c r="B144" s="32" t="s">
        <v>27</v>
      </c>
      <c r="C144" s="13"/>
      <c r="D144" s="13"/>
      <c r="E144" s="23">
        <f>SUBTOTAL(9,E133:E143)</f>
        <v>0</v>
      </c>
      <c r="F144" s="24">
        <f>E144</f>
        <v>0</v>
      </c>
      <c r="G144" s="23">
        <f>SUBTOTAL(9,G133:G143)</f>
        <v>0</v>
      </c>
      <c r="H144" s="23">
        <f>SUBTOTAL(9,H133:H143)</f>
        <v>0</v>
      </c>
      <c r="I144" s="23"/>
      <c r="J144" s="17"/>
      <c r="K144" s="76"/>
      <c r="L144" s="85"/>
      <c r="M144" s="80"/>
    </row>
    <row r="145" spans="1:13" ht="18.75" hidden="1" x14ac:dyDescent="0.3">
      <c r="A145" s="22"/>
      <c r="B145" s="32"/>
      <c r="C145" s="13"/>
      <c r="D145" s="13"/>
      <c r="E145" s="15"/>
      <c r="F145" s="15"/>
      <c r="G145" s="15"/>
      <c r="H145" s="34"/>
      <c r="I145" s="34"/>
      <c r="J145" s="17"/>
      <c r="K145" s="76"/>
      <c r="L145" s="85"/>
      <c r="M145" s="80"/>
    </row>
    <row r="146" spans="1:13" ht="18.75" hidden="1" x14ac:dyDescent="0.3">
      <c r="A146" s="21">
        <v>46005</v>
      </c>
      <c r="B146" s="13" t="s">
        <v>285</v>
      </c>
      <c r="C146" s="13" t="s">
        <v>260</v>
      </c>
      <c r="D146" s="13" t="s">
        <v>19</v>
      </c>
      <c r="E146" s="14">
        <v>0</v>
      </c>
      <c r="F146" s="15"/>
      <c r="G146" s="16">
        <f t="shared" ref="G146:G164" si="55">H146-E146</f>
        <v>111.845</v>
      </c>
      <c r="H146" s="16">
        <v>111.845</v>
      </c>
      <c r="I146" s="16">
        <v>2859.0250000000001</v>
      </c>
      <c r="J146" s="17" t="s">
        <v>26</v>
      </c>
      <c r="K146" s="76"/>
      <c r="L146" s="85">
        <f t="shared" ref="L146:L164" ca="1" si="56">TODAY()-A146</f>
        <v>156</v>
      </c>
      <c r="M146" s="80"/>
    </row>
    <row r="147" spans="1:13" ht="18.75" hidden="1" x14ac:dyDescent="0.3">
      <c r="A147" s="21">
        <v>46111</v>
      </c>
      <c r="B147" s="13" t="s">
        <v>370</v>
      </c>
      <c r="C147" s="13" t="s">
        <v>260</v>
      </c>
      <c r="D147" s="13" t="s">
        <v>19</v>
      </c>
      <c r="E147" s="14">
        <v>0</v>
      </c>
      <c r="F147" s="15"/>
      <c r="G147" s="16">
        <f t="shared" si="55"/>
        <v>105.45099999999992</v>
      </c>
      <c r="H147" s="16">
        <f>997.822-24.931-24.47-78.79-54.36-63.5-330.57-130.9-24.16-80.45-80.24</f>
        <v>105.45099999999992</v>
      </c>
      <c r="I147" s="16">
        <v>997.822</v>
      </c>
      <c r="J147" s="17" t="s">
        <v>26</v>
      </c>
      <c r="K147" s="76"/>
      <c r="L147" s="85">
        <f t="shared" ca="1" si="56"/>
        <v>50</v>
      </c>
      <c r="M147" s="80"/>
    </row>
    <row r="148" spans="1:13" ht="18.75" hidden="1" x14ac:dyDescent="0.3">
      <c r="A148" s="21">
        <v>46111</v>
      </c>
      <c r="B148" s="13" t="s">
        <v>369</v>
      </c>
      <c r="C148" s="13" t="s">
        <v>260</v>
      </c>
      <c r="D148" s="13" t="s">
        <v>19</v>
      </c>
      <c r="E148" s="14">
        <f>997.822-258.413-10+21-75-21-18-31</f>
        <v>605.40899999999999</v>
      </c>
      <c r="F148" s="15"/>
      <c r="G148" s="16">
        <f t="shared" ref="G148:G149" si="57">H148-E148</f>
        <v>392.41300000000001</v>
      </c>
      <c r="H148" s="16">
        <v>997.822</v>
      </c>
      <c r="I148" s="16">
        <v>997.822</v>
      </c>
      <c r="J148" s="17" t="s">
        <v>26</v>
      </c>
      <c r="K148" s="76"/>
      <c r="L148" s="85">
        <f t="shared" ref="L148:L149" ca="1" si="58">TODAY()-A148</f>
        <v>50</v>
      </c>
      <c r="M148" s="80"/>
    </row>
    <row r="149" spans="1:13" ht="18.75" hidden="1" x14ac:dyDescent="0.3">
      <c r="A149" s="21">
        <v>46131</v>
      </c>
      <c r="B149" s="13" t="s">
        <v>394</v>
      </c>
      <c r="C149" s="13" t="s">
        <v>260</v>
      </c>
      <c r="D149" s="13" t="s">
        <v>19</v>
      </c>
      <c r="E149" s="14">
        <v>953.67100000000005</v>
      </c>
      <c r="F149" s="15"/>
      <c r="G149" s="16">
        <f t="shared" si="57"/>
        <v>0</v>
      </c>
      <c r="H149" s="16">
        <v>953.67100000000005</v>
      </c>
      <c r="I149" s="16">
        <v>953.67100000000005</v>
      </c>
      <c r="J149" s="17" t="s">
        <v>26</v>
      </c>
      <c r="K149" s="76"/>
      <c r="L149" s="85">
        <f t="shared" ca="1" si="58"/>
        <v>30</v>
      </c>
      <c r="M149" s="80"/>
    </row>
    <row r="150" spans="1:13" ht="18.75" hidden="1" x14ac:dyDescent="0.3">
      <c r="A150" s="21">
        <v>46093</v>
      </c>
      <c r="B150" s="13" t="s">
        <v>351</v>
      </c>
      <c r="C150" s="13" t="s">
        <v>278</v>
      </c>
      <c r="D150" s="13" t="s">
        <v>352</v>
      </c>
      <c r="E150" s="14">
        <f>1553.833-150</f>
        <v>1403.8330000000001</v>
      </c>
      <c r="F150" s="15"/>
      <c r="G150" s="16">
        <f t="shared" si="55"/>
        <v>150</v>
      </c>
      <c r="H150" s="16">
        <v>1553.8330000000001</v>
      </c>
      <c r="I150" s="16">
        <v>1553.837</v>
      </c>
      <c r="J150" s="17" t="s">
        <v>23</v>
      </c>
      <c r="K150" s="76"/>
      <c r="L150" s="85">
        <f t="shared" ca="1" si="56"/>
        <v>68</v>
      </c>
      <c r="M150" s="80"/>
    </row>
    <row r="151" spans="1:13" ht="18.75" hidden="1" x14ac:dyDescent="0.3">
      <c r="A151" s="21">
        <v>46085</v>
      </c>
      <c r="B151" s="13" t="s">
        <v>333</v>
      </c>
      <c r="C151" s="13" t="s">
        <v>260</v>
      </c>
      <c r="D151" s="13" t="s">
        <v>13</v>
      </c>
      <c r="E151" s="14">
        <f>616.995-50-134</f>
        <v>432.995</v>
      </c>
      <c r="F151" s="15"/>
      <c r="G151" s="16">
        <f t="shared" si="55"/>
        <v>161.25</v>
      </c>
      <c r="H151" s="16">
        <v>594.245</v>
      </c>
      <c r="I151" s="16">
        <v>947.53499999999997</v>
      </c>
      <c r="J151" s="17" t="s">
        <v>21</v>
      </c>
      <c r="K151" s="76"/>
      <c r="L151" s="85">
        <f t="shared" ca="1" si="56"/>
        <v>76</v>
      </c>
      <c r="M151" s="80"/>
    </row>
    <row r="152" spans="1:13" ht="18.75" hidden="1" x14ac:dyDescent="0.3">
      <c r="A152" s="21">
        <v>45927</v>
      </c>
      <c r="B152" s="13" t="s">
        <v>259</v>
      </c>
      <c r="C152" s="13" t="s">
        <v>260</v>
      </c>
      <c r="D152" s="13" t="s">
        <v>9</v>
      </c>
      <c r="E152" s="14">
        <v>0</v>
      </c>
      <c r="F152" s="15"/>
      <c r="G152" s="16">
        <f t="shared" ref="G152" si="59">H152-E152</f>
        <v>2.5</v>
      </c>
      <c r="H152" s="16">
        <v>2.5</v>
      </c>
      <c r="I152" s="16">
        <v>2836.84</v>
      </c>
      <c r="J152" s="17" t="s">
        <v>261</v>
      </c>
      <c r="K152" s="76"/>
      <c r="L152" s="85">
        <f t="shared" ref="L152" ca="1" si="60">TODAY()-A152</f>
        <v>234</v>
      </c>
      <c r="M152" s="80"/>
    </row>
    <row r="153" spans="1:13" ht="18.75" hidden="1" x14ac:dyDescent="0.3">
      <c r="A153" s="21">
        <v>45965</v>
      </c>
      <c r="B153" s="13" t="s">
        <v>271</v>
      </c>
      <c r="C153" s="13" t="s">
        <v>260</v>
      </c>
      <c r="D153" s="13" t="s">
        <v>9</v>
      </c>
      <c r="E153" s="14">
        <v>0</v>
      </c>
      <c r="F153" s="15"/>
      <c r="G153" s="16">
        <f t="shared" si="55"/>
        <v>7.7329999999999997</v>
      </c>
      <c r="H153" s="16">
        <v>7.7329999999999997</v>
      </c>
      <c r="I153" s="16">
        <v>2995.4349999999999</v>
      </c>
      <c r="J153" s="17" t="s">
        <v>261</v>
      </c>
      <c r="K153" s="76"/>
      <c r="L153" s="85">
        <f t="shared" ca="1" si="56"/>
        <v>196</v>
      </c>
      <c r="M153" s="80"/>
    </row>
    <row r="154" spans="1:13" ht="18.75" hidden="1" x14ac:dyDescent="0.3">
      <c r="A154" s="21">
        <v>45980</v>
      </c>
      <c r="B154" s="13" t="s">
        <v>276</v>
      </c>
      <c r="C154" s="13" t="s">
        <v>260</v>
      </c>
      <c r="D154" s="13" t="s">
        <v>9</v>
      </c>
      <c r="E154" s="14">
        <v>0</v>
      </c>
      <c r="F154" s="15"/>
      <c r="G154" s="16">
        <f t="shared" si="55"/>
        <v>1.173</v>
      </c>
      <c r="H154" s="16">
        <v>1.173</v>
      </c>
      <c r="I154" s="16">
        <v>474.95299999999997</v>
      </c>
      <c r="J154" s="17" t="s">
        <v>32</v>
      </c>
      <c r="K154" s="76"/>
      <c r="L154" s="85">
        <f t="shared" ca="1" si="56"/>
        <v>181</v>
      </c>
      <c r="M154" s="80"/>
    </row>
    <row r="155" spans="1:13" ht="18.75" hidden="1" x14ac:dyDescent="0.3">
      <c r="A155" s="21">
        <v>46018</v>
      </c>
      <c r="B155" s="13" t="s">
        <v>292</v>
      </c>
      <c r="C155" s="13" t="s">
        <v>260</v>
      </c>
      <c r="D155" s="13" t="s">
        <v>9</v>
      </c>
      <c r="E155" s="14">
        <v>0</v>
      </c>
      <c r="F155" s="15"/>
      <c r="G155" s="16">
        <f t="shared" si="55"/>
        <v>14.218</v>
      </c>
      <c r="H155" s="16">
        <v>14.218</v>
      </c>
      <c r="I155" s="16">
        <v>2086.8789999999999</v>
      </c>
      <c r="J155" s="17" t="s">
        <v>130</v>
      </c>
      <c r="K155" s="76"/>
      <c r="L155" s="85">
        <f t="shared" ca="1" si="56"/>
        <v>143</v>
      </c>
      <c r="M155" s="80"/>
    </row>
    <row r="156" spans="1:13" ht="18.75" hidden="1" x14ac:dyDescent="0.3">
      <c r="A156" s="21">
        <v>46095</v>
      </c>
      <c r="B156" s="143" t="s">
        <v>353</v>
      </c>
      <c r="C156" s="13" t="s">
        <v>278</v>
      </c>
      <c r="D156" s="13" t="s">
        <v>9</v>
      </c>
      <c r="E156" s="14">
        <v>0</v>
      </c>
      <c r="F156" s="15"/>
      <c r="G156" s="16">
        <f t="shared" si="55"/>
        <v>261.64999999999998</v>
      </c>
      <c r="H156" s="16">
        <v>261.64999999999998</v>
      </c>
      <c r="I156" s="16">
        <v>1425</v>
      </c>
      <c r="J156" s="17" t="s">
        <v>47</v>
      </c>
      <c r="K156" s="76"/>
      <c r="L156" s="85">
        <f t="shared" ca="1" si="56"/>
        <v>66</v>
      </c>
      <c r="M156" s="80"/>
    </row>
    <row r="157" spans="1:13" ht="18.75" hidden="1" x14ac:dyDescent="0.3">
      <c r="A157" s="21">
        <v>46095</v>
      </c>
      <c r="B157" s="143" t="s">
        <v>354</v>
      </c>
      <c r="C157" s="13" t="s">
        <v>278</v>
      </c>
      <c r="D157" s="13" t="s">
        <v>9</v>
      </c>
      <c r="E157" s="14">
        <v>0</v>
      </c>
      <c r="F157" s="15"/>
      <c r="G157" s="16">
        <f t="shared" ref="G157" si="61">H157-E157</f>
        <v>476.89299999999997</v>
      </c>
      <c r="H157" s="16">
        <v>476.89299999999997</v>
      </c>
      <c r="I157" s="16">
        <v>476.89299999999997</v>
      </c>
      <c r="J157" s="17" t="s">
        <v>47</v>
      </c>
      <c r="K157" s="76"/>
      <c r="L157" s="85">
        <f t="shared" ref="L157" ca="1" si="62">TODAY()-A157</f>
        <v>66</v>
      </c>
      <c r="M157" s="80"/>
    </row>
    <row r="158" spans="1:13" ht="18.75" hidden="1" x14ac:dyDescent="0.3">
      <c r="A158" s="21">
        <v>46095</v>
      </c>
      <c r="B158" s="143" t="s">
        <v>355</v>
      </c>
      <c r="C158" s="13" t="s">
        <v>260</v>
      </c>
      <c r="D158" s="13" t="s">
        <v>9</v>
      </c>
      <c r="E158" s="14">
        <v>0</v>
      </c>
      <c r="F158" s="15"/>
      <c r="G158" s="16">
        <f t="shared" ref="G158:G161" si="63">H158-E158</f>
        <v>12.977</v>
      </c>
      <c r="H158" s="16">
        <v>12.977</v>
      </c>
      <c r="I158" s="16">
        <v>523.10699999999997</v>
      </c>
      <c r="J158" s="17" t="s">
        <v>23</v>
      </c>
      <c r="K158" s="76"/>
      <c r="L158" s="85">
        <f t="shared" ref="L158:L161" ca="1" si="64">TODAY()-A158</f>
        <v>66</v>
      </c>
      <c r="M158" s="80"/>
    </row>
    <row r="159" spans="1:13" ht="18.75" hidden="1" x14ac:dyDescent="0.3">
      <c r="A159" s="21">
        <v>46144</v>
      </c>
      <c r="B159" s="13" t="s">
        <v>412</v>
      </c>
      <c r="C159" s="13" t="s">
        <v>260</v>
      </c>
      <c r="D159" s="13" t="s">
        <v>9</v>
      </c>
      <c r="E159" s="14">
        <v>0</v>
      </c>
      <c r="F159" s="15"/>
      <c r="G159" s="16">
        <f t="shared" si="63"/>
        <v>1995.5909999999999</v>
      </c>
      <c r="H159" s="16">
        <v>1995.5909999999999</v>
      </c>
      <c r="I159" s="16">
        <v>2001.998</v>
      </c>
      <c r="J159" s="17" t="s">
        <v>429</v>
      </c>
      <c r="K159" s="76"/>
      <c r="L159" s="85">
        <f t="shared" ca="1" si="64"/>
        <v>17</v>
      </c>
      <c r="M159" s="80"/>
    </row>
    <row r="160" spans="1:13" ht="18.75" hidden="1" x14ac:dyDescent="0.3">
      <c r="A160" s="21">
        <v>46151</v>
      </c>
      <c r="B160" s="139" t="s">
        <v>434</v>
      </c>
      <c r="C160" s="13" t="s">
        <v>260</v>
      </c>
      <c r="D160" s="13" t="s">
        <v>9</v>
      </c>
      <c r="E160" s="14">
        <v>0</v>
      </c>
      <c r="F160" s="15"/>
      <c r="G160" s="16">
        <f t="shared" si="63"/>
        <v>1500</v>
      </c>
      <c r="H160" s="16">
        <v>1500</v>
      </c>
      <c r="I160" s="16">
        <v>1500</v>
      </c>
      <c r="J160" s="17" t="s">
        <v>29</v>
      </c>
      <c r="K160" s="76"/>
      <c r="L160" s="85">
        <f t="shared" ca="1" si="64"/>
        <v>10</v>
      </c>
      <c r="M160" s="80"/>
    </row>
    <row r="161" spans="1:13" ht="18.75" hidden="1" x14ac:dyDescent="0.3">
      <c r="A161" s="21">
        <v>46155</v>
      </c>
      <c r="B161" s="139" t="s">
        <v>451</v>
      </c>
      <c r="C161" s="13" t="s">
        <v>260</v>
      </c>
      <c r="D161" s="13" t="s">
        <v>9</v>
      </c>
      <c r="E161" s="14">
        <f>300-114</f>
        <v>186</v>
      </c>
      <c r="F161" s="15"/>
      <c r="G161" s="16">
        <f t="shared" si="63"/>
        <v>114</v>
      </c>
      <c r="H161" s="16">
        <v>300</v>
      </c>
      <c r="I161" s="16">
        <v>300</v>
      </c>
      <c r="J161" s="17" t="s">
        <v>29</v>
      </c>
      <c r="K161" s="76"/>
      <c r="L161" s="85">
        <f t="shared" ca="1" si="64"/>
        <v>6</v>
      </c>
      <c r="M161" s="80"/>
    </row>
    <row r="162" spans="1:13" ht="18.75" hidden="1" x14ac:dyDescent="0.3">
      <c r="A162" s="21">
        <v>46155</v>
      </c>
      <c r="B162" s="139" t="s">
        <v>452</v>
      </c>
      <c r="C162" s="13" t="s">
        <v>260</v>
      </c>
      <c r="D162" s="13" t="s">
        <v>9</v>
      </c>
      <c r="E162" s="14">
        <f>1500-1500</f>
        <v>0</v>
      </c>
      <c r="F162" s="15"/>
      <c r="G162" s="16">
        <f t="shared" ref="G162" si="65">H162-E162</f>
        <v>1500</v>
      </c>
      <c r="H162" s="16">
        <v>1500</v>
      </c>
      <c r="I162" s="16">
        <v>1500</v>
      </c>
      <c r="J162" s="17" t="s">
        <v>29</v>
      </c>
      <c r="K162" s="76"/>
      <c r="L162" s="85">
        <f t="shared" ref="L162" ca="1" si="66">TODAY()-A162</f>
        <v>6</v>
      </c>
      <c r="M162" s="80"/>
    </row>
    <row r="163" spans="1:13" ht="18.75" hidden="1" x14ac:dyDescent="0.3">
      <c r="A163" s="21">
        <v>46155</v>
      </c>
      <c r="B163" s="139" t="s">
        <v>458</v>
      </c>
      <c r="C163" s="13" t="s">
        <v>260</v>
      </c>
      <c r="D163" s="13" t="s">
        <v>9</v>
      </c>
      <c r="E163" s="14">
        <v>450</v>
      </c>
      <c r="F163" s="15"/>
      <c r="G163" s="16">
        <f t="shared" ref="G163" si="67">H163-E163</f>
        <v>0</v>
      </c>
      <c r="H163" s="16">
        <v>450</v>
      </c>
      <c r="I163" s="16">
        <v>450</v>
      </c>
      <c r="J163" s="17" t="s">
        <v>29</v>
      </c>
      <c r="K163" s="76"/>
      <c r="L163" s="85">
        <f t="shared" ref="L163" ca="1" si="68">TODAY()-A163</f>
        <v>6</v>
      </c>
      <c r="M163" s="80"/>
    </row>
    <row r="164" spans="1:13" ht="18.75" hidden="1" x14ac:dyDescent="0.3">
      <c r="A164" s="95">
        <v>46045</v>
      </c>
      <c r="B164" s="96" t="s">
        <v>304</v>
      </c>
      <c r="C164" s="96" t="s">
        <v>260</v>
      </c>
      <c r="D164" s="96" t="s">
        <v>9</v>
      </c>
      <c r="E164" s="101">
        <f>132.858-75</f>
        <v>57.858000000000004</v>
      </c>
      <c r="F164" s="104"/>
      <c r="G164" s="97">
        <f t="shared" si="55"/>
        <v>448.90999999999997</v>
      </c>
      <c r="H164" s="97">
        <v>506.76799999999997</v>
      </c>
      <c r="I164" s="97">
        <v>4809.5529999999999</v>
      </c>
      <c r="J164" s="99" t="s">
        <v>308</v>
      </c>
      <c r="K164" s="100" t="s">
        <v>240</v>
      </c>
      <c r="L164" s="85">
        <f t="shared" ca="1" si="56"/>
        <v>116</v>
      </c>
      <c r="M164" s="80"/>
    </row>
    <row r="165" spans="1:13" ht="18.75" hidden="1" x14ac:dyDescent="0.3">
      <c r="A165" s="95">
        <v>46045</v>
      </c>
      <c r="B165" s="96" t="s">
        <v>305</v>
      </c>
      <c r="C165" s="96" t="s">
        <v>278</v>
      </c>
      <c r="D165" s="96" t="s">
        <v>9</v>
      </c>
      <c r="E165" s="101">
        <f>196.584-12-50</f>
        <v>134.584</v>
      </c>
      <c r="F165" s="104"/>
      <c r="G165" s="97">
        <f t="shared" ref="G165:G168" si="69">H165-E165</f>
        <v>30.563999999999993</v>
      </c>
      <c r="H165" s="97">
        <v>165.148</v>
      </c>
      <c r="I165" s="97">
        <v>961.16800000000001</v>
      </c>
      <c r="J165" s="99" t="s">
        <v>29</v>
      </c>
      <c r="K165" s="100" t="s">
        <v>240</v>
      </c>
      <c r="L165" s="85">
        <f t="shared" ref="L165:L168" ca="1" si="70">TODAY()-A165</f>
        <v>116</v>
      </c>
      <c r="M165" s="80"/>
    </row>
    <row r="166" spans="1:13" ht="18.75" x14ac:dyDescent="0.3">
      <c r="A166" s="126">
        <v>46085</v>
      </c>
      <c r="B166" s="127" t="s">
        <v>380</v>
      </c>
      <c r="C166" s="127" t="s">
        <v>260</v>
      </c>
      <c r="D166" s="127" t="s">
        <v>9</v>
      </c>
      <c r="E166" s="128">
        <v>6.0250000000000004</v>
      </c>
      <c r="F166" s="129"/>
      <c r="G166" s="130">
        <f t="shared" si="69"/>
        <v>3141.3269999999998</v>
      </c>
      <c r="H166" s="130">
        <v>3147.3519999999999</v>
      </c>
      <c r="I166" s="130">
        <v>3981.2449999999999</v>
      </c>
      <c r="J166" s="131" t="s">
        <v>29</v>
      </c>
      <c r="K166" s="132" t="s">
        <v>340</v>
      </c>
      <c r="L166" s="133">
        <f t="shared" ca="1" si="70"/>
        <v>76</v>
      </c>
      <c r="M166" s="80"/>
    </row>
    <row r="167" spans="1:13" ht="18.75" x14ac:dyDescent="0.3">
      <c r="A167" s="126">
        <v>46106</v>
      </c>
      <c r="B167" s="127" t="s">
        <v>372</v>
      </c>
      <c r="C167" s="127" t="s">
        <v>278</v>
      </c>
      <c r="D167" s="127" t="s">
        <v>9</v>
      </c>
      <c r="E167" s="128">
        <v>120</v>
      </c>
      <c r="F167" s="129"/>
      <c r="G167" s="130">
        <f t="shared" si="69"/>
        <v>1853.616</v>
      </c>
      <c r="H167" s="130">
        <v>1973.616</v>
      </c>
      <c r="I167" s="130">
        <v>2000</v>
      </c>
      <c r="J167" s="131" t="s">
        <v>29</v>
      </c>
      <c r="K167" s="132" t="s">
        <v>340</v>
      </c>
      <c r="L167" s="133">
        <f t="shared" ca="1" si="70"/>
        <v>55</v>
      </c>
      <c r="M167" s="80"/>
    </row>
    <row r="168" spans="1:13" ht="18.75" x14ac:dyDescent="0.3">
      <c r="A168" s="126">
        <v>46106</v>
      </c>
      <c r="B168" s="127" t="s">
        <v>373</v>
      </c>
      <c r="C168" s="127" t="s">
        <v>260</v>
      </c>
      <c r="D168" s="127" t="s">
        <v>9</v>
      </c>
      <c r="E168" s="129">
        <v>0</v>
      </c>
      <c r="F168" s="129"/>
      <c r="G168" s="130">
        <f t="shared" si="69"/>
        <v>1969.9359999999999</v>
      </c>
      <c r="H168" s="130">
        <v>1969.9359999999999</v>
      </c>
      <c r="I168" s="130">
        <v>1996.271</v>
      </c>
      <c r="J168" s="131" t="s">
        <v>29</v>
      </c>
      <c r="K168" s="132" t="s">
        <v>340</v>
      </c>
      <c r="L168" s="133">
        <f t="shared" ca="1" si="70"/>
        <v>55</v>
      </c>
      <c r="M168" s="80"/>
    </row>
    <row r="169" spans="1:13" ht="18.75" hidden="1" x14ac:dyDescent="0.3">
      <c r="A169" s="22"/>
      <c r="B169" s="41" t="s">
        <v>27</v>
      </c>
      <c r="C169" s="13"/>
      <c r="D169" s="13"/>
      <c r="E169" s="23">
        <f>SUBTOTAL(9,E146:E168)</f>
        <v>126.02500000000001</v>
      </c>
      <c r="F169" s="24">
        <f>E169</f>
        <v>126.02500000000001</v>
      </c>
      <c r="G169" s="23">
        <f>SUBTOTAL(9,G146:G168)</f>
        <v>6964.878999999999</v>
      </c>
      <c r="H169" s="23">
        <f>SUBTOTAL(9,H146:H168)</f>
        <v>7090.9039999999995</v>
      </c>
      <c r="I169" s="23"/>
      <c r="J169" s="17"/>
      <c r="K169" s="76"/>
      <c r="L169" s="17"/>
      <c r="M169" s="80"/>
    </row>
    <row r="170" spans="1:13" ht="18.75" hidden="1" x14ac:dyDescent="0.3">
      <c r="A170" s="22"/>
      <c r="B170" s="41"/>
      <c r="C170" s="13"/>
      <c r="D170" s="13"/>
      <c r="E170" s="15"/>
      <c r="F170" s="24"/>
      <c r="G170" s="23"/>
      <c r="H170" s="23"/>
      <c r="I170" s="23"/>
      <c r="J170" s="17"/>
      <c r="K170" s="76"/>
      <c r="L170" s="17"/>
      <c r="M170" s="80"/>
    </row>
    <row r="171" spans="1:13" ht="18.75" hidden="1" x14ac:dyDescent="0.3">
      <c r="A171" s="21">
        <v>46125</v>
      </c>
      <c r="B171" s="13" t="s">
        <v>385</v>
      </c>
      <c r="C171" s="13" t="s">
        <v>386</v>
      </c>
      <c r="D171" s="13" t="s">
        <v>9</v>
      </c>
      <c r="E171" s="14">
        <f>100-100</f>
        <v>0</v>
      </c>
      <c r="F171" s="24"/>
      <c r="G171" s="16">
        <f t="shared" ref="G171" si="71">H171-E171</f>
        <v>65.27</v>
      </c>
      <c r="H171" s="16">
        <v>65.27</v>
      </c>
      <c r="I171" s="16">
        <v>100</v>
      </c>
      <c r="J171" s="17" t="s">
        <v>29</v>
      </c>
      <c r="K171" s="76"/>
      <c r="L171" s="83">
        <f t="shared" ref="L171" ca="1" si="72">TODAY()-A171</f>
        <v>36</v>
      </c>
      <c r="M171" s="80"/>
    </row>
    <row r="172" spans="1:13" ht="18.75" hidden="1" x14ac:dyDescent="0.3">
      <c r="A172" s="21"/>
      <c r="B172" s="32" t="s">
        <v>27</v>
      </c>
      <c r="C172" s="13"/>
      <c r="D172" s="13"/>
      <c r="E172" s="23">
        <f>SUBTOTAL(9,E171:E171)</f>
        <v>0</v>
      </c>
      <c r="F172" s="24">
        <f>E172</f>
        <v>0</v>
      </c>
      <c r="G172" s="23">
        <f>SUBTOTAL(9,G171:G171)</f>
        <v>0</v>
      </c>
      <c r="H172" s="23">
        <f>SUBTOTAL(9,H171:H171)</f>
        <v>0</v>
      </c>
      <c r="I172" s="23"/>
      <c r="J172" s="17"/>
      <c r="K172" s="76"/>
      <c r="L172" s="17"/>
      <c r="M172" s="80"/>
    </row>
    <row r="173" spans="1:13" ht="18.75" hidden="1" x14ac:dyDescent="0.3">
      <c r="A173" s="21"/>
      <c r="B173" s="35"/>
      <c r="C173" s="13"/>
      <c r="D173" s="13"/>
      <c r="E173" s="14"/>
      <c r="F173" s="24"/>
      <c r="G173" s="23"/>
      <c r="H173" s="23"/>
      <c r="I173" s="23"/>
      <c r="J173" s="17"/>
      <c r="K173" s="76"/>
      <c r="L173" s="17"/>
      <c r="M173" s="80"/>
    </row>
    <row r="174" spans="1:13" ht="18.75" hidden="1" x14ac:dyDescent="0.3">
      <c r="A174" s="21">
        <v>46069</v>
      </c>
      <c r="B174" s="13" t="s">
        <v>318</v>
      </c>
      <c r="C174" s="13" t="s">
        <v>114</v>
      </c>
      <c r="D174" s="13" t="s">
        <v>13</v>
      </c>
      <c r="E174" s="14">
        <v>0</v>
      </c>
      <c r="F174" s="23"/>
      <c r="G174" s="16">
        <f t="shared" ref="G174:G177" si="73">H174-E174</f>
        <v>0.38200000000000001</v>
      </c>
      <c r="H174" s="16">
        <v>0.38200000000000001</v>
      </c>
      <c r="I174" s="16">
        <v>800.42899999999997</v>
      </c>
      <c r="J174" s="17" t="s">
        <v>21</v>
      </c>
      <c r="K174" s="76"/>
      <c r="L174" s="83">
        <f t="shared" ref="L174:L177" ca="1" si="74">TODAY()-A174</f>
        <v>92</v>
      </c>
      <c r="M174" s="80"/>
    </row>
    <row r="175" spans="1:13" ht="18.75" hidden="1" x14ac:dyDescent="0.3">
      <c r="A175" s="21">
        <v>46080</v>
      </c>
      <c r="B175" s="13" t="s">
        <v>331</v>
      </c>
      <c r="C175" s="13" t="s">
        <v>114</v>
      </c>
      <c r="D175" s="13" t="s">
        <v>13</v>
      </c>
      <c r="E175" s="14">
        <v>21.053000000000001</v>
      </c>
      <c r="F175" s="23"/>
      <c r="G175" s="16">
        <f t="shared" si="73"/>
        <v>11.27</v>
      </c>
      <c r="H175" s="16">
        <v>32.323</v>
      </c>
      <c r="I175" s="16">
        <v>1047.319</v>
      </c>
      <c r="J175" s="17" t="s">
        <v>21</v>
      </c>
      <c r="K175" s="76"/>
      <c r="L175" s="83">
        <f t="shared" ca="1" si="74"/>
        <v>81</v>
      </c>
      <c r="M175" s="80"/>
    </row>
    <row r="176" spans="1:13" ht="18.75" hidden="1" x14ac:dyDescent="0.3">
      <c r="A176" s="21">
        <v>46139</v>
      </c>
      <c r="B176" s="13" t="s">
        <v>408</v>
      </c>
      <c r="C176" s="13" t="s">
        <v>114</v>
      </c>
      <c r="D176" s="13" t="s">
        <v>9</v>
      </c>
      <c r="E176" s="14">
        <f>518.059-95-7-36-35-35-247-61</f>
        <v>2.0589999999999691</v>
      </c>
      <c r="F176" s="23"/>
      <c r="G176" s="16">
        <f t="shared" si="73"/>
        <v>451.17900000000003</v>
      </c>
      <c r="H176" s="16">
        <v>453.238</v>
      </c>
      <c r="I176" s="16">
        <v>1998.7049999999999</v>
      </c>
      <c r="J176" s="17" t="s">
        <v>23</v>
      </c>
      <c r="K176" s="76"/>
      <c r="L176" s="83">
        <f t="shared" ca="1" si="74"/>
        <v>22</v>
      </c>
      <c r="M176" s="80"/>
    </row>
    <row r="177" spans="1:13" ht="18.75" x14ac:dyDescent="0.3">
      <c r="A177" s="126">
        <v>46131</v>
      </c>
      <c r="B177" s="127" t="s">
        <v>399</v>
      </c>
      <c r="C177" s="127" t="s">
        <v>114</v>
      </c>
      <c r="D177" s="127" t="s">
        <v>9</v>
      </c>
      <c r="E177" s="128">
        <v>0</v>
      </c>
      <c r="F177" s="129"/>
      <c r="G177" s="130">
        <f t="shared" si="73"/>
        <v>84.551000000000002</v>
      </c>
      <c r="H177" s="130">
        <v>84.551000000000002</v>
      </c>
      <c r="I177" s="130">
        <v>2850</v>
      </c>
      <c r="J177" s="131" t="s">
        <v>23</v>
      </c>
      <c r="K177" s="132" t="s">
        <v>340</v>
      </c>
      <c r="L177" s="133">
        <f t="shared" ca="1" si="74"/>
        <v>30</v>
      </c>
      <c r="M177" s="80"/>
    </row>
    <row r="178" spans="1:13" ht="18.75" hidden="1" x14ac:dyDescent="0.3">
      <c r="A178" s="21"/>
      <c r="B178" s="32" t="s">
        <v>27</v>
      </c>
      <c r="C178" s="13"/>
      <c r="D178" s="13"/>
      <c r="E178" s="23">
        <f>SUBTOTAL(9,E174:E177)</f>
        <v>0</v>
      </c>
      <c r="F178" s="24">
        <f>E178</f>
        <v>0</v>
      </c>
      <c r="G178" s="23">
        <f>SUBTOTAL(9,G174:G177)</f>
        <v>84.551000000000002</v>
      </c>
      <c r="H178" s="23">
        <f>SUBTOTAL(9,H174:H177)</f>
        <v>84.551000000000002</v>
      </c>
      <c r="I178" s="23"/>
      <c r="J178" s="17"/>
      <c r="K178" s="76"/>
      <c r="L178" s="83"/>
      <c r="M178" s="80"/>
    </row>
    <row r="179" spans="1:13" ht="18.75" hidden="1" x14ac:dyDescent="0.3">
      <c r="A179" s="22"/>
      <c r="B179" s="13"/>
      <c r="C179" s="13"/>
      <c r="D179" s="13"/>
      <c r="E179" s="15"/>
      <c r="F179" s="15"/>
      <c r="G179" s="23"/>
      <c r="H179" s="23"/>
      <c r="I179" s="23"/>
      <c r="J179" s="17"/>
      <c r="K179" s="76"/>
      <c r="L179" s="17"/>
      <c r="M179" s="80"/>
    </row>
    <row r="180" spans="1:13" ht="18.75" hidden="1" x14ac:dyDescent="0.3">
      <c r="A180" s="21">
        <v>46045</v>
      </c>
      <c r="B180" s="13" t="s">
        <v>301</v>
      </c>
      <c r="C180" s="13" t="s">
        <v>149</v>
      </c>
      <c r="D180" s="13" t="s">
        <v>13</v>
      </c>
      <c r="E180" s="14">
        <f>508.045-60-20-16-10-50-60-25-30+30-241+60+24-26-20-52+1.29-18</f>
        <v>-4.6649999999999849</v>
      </c>
      <c r="F180" s="23"/>
      <c r="G180" s="16">
        <f t="shared" ref="G180" si="75">H180-E180</f>
        <v>37.999999999999986</v>
      </c>
      <c r="H180" s="16">
        <v>33.335000000000001</v>
      </c>
      <c r="I180" s="16">
        <v>508.04500000000002</v>
      </c>
      <c r="J180" s="17" t="s">
        <v>21</v>
      </c>
      <c r="K180" s="76"/>
      <c r="L180" s="83">
        <f t="shared" ref="L180" ca="1" si="76">TODAY()-A180</f>
        <v>116</v>
      </c>
      <c r="M180" s="80"/>
    </row>
    <row r="181" spans="1:13" ht="18.75" hidden="1" x14ac:dyDescent="0.3">
      <c r="A181" s="68">
        <v>46104</v>
      </c>
      <c r="B181" s="134" t="s">
        <v>378</v>
      </c>
      <c r="C181" s="67" t="s">
        <v>149</v>
      </c>
      <c r="D181" s="67" t="s">
        <v>9</v>
      </c>
      <c r="E181" s="69">
        <f>500-192-20-24-100-25-5-16</f>
        <v>118</v>
      </c>
      <c r="F181" s="71"/>
      <c r="G181" s="66">
        <f t="shared" ref="G181" si="77">H181-E181</f>
        <v>175.97000000000003</v>
      </c>
      <c r="H181" s="66">
        <v>293.97000000000003</v>
      </c>
      <c r="I181" s="66">
        <v>500</v>
      </c>
      <c r="J181" s="70" t="s">
        <v>32</v>
      </c>
      <c r="K181" s="77" t="s">
        <v>226</v>
      </c>
      <c r="L181" s="83">
        <f t="shared" ref="L181" ca="1" si="78">TODAY()-A181</f>
        <v>57</v>
      </c>
      <c r="M181" s="81"/>
    </row>
    <row r="182" spans="1:13" ht="18.75" hidden="1" x14ac:dyDescent="0.3">
      <c r="A182" s="22"/>
      <c r="B182" s="32" t="s">
        <v>27</v>
      </c>
      <c r="C182" s="13"/>
      <c r="D182" s="13"/>
      <c r="E182" s="23">
        <f>SUBTOTAL(9,E180:E180)</f>
        <v>0</v>
      </c>
      <c r="F182" s="24">
        <f>E182</f>
        <v>0</v>
      </c>
      <c r="G182" s="23">
        <f>SUBTOTAL(9,G180:G180)</f>
        <v>0</v>
      </c>
      <c r="H182" s="23">
        <f>SUBTOTAL(9,H179:H180)</f>
        <v>0</v>
      </c>
      <c r="I182" s="23"/>
      <c r="J182" s="17"/>
      <c r="K182" s="76"/>
      <c r="L182" s="17"/>
      <c r="M182" s="80"/>
    </row>
    <row r="183" spans="1:13" ht="18.75" hidden="1" x14ac:dyDescent="0.3">
      <c r="A183" s="22"/>
      <c r="B183" s="32"/>
      <c r="C183" s="13"/>
      <c r="D183" s="13"/>
      <c r="E183" s="15"/>
      <c r="F183" s="24"/>
      <c r="G183" s="23"/>
      <c r="H183" s="23"/>
      <c r="I183" s="23"/>
      <c r="J183" s="17"/>
      <c r="K183" s="76"/>
      <c r="L183" s="17"/>
      <c r="M183" s="80"/>
    </row>
    <row r="184" spans="1:13" ht="18.75" hidden="1" x14ac:dyDescent="0.3">
      <c r="A184" s="21">
        <v>46071</v>
      </c>
      <c r="B184" s="13" t="s">
        <v>323</v>
      </c>
      <c r="C184" s="13" t="s">
        <v>154</v>
      </c>
      <c r="D184" s="13" t="s">
        <v>9</v>
      </c>
      <c r="E184" s="14">
        <f>1047.84-828-600-100-50-90</f>
        <v>-620.16000000000008</v>
      </c>
      <c r="F184" s="24"/>
      <c r="G184" s="16">
        <f t="shared" ref="G184" si="79">H184-E184</f>
        <v>632.04600000000005</v>
      </c>
      <c r="H184" s="16">
        <v>11.885999999999999</v>
      </c>
      <c r="I184" s="16">
        <v>1047.8399999999999</v>
      </c>
      <c r="J184" s="17" t="s">
        <v>32</v>
      </c>
      <c r="K184" s="76"/>
      <c r="L184" s="83">
        <f t="shared" ref="L184" ca="1" si="80">TODAY()-A184</f>
        <v>90</v>
      </c>
      <c r="M184" s="80"/>
    </row>
    <row r="185" spans="1:13" ht="18.75" hidden="1" x14ac:dyDescent="0.3">
      <c r="A185" s="21">
        <v>46071</v>
      </c>
      <c r="B185" s="13" t="s">
        <v>322</v>
      </c>
      <c r="C185" s="13" t="s">
        <v>156</v>
      </c>
      <c r="D185" s="13" t="s">
        <v>9</v>
      </c>
      <c r="E185" s="14">
        <v>-18.913</v>
      </c>
      <c r="F185" s="24"/>
      <c r="G185" s="16">
        <f t="shared" ref="G185" si="81">H185-E185</f>
        <v>18.916</v>
      </c>
      <c r="H185" s="16">
        <v>3.0000000000000001E-3</v>
      </c>
      <c r="I185" s="16">
        <v>522.73299999999995</v>
      </c>
      <c r="J185" s="17" t="s">
        <v>32</v>
      </c>
      <c r="K185" s="76"/>
      <c r="L185" s="83">
        <f t="shared" ref="L185:L187" ca="1" si="82">TODAY()-A185</f>
        <v>90</v>
      </c>
      <c r="M185" s="80"/>
    </row>
    <row r="186" spans="1:13" ht="18.75" hidden="1" x14ac:dyDescent="0.3">
      <c r="A186" s="21">
        <v>46063</v>
      </c>
      <c r="B186" s="13" t="s">
        <v>311</v>
      </c>
      <c r="C186" s="13" t="s">
        <v>225</v>
      </c>
      <c r="D186" s="13" t="s">
        <v>9</v>
      </c>
      <c r="E186" s="14">
        <f>1125.224-200-298-18</f>
        <v>609.22399999999993</v>
      </c>
      <c r="F186" s="24"/>
      <c r="G186" s="16">
        <f t="shared" ref="G186" si="83">H186-E186</f>
        <v>366.58000000000004</v>
      </c>
      <c r="H186" s="16">
        <v>975.80399999999997</v>
      </c>
      <c r="I186" s="16">
        <v>1869.5719999999999</v>
      </c>
      <c r="J186" s="17" t="s">
        <v>32</v>
      </c>
      <c r="K186" s="76"/>
      <c r="L186" s="83">
        <f t="shared" ref="L186" ca="1" si="84">TODAY()-A186</f>
        <v>98</v>
      </c>
      <c r="M186" s="80"/>
    </row>
    <row r="187" spans="1:13" ht="18.75" hidden="1" x14ac:dyDescent="0.3">
      <c r="A187" s="21">
        <v>45996</v>
      </c>
      <c r="B187" s="13" t="s">
        <v>282</v>
      </c>
      <c r="C187" s="13" t="s">
        <v>225</v>
      </c>
      <c r="D187" s="13" t="s">
        <v>227</v>
      </c>
      <c r="E187" s="14">
        <v>-39.645000000000003</v>
      </c>
      <c r="F187" s="24"/>
      <c r="G187" s="16">
        <f t="shared" ref="G187" si="85">H187-E187</f>
        <v>40.25</v>
      </c>
      <c r="H187" s="16">
        <v>0.60499999999999998</v>
      </c>
      <c r="I187" s="16">
        <v>1451.973</v>
      </c>
      <c r="J187" s="17" t="s">
        <v>136</v>
      </c>
      <c r="K187" s="76"/>
      <c r="L187" s="83">
        <f t="shared" ca="1" si="82"/>
        <v>165</v>
      </c>
      <c r="M187" s="80"/>
    </row>
    <row r="188" spans="1:13" ht="18.75" hidden="1" x14ac:dyDescent="0.3">
      <c r="A188" s="22"/>
      <c r="B188" s="32" t="s">
        <v>27</v>
      </c>
      <c r="C188" s="13"/>
      <c r="D188" s="13"/>
      <c r="E188" s="23">
        <f>SUBTOTAL(9,E184:E187)</f>
        <v>0</v>
      </c>
      <c r="F188" s="24">
        <f>E188</f>
        <v>0</v>
      </c>
      <c r="G188" s="23">
        <f>SUBTOTAL(9,G184:G187)</f>
        <v>0</v>
      </c>
      <c r="H188" s="23">
        <f>SUBTOTAL(9,H184:H187)</f>
        <v>0</v>
      </c>
      <c r="I188" s="23"/>
      <c r="J188" s="17"/>
      <c r="K188" s="76"/>
      <c r="L188" s="17"/>
      <c r="M188" s="80"/>
    </row>
    <row r="189" spans="1:13" ht="18.75" hidden="1" x14ac:dyDescent="0.3">
      <c r="A189" s="22"/>
      <c r="B189" s="32"/>
      <c r="C189" s="13"/>
      <c r="D189" s="13"/>
      <c r="E189" s="23"/>
      <c r="F189" s="24"/>
      <c r="G189" s="23"/>
      <c r="H189" s="23"/>
      <c r="I189" s="23"/>
      <c r="J189" s="17"/>
      <c r="K189" s="76"/>
      <c r="L189" s="17"/>
      <c r="M189" s="80"/>
    </row>
    <row r="190" spans="1:13" ht="18.75" hidden="1" x14ac:dyDescent="0.3">
      <c r="A190" s="21">
        <v>46037</v>
      </c>
      <c r="B190" s="13" t="s">
        <v>297</v>
      </c>
      <c r="C190" s="13" t="s">
        <v>159</v>
      </c>
      <c r="D190" s="13" t="s">
        <v>166</v>
      </c>
      <c r="E190" s="14">
        <v>0.29299999999999998</v>
      </c>
      <c r="F190" s="15"/>
      <c r="G190" s="16">
        <f t="shared" ref="G190:G197" si="86">H190-E190</f>
        <v>36.71</v>
      </c>
      <c r="H190" s="16">
        <v>37.003</v>
      </c>
      <c r="I190" s="16">
        <v>4023.86</v>
      </c>
      <c r="J190" s="17" t="s">
        <v>167</v>
      </c>
      <c r="K190" s="76"/>
      <c r="L190" s="83">
        <f t="shared" ref="L190:L197" ca="1" si="87">TODAY()-A190</f>
        <v>124</v>
      </c>
      <c r="M190" s="103"/>
    </row>
    <row r="191" spans="1:13" ht="18.75" hidden="1" x14ac:dyDescent="0.3">
      <c r="A191" s="21">
        <v>46111</v>
      </c>
      <c r="B191" s="13" t="s">
        <v>371</v>
      </c>
      <c r="C191" s="13" t="s">
        <v>159</v>
      </c>
      <c r="D191" s="13" t="s">
        <v>166</v>
      </c>
      <c r="E191" s="14">
        <f>4454.687-516-1873-486.68-244-26-30-370-30+500-48-73-263-162-425-19-500-24+115+25-26</f>
        <v>-20.993000000000166</v>
      </c>
      <c r="F191" s="15"/>
      <c r="G191" s="16">
        <f t="shared" si="86"/>
        <v>967.02700000000016</v>
      </c>
      <c r="H191" s="16">
        <v>946.03399999999999</v>
      </c>
      <c r="I191" s="16">
        <v>4454.6869999999999</v>
      </c>
      <c r="J191" s="17" t="s">
        <v>167</v>
      </c>
      <c r="K191" s="76"/>
      <c r="L191" s="83">
        <f t="shared" ca="1" si="87"/>
        <v>50</v>
      </c>
      <c r="M191" s="103"/>
    </row>
    <row r="192" spans="1:13" ht="18.75" hidden="1" x14ac:dyDescent="0.3">
      <c r="A192" s="21">
        <v>46027</v>
      </c>
      <c r="B192" s="13" t="s">
        <v>293</v>
      </c>
      <c r="C192" s="13" t="s">
        <v>159</v>
      </c>
      <c r="D192" s="13" t="s">
        <v>13</v>
      </c>
      <c r="E192" s="14">
        <v>0</v>
      </c>
      <c r="F192" s="15"/>
      <c r="G192" s="16">
        <f t="shared" si="86"/>
        <v>66.602000000000004</v>
      </c>
      <c r="H192" s="16">
        <v>66.602000000000004</v>
      </c>
      <c r="I192" s="16">
        <v>10459.857</v>
      </c>
      <c r="J192" s="17" t="s">
        <v>21</v>
      </c>
      <c r="K192" s="76"/>
      <c r="L192" s="83">
        <f t="shared" ca="1" si="87"/>
        <v>134</v>
      </c>
      <c r="M192" s="103"/>
    </row>
    <row r="193" spans="1:13" ht="18.75" hidden="1" x14ac:dyDescent="0.3">
      <c r="A193" s="21">
        <v>46067</v>
      </c>
      <c r="B193" s="13" t="s">
        <v>313</v>
      </c>
      <c r="C193" s="13" t="s">
        <v>159</v>
      </c>
      <c r="D193" s="13" t="s">
        <v>13</v>
      </c>
      <c r="E193" s="14">
        <v>0</v>
      </c>
      <c r="F193" s="15"/>
      <c r="G193" s="16">
        <f t="shared" si="86"/>
        <v>1.9E-2</v>
      </c>
      <c r="H193" s="16">
        <v>1.9E-2</v>
      </c>
      <c r="I193" s="16">
        <v>20118.866999999998</v>
      </c>
      <c r="J193" s="17" t="s">
        <v>21</v>
      </c>
      <c r="K193" s="76"/>
      <c r="L193" s="83">
        <f t="shared" ca="1" si="87"/>
        <v>94</v>
      </c>
      <c r="M193" s="103"/>
    </row>
    <row r="194" spans="1:13" ht="18.75" hidden="1" x14ac:dyDescent="0.3">
      <c r="A194" s="21">
        <v>46121</v>
      </c>
      <c r="B194" s="13" t="s">
        <v>382</v>
      </c>
      <c r="C194" s="13" t="s">
        <v>159</v>
      </c>
      <c r="D194" s="13" t="s">
        <v>13</v>
      </c>
      <c r="E194" s="14">
        <f>2991.197-167.506-62-600-23-825-483-40-200-64-25</f>
        <v>501.69100000000026</v>
      </c>
      <c r="F194" s="15"/>
      <c r="G194" s="16">
        <f t="shared" si="86"/>
        <v>296.31399999999974</v>
      </c>
      <c r="H194" s="16">
        <v>798.005</v>
      </c>
      <c r="I194" s="16">
        <v>2991.1970000000001</v>
      </c>
      <c r="J194" s="17" t="s">
        <v>21</v>
      </c>
      <c r="K194" s="76"/>
      <c r="L194" s="83">
        <f t="shared" ca="1" si="87"/>
        <v>40</v>
      </c>
      <c r="M194" s="103"/>
    </row>
    <row r="195" spans="1:13" s="123" customFormat="1" ht="18.75" hidden="1" x14ac:dyDescent="0.3">
      <c r="A195" s="117">
        <v>46032</v>
      </c>
      <c r="B195" s="32" t="s">
        <v>295</v>
      </c>
      <c r="C195" s="32" t="s">
        <v>159</v>
      </c>
      <c r="D195" s="32" t="s">
        <v>9</v>
      </c>
      <c r="E195" s="15">
        <v>0</v>
      </c>
      <c r="F195" s="15"/>
      <c r="G195" s="115">
        <f t="shared" si="86"/>
        <v>37.921999999999997</v>
      </c>
      <c r="H195" s="115">
        <v>37.921999999999997</v>
      </c>
      <c r="I195" s="115">
        <v>4981.598</v>
      </c>
      <c r="J195" s="30" t="s">
        <v>296</v>
      </c>
      <c r="K195" s="118"/>
      <c r="L195" s="119">
        <f t="shared" ca="1" si="87"/>
        <v>129</v>
      </c>
      <c r="M195" s="120"/>
    </row>
    <row r="196" spans="1:13" s="123" customFormat="1" ht="18.75" hidden="1" x14ac:dyDescent="0.3">
      <c r="A196" s="117">
        <v>46073</v>
      </c>
      <c r="B196" s="32" t="s">
        <v>330</v>
      </c>
      <c r="C196" s="32" t="s">
        <v>159</v>
      </c>
      <c r="D196" s="32" t="s">
        <v>9</v>
      </c>
      <c r="E196" s="15">
        <f>5879.747-846-650-615-3319+1000-914+25-488+64-260-160+160</f>
        <v>-123.2529999999997</v>
      </c>
      <c r="F196" s="15"/>
      <c r="G196" s="115">
        <f t="shared" si="86"/>
        <v>1364.7499999999998</v>
      </c>
      <c r="H196" s="115">
        <v>1241.4970000000001</v>
      </c>
      <c r="I196" s="115">
        <v>5879.7470000000003</v>
      </c>
      <c r="J196" s="30" t="s">
        <v>332</v>
      </c>
      <c r="K196" s="118"/>
      <c r="L196" s="119">
        <f t="shared" ca="1" si="87"/>
        <v>88</v>
      </c>
      <c r="M196" s="120"/>
    </row>
    <row r="197" spans="1:13" ht="18.75" hidden="1" x14ac:dyDescent="0.3">
      <c r="A197" s="21">
        <v>46010</v>
      </c>
      <c r="B197" s="13" t="s">
        <v>289</v>
      </c>
      <c r="C197" s="13" t="s">
        <v>159</v>
      </c>
      <c r="D197" s="13" t="s">
        <v>16</v>
      </c>
      <c r="E197" s="14">
        <v>0</v>
      </c>
      <c r="F197" s="15"/>
      <c r="G197" s="16">
        <f t="shared" si="86"/>
        <v>24.128</v>
      </c>
      <c r="H197" s="16">
        <v>24.128</v>
      </c>
      <c r="I197" s="16">
        <v>5242.9709999999995</v>
      </c>
      <c r="J197" s="17" t="s">
        <v>23</v>
      </c>
      <c r="K197" s="76"/>
      <c r="L197" s="83">
        <f t="shared" ca="1" si="87"/>
        <v>151</v>
      </c>
      <c r="M197" s="103"/>
    </row>
    <row r="198" spans="1:13" ht="18.75" hidden="1" x14ac:dyDescent="0.3">
      <c r="A198" s="21">
        <v>46009</v>
      </c>
      <c r="B198" s="13" t="s">
        <v>290</v>
      </c>
      <c r="C198" s="13" t="s">
        <v>159</v>
      </c>
      <c r="D198" s="13" t="s">
        <v>16</v>
      </c>
      <c r="E198" s="14">
        <v>0</v>
      </c>
      <c r="F198" s="15"/>
      <c r="G198" s="16">
        <f t="shared" ref="G198:G199" si="88">H198-E198</f>
        <v>8.0000000000000002E-3</v>
      </c>
      <c r="H198" s="16">
        <v>8.0000000000000002E-3</v>
      </c>
      <c r="I198" s="16">
        <v>5185.6229999999996</v>
      </c>
      <c r="J198" s="17" t="s">
        <v>23</v>
      </c>
      <c r="K198" s="76"/>
      <c r="L198" s="83">
        <f t="shared" ref="L198:L199" ca="1" si="89">TODAY()-A198</f>
        <v>152</v>
      </c>
      <c r="M198" s="103"/>
    </row>
    <row r="199" spans="1:13" ht="18.75" hidden="1" x14ac:dyDescent="0.3">
      <c r="A199" s="21">
        <v>46099</v>
      </c>
      <c r="B199" s="13" t="s">
        <v>368</v>
      </c>
      <c r="C199" s="13" t="s">
        <v>159</v>
      </c>
      <c r="D199" s="13" t="s">
        <v>16</v>
      </c>
      <c r="E199" s="14">
        <f>8521.987-80-3922-500-1461-50-22-150-170-16.102-1542-358-500-25+25-100</f>
        <v>-349.11500000000069</v>
      </c>
      <c r="F199" s="15"/>
      <c r="G199" s="16">
        <f t="shared" si="88"/>
        <v>1544.1500000000008</v>
      </c>
      <c r="H199" s="16">
        <v>1195.0350000000001</v>
      </c>
      <c r="I199" s="16">
        <v>8521.9869999999992</v>
      </c>
      <c r="J199" s="17" t="s">
        <v>23</v>
      </c>
      <c r="K199" s="76"/>
      <c r="L199" s="83">
        <f t="shared" ca="1" si="89"/>
        <v>62</v>
      </c>
      <c r="M199" s="103"/>
    </row>
    <row r="200" spans="1:13" ht="19.5" hidden="1" thickBot="1" x14ac:dyDescent="0.35">
      <c r="A200" s="22"/>
      <c r="B200" s="32" t="s">
        <v>27</v>
      </c>
      <c r="C200" s="13"/>
      <c r="D200" s="13"/>
      <c r="E200" s="23">
        <f>SUBTOTAL(9,E190:E199)</f>
        <v>0</v>
      </c>
      <c r="F200" s="24">
        <f>E200</f>
        <v>0</v>
      </c>
      <c r="G200" s="23">
        <f>SUBTOTAL(9,G190:G199)</f>
        <v>0</v>
      </c>
      <c r="H200" s="23">
        <f>SUBTOTAL(9,H190:H199)</f>
        <v>0</v>
      </c>
      <c r="I200" s="23"/>
      <c r="J200" s="43"/>
      <c r="K200" s="78"/>
      <c r="L200" s="43"/>
      <c r="M200" s="82">
        <v>340.29989425974929</v>
      </c>
    </row>
    <row r="201" spans="1:13" ht="19.5" hidden="1" thickBot="1" x14ac:dyDescent="0.35">
      <c r="A201" s="46"/>
      <c r="B201" s="47" t="s">
        <v>171</v>
      </c>
      <c r="C201" s="48"/>
      <c r="D201" s="48"/>
      <c r="E201" s="49"/>
      <c r="F201" s="50">
        <f>SUM(F3:F200)</f>
        <v>2863.538</v>
      </c>
      <c r="G201" s="50">
        <f>SUMIF(B2:B200,B200,G2:G200)</f>
        <v>9320.3569999999982</v>
      </c>
      <c r="H201" s="50">
        <f>SUMIF(B2:B200,B200,H2:H200)</f>
        <v>12183.895</v>
      </c>
      <c r="I201" s="50"/>
      <c r="J201" s="51"/>
      <c r="K201" s="79"/>
      <c r="L201" s="52"/>
      <c r="M201" s="53"/>
    </row>
    <row r="203" spans="1:13" ht="18.75" x14ac:dyDescent="0.3">
      <c r="H203" s="125"/>
    </row>
    <row r="204" spans="1:13" ht="18.75" x14ac:dyDescent="0.3">
      <c r="H204" s="125"/>
      <c r="I204" s="125"/>
    </row>
    <row r="205" spans="1:13" ht="18.75" x14ac:dyDescent="0.3">
      <c r="H205" s="125"/>
      <c r="I205" s="125"/>
      <c r="J205" s="135"/>
    </row>
    <row r="206" spans="1:13" ht="18.75" x14ac:dyDescent="0.3">
      <c r="G206" s="54"/>
      <c r="H206" s="125"/>
      <c r="I206" s="54"/>
      <c r="J206" s="135"/>
    </row>
    <row r="207" spans="1:13" x14ac:dyDescent="0.3">
      <c r="G207" s="54"/>
      <c r="H207" s="54"/>
      <c r="I207" s="54"/>
    </row>
    <row r="208" spans="1:13" x14ac:dyDescent="0.3">
      <c r="G208" s="54"/>
      <c r="H208" s="54"/>
      <c r="I208" s="54"/>
    </row>
    <row r="209" spans="7:9" x14ac:dyDescent="0.3">
      <c r="G209" s="54"/>
      <c r="H209" s="54"/>
      <c r="I209" s="54"/>
    </row>
    <row r="210" spans="7:9" x14ac:dyDescent="0.3">
      <c r="G210" s="54"/>
      <c r="H210" s="54"/>
      <c r="I210" s="54"/>
    </row>
    <row r="211" spans="7:9" x14ac:dyDescent="0.3">
      <c r="G211" s="54"/>
      <c r="H211" s="54"/>
      <c r="I211" s="54"/>
    </row>
    <row r="212" spans="7:9" x14ac:dyDescent="0.3">
      <c r="G212" s="54"/>
      <c r="H212" s="54"/>
      <c r="I212" s="54"/>
    </row>
    <row r="213" spans="7:9" x14ac:dyDescent="0.3">
      <c r="G213" s="54"/>
      <c r="H213" s="54"/>
      <c r="I213" s="54"/>
    </row>
  </sheetData>
  <autoFilter ref="A2:L201">
    <filterColumn colId="10">
      <filters>
        <filter val="SIDHGUN"/>
      </filters>
    </filterColumn>
    <sortState ref="A110:L127">
      <sortCondition ref="C2:C202"/>
    </sortState>
  </autoFilter>
  <mergeCells count="1">
    <mergeCell ref="A1:L1"/>
  </mergeCells>
  <conditionalFormatting sqref="E78:E79 H78:I79 H33:I33 H37:I39 H97:I97 E67:E68 H67:I68 H14:I14 H179:I179 H63:I63 E179 H29:I30 H71:I71 E71 H204:I205 H189:I189 H206 H127:I127 E74:E75 J26:K26 H197:I199 H123:I125 H192:I195 H183:I187 H181:I181 H108:I117 H51:I58 H170:I171 E131:E139 H173:I176 E82:E86 H41:I49 E100:E105 H100:I105 E19:E30 H94:I95 E89:E97 E108:E127 H119:I121 E32:E58 H89:I92 H82:I86 E1:E14 H1:I12 H19:I27 H203 E60:E64 H60:I61 E181:E1048576 E144:E176 H145:I168 H132:I139 H74:I75">
    <cfRule type="cellIs" dxfId="49" priority="877" operator="lessThan">
      <formula>0</formula>
    </cfRule>
  </conditionalFormatting>
  <conditionalFormatting sqref="G200:I200">
    <cfRule type="cellIs" dxfId="48" priority="777" operator="lessThan">
      <formula>0</formula>
    </cfRule>
  </conditionalFormatting>
  <conditionalFormatting sqref="G96:G97 H96:I96">
    <cfRule type="cellIs" dxfId="47" priority="694" operator="lessThan">
      <formula>0</formula>
    </cfRule>
  </conditionalFormatting>
  <conditionalFormatting sqref="G122:I122">
    <cfRule type="cellIs" dxfId="46" priority="657" operator="lessThan">
      <formula>0</formula>
    </cfRule>
  </conditionalFormatting>
  <conditionalFormatting sqref="E73 H73:I73 H77:I77 E77">
    <cfRule type="cellIs" dxfId="45" priority="601" operator="lessThan">
      <formula>0</formula>
    </cfRule>
  </conditionalFormatting>
  <conditionalFormatting sqref="G118:I118">
    <cfRule type="cellIs" dxfId="44" priority="580" operator="lessThan">
      <formula>0</formula>
    </cfRule>
  </conditionalFormatting>
  <conditionalFormatting sqref="G188:I188">
    <cfRule type="cellIs" dxfId="43" priority="436" operator="lessThan">
      <formula>0</formula>
    </cfRule>
  </conditionalFormatting>
  <conditionalFormatting sqref="G93:I93">
    <cfRule type="cellIs" dxfId="42" priority="352" operator="lessThan">
      <formula>0</formula>
    </cfRule>
  </conditionalFormatting>
  <conditionalFormatting sqref="E178">
    <cfRule type="cellIs" dxfId="41" priority="325" operator="lessThan">
      <formula>0</formula>
    </cfRule>
  </conditionalFormatting>
  <conditionalFormatting sqref="E66 H66:I66 H70:I70 E70">
    <cfRule type="cellIs" dxfId="40" priority="307" operator="lessThan">
      <formula>0</formula>
    </cfRule>
  </conditionalFormatting>
  <conditionalFormatting sqref="G126:I126">
    <cfRule type="cellIs" dxfId="39" priority="288" operator="lessThan">
      <formula>0</formula>
    </cfRule>
  </conditionalFormatting>
  <conditionalFormatting sqref="G28:G29 H28:I28">
    <cfRule type="cellIs" dxfId="38" priority="276" operator="lessThan">
      <formula>0</formula>
    </cfRule>
  </conditionalFormatting>
  <conditionalFormatting sqref="E81 H81:I81">
    <cfRule type="cellIs" dxfId="37" priority="260" operator="lessThan">
      <formula>0</formula>
    </cfRule>
  </conditionalFormatting>
  <conditionalFormatting sqref="G178:I178">
    <cfRule type="cellIs" dxfId="36" priority="217" operator="lessThan">
      <formula>0</formula>
    </cfRule>
  </conditionalFormatting>
  <conditionalFormatting sqref="G50:I50">
    <cfRule type="cellIs" dxfId="35" priority="200" operator="lessThan">
      <formula>0</formula>
    </cfRule>
  </conditionalFormatting>
  <conditionalFormatting sqref="G13">
    <cfRule type="cellIs" dxfId="34" priority="181" operator="lessThan">
      <formula>0</formula>
    </cfRule>
  </conditionalFormatting>
  <conditionalFormatting sqref="G131:I131">
    <cfRule type="cellIs" dxfId="33" priority="148" operator="lessThan">
      <formula>0</formula>
    </cfRule>
  </conditionalFormatting>
  <conditionalFormatting sqref="G182">
    <cfRule type="cellIs" dxfId="32" priority="141" operator="lessThan">
      <formula>0</formula>
    </cfRule>
  </conditionalFormatting>
  <conditionalFormatting sqref="G66 G70">
    <cfRule type="cellIs" dxfId="31" priority="138" operator="lessThan">
      <formula>0</formula>
    </cfRule>
  </conditionalFormatting>
  <conditionalFormatting sqref="H88:I88 E87:E88">
    <cfRule type="cellIs" dxfId="30" priority="120" operator="lessThan">
      <formula>0</formula>
    </cfRule>
  </conditionalFormatting>
  <conditionalFormatting sqref="E80">
    <cfRule type="cellIs" dxfId="29" priority="113" operator="lessThan">
      <formula>0</formula>
    </cfRule>
  </conditionalFormatting>
  <conditionalFormatting sqref="G32:G33 G41 H32:I32">
    <cfRule type="cellIs" dxfId="28" priority="78" operator="lessThan">
      <formula>0</formula>
    </cfRule>
  </conditionalFormatting>
  <conditionalFormatting sqref="E72">
    <cfRule type="cellIs" dxfId="27" priority="77" operator="lessThan">
      <formula>0</formula>
    </cfRule>
  </conditionalFormatting>
  <conditionalFormatting sqref="E69">
    <cfRule type="cellIs" dxfId="26" priority="60" operator="lessThan">
      <formula>0</formula>
    </cfRule>
  </conditionalFormatting>
  <conditionalFormatting sqref="G69:I69">
    <cfRule type="cellIs" dxfId="25" priority="59" operator="lessThan">
      <formula>0</formula>
    </cfRule>
  </conditionalFormatting>
  <conditionalFormatting sqref="E31 H31:I31">
    <cfRule type="cellIs" dxfId="24" priority="54" operator="lessThan">
      <formula>0</formula>
    </cfRule>
  </conditionalFormatting>
  <conditionalFormatting sqref="G40:I40">
    <cfRule type="cellIs" dxfId="23" priority="50" operator="lessThan">
      <formula>0</formula>
    </cfRule>
  </conditionalFormatting>
  <conditionalFormatting sqref="E18">
    <cfRule type="cellIs" dxfId="22" priority="47" operator="lessThan">
      <formula>0</formula>
    </cfRule>
  </conditionalFormatting>
  <conditionalFormatting sqref="G18:I18">
    <cfRule type="cellIs" dxfId="21" priority="46" operator="lessThan">
      <formula>0</formula>
    </cfRule>
  </conditionalFormatting>
  <conditionalFormatting sqref="G35:I36">
    <cfRule type="cellIs" dxfId="20" priority="39" operator="lessThan">
      <formula>0</formula>
    </cfRule>
  </conditionalFormatting>
  <conditionalFormatting sqref="E65">
    <cfRule type="cellIs" dxfId="19" priority="30" operator="lessThan">
      <formula>0</formula>
    </cfRule>
  </conditionalFormatting>
  <conditionalFormatting sqref="G65:I65">
    <cfRule type="cellIs" dxfId="18" priority="28" operator="lessThan">
      <formula>0</formula>
    </cfRule>
  </conditionalFormatting>
  <conditionalFormatting sqref="H34:I34">
    <cfRule type="cellIs" dxfId="17" priority="26" operator="lessThan">
      <formula>0</formula>
    </cfRule>
  </conditionalFormatting>
  <conditionalFormatting sqref="H13:I13">
    <cfRule type="cellIs" dxfId="16" priority="24" operator="lessThan">
      <formula>0</formula>
    </cfRule>
  </conditionalFormatting>
  <conditionalFormatting sqref="E76">
    <cfRule type="cellIs" dxfId="15" priority="20" operator="lessThan">
      <formula>0</formula>
    </cfRule>
  </conditionalFormatting>
  <conditionalFormatting sqref="E140:E143 H140:I143">
    <cfRule type="cellIs" dxfId="14" priority="18" operator="lessThan">
      <formula>0</formula>
    </cfRule>
  </conditionalFormatting>
  <conditionalFormatting sqref="H180:I180 E180">
    <cfRule type="cellIs" dxfId="13" priority="17" operator="lessThan">
      <formula>0</formula>
    </cfRule>
  </conditionalFormatting>
  <conditionalFormatting sqref="H182:I182">
    <cfRule type="cellIs" dxfId="12" priority="16" operator="lessThan">
      <formula>0</formula>
    </cfRule>
  </conditionalFormatting>
  <conditionalFormatting sqref="E98 H98:I98">
    <cfRule type="cellIs" dxfId="11" priority="14" operator="lessThan">
      <formula>0</formula>
    </cfRule>
  </conditionalFormatting>
  <conditionalFormatting sqref="E99">
    <cfRule type="cellIs" dxfId="10" priority="13" operator="lessThan">
      <formula>0</formula>
    </cfRule>
  </conditionalFormatting>
  <conditionalFormatting sqref="G99:I99">
    <cfRule type="cellIs" dxfId="9" priority="12" operator="lessThan">
      <formula>0</formula>
    </cfRule>
  </conditionalFormatting>
  <conditionalFormatting sqref="E128:E130 H128:I130">
    <cfRule type="cellIs" dxfId="8" priority="11" operator="lessThan">
      <formula>0</formula>
    </cfRule>
  </conditionalFormatting>
  <conditionalFormatting sqref="H196:I196">
    <cfRule type="cellIs" dxfId="7" priority="10" operator="lessThan">
      <formula>0</formula>
    </cfRule>
  </conditionalFormatting>
  <conditionalFormatting sqref="H106:I107 E106:E107">
    <cfRule type="cellIs" dxfId="6" priority="9" operator="lessThan">
      <formula>0</formula>
    </cfRule>
  </conditionalFormatting>
  <conditionalFormatting sqref="E17 H17:I17">
    <cfRule type="cellIs" dxfId="5" priority="7" operator="lessThan">
      <formula>0</formula>
    </cfRule>
  </conditionalFormatting>
  <conditionalFormatting sqref="E177 H177:I177">
    <cfRule type="cellIs" dxfId="4" priority="6" operator="lessThan">
      <formula>0</formula>
    </cfRule>
  </conditionalFormatting>
  <conditionalFormatting sqref="G172">
    <cfRule type="cellIs" dxfId="3" priority="5" operator="lessThan">
      <formula>0</formula>
    </cfRule>
  </conditionalFormatting>
  <conditionalFormatting sqref="H172">
    <cfRule type="cellIs" dxfId="2" priority="4" operator="lessThan">
      <formula>0</formula>
    </cfRule>
  </conditionalFormatting>
  <conditionalFormatting sqref="E15:E16 H15:I16">
    <cfRule type="cellIs" dxfId="1" priority="2" operator="lessThan">
      <formula>0</formula>
    </cfRule>
  </conditionalFormatting>
  <conditionalFormatting sqref="H59:I59 E59">
    <cfRule type="cellIs" dxfId="0" priority="1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zoomScale="80" zoomScaleNormal="80" workbookViewId="0">
      <pane ySplit="6" topLeftCell="A7" activePane="bottomLeft" state="frozen"/>
      <selection activeCell="E11" sqref="E11"/>
      <selection pane="bottomLeft" activeCell="E11" sqref="E11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4" t="s">
        <v>172</v>
      </c>
      <c r="B5" s="145"/>
      <c r="C5" s="145"/>
      <c r="D5" s="145"/>
      <c r="E5" s="145"/>
      <c r="F5" s="145"/>
      <c r="G5" s="145"/>
      <c r="H5" s="145"/>
      <c r="I5" s="145"/>
      <c r="J5" s="146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:E19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si="1"/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2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2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2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3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3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3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3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si="3"/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3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3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3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3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3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4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si="4"/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4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4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4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si="4"/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4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4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si="4"/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4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5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5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5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5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5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5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6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si="6"/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6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6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si="6"/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6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7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7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7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7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7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7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7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si="7"/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7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15" si="8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8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8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8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8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8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si="8"/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8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8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8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8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8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:E120" si="9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si="9"/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si="9"/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10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10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10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si="10"/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10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10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11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si="11"/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11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11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11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11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si="11"/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11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12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12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12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13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13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si="13"/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13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13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si="13"/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13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14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14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14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14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14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14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14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14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Normal="100" workbookViewId="0">
      <pane ySplit="1" topLeftCell="A5" activePane="bottomLeft" state="frozen"/>
      <selection pane="bottomLeft" activeCell="E18" sqref="E18"/>
    </sheetView>
  </sheetViews>
  <sheetFormatPr defaultRowHeight="15" x14ac:dyDescent="0.25"/>
  <cols>
    <col min="1" max="1" width="27.42578125" customWidth="1"/>
    <col min="2" max="2" width="14.28515625" customWidth="1"/>
    <col min="3" max="3" width="26.5703125" customWidth="1"/>
    <col min="4" max="4" width="22.28515625" customWidth="1"/>
    <col min="5" max="5" width="10.28515625" customWidth="1"/>
    <col min="6" max="6" width="11.5703125" customWidth="1"/>
    <col min="7" max="7" width="24.140625" customWidth="1"/>
  </cols>
  <sheetData>
    <row r="1" spans="1:7" s="89" customFormat="1" ht="24.75" customHeight="1" x14ac:dyDescent="0.25">
      <c r="A1" s="86" t="s">
        <v>1</v>
      </c>
      <c r="B1" s="86" t="s">
        <v>233</v>
      </c>
      <c r="C1" s="86" t="s">
        <v>234</v>
      </c>
      <c r="D1" s="86" t="s">
        <v>235</v>
      </c>
      <c r="E1" s="87" t="s">
        <v>236</v>
      </c>
      <c r="F1" s="86" t="s">
        <v>7</v>
      </c>
      <c r="G1" s="88" t="s">
        <v>237</v>
      </c>
    </row>
    <row r="2" spans="1:7" x14ac:dyDescent="0.25">
      <c r="A2" s="92" t="s">
        <v>306</v>
      </c>
      <c r="B2" s="90">
        <v>46078</v>
      </c>
      <c r="C2" s="91" t="s">
        <v>327</v>
      </c>
      <c r="D2" s="92" t="s">
        <v>108</v>
      </c>
      <c r="E2" s="93">
        <v>30</v>
      </c>
      <c r="F2" s="92" t="s">
        <v>13</v>
      </c>
      <c r="G2" s="93"/>
    </row>
    <row r="3" spans="1:7" x14ac:dyDescent="0.25">
      <c r="A3" s="92" t="s">
        <v>361</v>
      </c>
      <c r="B3" s="90">
        <v>46115</v>
      </c>
      <c r="C3" s="91" t="s">
        <v>363</v>
      </c>
      <c r="D3" s="92" t="s">
        <v>105</v>
      </c>
      <c r="E3" s="93">
        <v>100</v>
      </c>
      <c r="F3" s="92" t="s">
        <v>9</v>
      </c>
      <c r="G3" s="93"/>
    </row>
    <row r="4" spans="1:7" x14ac:dyDescent="0.25">
      <c r="A4" s="92" t="s">
        <v>379</v>
      </c>
      <c r="B4" s="90">
        <v>46120</v>
      </c>
      <c r="C4" s="91" t="s">
        <v>362</v>
      </c>
      <c r="D4" s="92" t="s">
        <v>105</v>
      </c>
      <c r="E4" s="93">
        <v>25</v>
      </c>
      <c r="F4" s="92" t="s">
        <v>9</v>
      </c>
      <c r="G4" s="93"/>
    </row>
    <row r="5" spans="1:7" x14ac:dyDescent="0.25">
      <c r="A5" s="92" t="s">
        <v>392</v>
      </c>
      <c r="B5" s="90">
        <v>46132</v>
      </c>
      <c r="C5" s="91" t="s">
        <v>393</v>
      </c>
      <c r="D5" s="92" t="s">
        <v>105</v>
      </c>
      <c r="E5" s="93">
        <v>60</v>
      </c>
      <c r="F5" s="92" t="s">
        <v>9</v>
      </c>
      <c r="G5" s="93"/>
    </row>
    <row r="6" spans="1:7" x14ac:dyDescent="0.25">
      <c r="A6" s="92" t="s">
        <v>392</v>
      </c>
      <c r="B6" s="90">
        <v>46134</v>
      </c>
      <c r="C6" s="91" t="s">
        <v>400</v>
      </c>
      <c r="D6" s="92" t="s">
        <v>105</v>
      </c>
      <c r="E6" s="93">
        <v>30</v>
      </c>
      <c r="F6" s="92" t="s">
        <v>9</v>
      </c>
      <c r="G6" s="93"/>
    </row>
    <row r="7" spans="1:7" x14ac:dyDescent="0.25">
      <c r="A7" s="92" t="s">
        <v>392</v>
      </c>
      <c r="B7" s="90">
        <v>46135</v>
      </c>
      <c r="C7" s="91" t="s">
        <v>401</v>
      </c>
      <c r="D7" s="92" t="s">
        <v>105</v>
      </c>
      <c r="E7" s="93">
        <v>25</v>
      </c>
      <c r="F7" s="92" t="s">
        <v>9</v>
      </c>
      <c r="G7" s="93"/>
    </row>
    <row r="8" spans="1:7" x14ac:dyDescent="0.25">
      <c r="A8" s="92" t="s">
        <v>418</v>
      </c>
      <c r="B8" s="90">
        <v>46147</v>
      </c>
      <c r="C8" s="91" t="s">
        <v>419</v>
      </c>
      <c r="D8" s="92" t="s">
        <v>105</v>
      </c>
      <c r="E8" s="93">
        <v>50</v>
      </c>
      <c r="F8" s="92" t="s">
        <v>9</v>
      </c>
      <c r="G8" s="93"/>
    </row>
    <row r="9" spans="1:7" x14ac:dyDescent="0.25">
      <c r="A9" s="92" t="s">
        <v>392</v>
      </c>
      <c r="B9" s="90">
        <v>46147</v>
      </c>
      <c r="C9" s="91" t="s">
        <v>420</v>
      </c>
      <c r="D9" s="92" t="s">
        <v>105</v>
      </c>
      <c r="E9" s="93">
        <v>75</v>
      </c>
      <c r="F9" s="92" t="s">
        <v>9</v>
      </c>
      <c r="G9" s="93"/>
    </row>
    <row r="10" spans="1:7" x14ac:dyDescent="0.25">
      <c r="A10" s="92" t="s">
        <v>421</v>
      </c>
      <c r="B10" s="90">
        <v>46148</v>
      </c>
      <c r="C10" s="91" t="s">
        <v>425</v>
      </c>
      <c r="D10" s="92" t="s">
        <v>118</v>
      </c>
      <c r="E10" s="93">
        <v>26.36</v>
      </c>
      <c r="F10" s="92" t="s">
        <v>9</v>
      </c>
      <c r="G10" s="93"/>
    </row>
    <row r="11" spans="1:7" x14ac:dyDescent="0.25">
      <c r="A11" s="92" t="s">
        <v>422</v>
      </c>
      <c r="B11" s="90">
        <v>46148</v>
      </c>
      <c r="C11" s="91" t="s">
        <v>426</v>
      </c>
      <c r="D11" s="92" t="s">
        <v>46</v>
      </c>
      <c r="E11" s="93">
        <v>150</v>
      </c>
      <c r="F11" s="92" t="s">
        <v>9</v>
      </c>
      <c r="G11" s="93"/>
    </row>
    <row r="12" spans="1:7" x14ac:dyDescent="0.25">
      <c r="A12" s="92" t="s">
        <v>423</v>
      </c>
      <c r="B12" s="90">
        <v>46148</v>
      </c>
      <c r="C12" s="91" t="s">
        <v>427</v>
      </c>
      <c r="D12" s="92" t="s">
        <v>159</v>
      </c>
      <c r="E12" s="93">
        <v>700</v>
      </c>
      <c r="F12" s="92" t="s">
        <v>9</v>
      </c>
      <c r="G12" s="93"/>
    </row>
    <row r="13" spans="1:7" x14ac:dyDescent="0.25">
      <c r="A13" s="92" t="s">
        <v>424</v>
      </c>
      <c r="B13" s="90">
        <v>46148</v>
      </c>
      <c r="C13" s="91" t="s">
        <v>428</v>
      </c>
      <c r="D13" s="92" t="s">
        <v>159</v>
      </c>
      <c r="E13" s="93">
        <v>2000</v>
      </c>
      <c r="F13" s="92" t="s">
        <v>9</v>
      </c>
      <c r="G13" s="93"/>
    </row>
    <row r="14" spans="1:7" x14ac:dyDescent="0.25">
      <c r="A14" s="92" t="s">
        <v>424</v>
      </c>
      <c r="B14" s="90">
        <v>46150</v>
      </c>
      <c r="C14" s="91" t="s">
        <v>433</v>
      </c>
      <c r="D14" s="92" t="s">
        <v>159</v>
      </c>
      <c r="E14" s="93">
        <v>150</v>
      </c>
      <c r="F14" s="92" t="s">
        <v>9</v>
      </c>
      <c r="G14" s="93"/>
    </row>
    <row r="15" spans="1:7" x14ac:dyDescent="0.25">
      <c r="A15" s="92" t="s">
        <v>423</v>
      </c>
      <c r="B15" s="90">
        <v>46153</v>
      </c>
      <c r="C15" s="91" t="s">
        <v>436</v>
      </c>
      <c r="D15" s="92" t="s">
        <v>159</v>
      </c>
      <c r="E15" s="93">
        <v>128</v>
      </c>
      <c r="F15" s="92" t="s">
        <v>9</v>
      </c>
      <c r="G15" s="93"/>
    </row>
    <row r="16" spans="1:7" x14ac:dyDescent="0.25">
      <c r="A16" s="140" t="s">
        <v>435</v>
      </c>
      <c r="B16" s="141">
        <v>46153</v>
      </c>
      <c r="C16" s="142" t="s">
        <v>437</v>
      </c>
      <c r="D16" s="140" t="s">
        <v>159</v>
      </c>
      <c r="E16" s="124">
        <v>410</v>
      </c>
      <c r="F16" s="140" t="s">
        <v>166</v>
      </c>
      <c r="G16" s="124" t="s">
        <v>438</v>
      </c>
    </row>
    <row r="17" spans="1:7" x14ac:dyDescent="0.25">
      <c r="A17" s="92" t="s">
        <v>423</v>
      </c>
      <c r="B17" s="90">
        <v>46154</v>
      </c>
      <c r="C17" s="91" t="s">
        <v>442</v>
      </c>
      <c r="D17" s="92" t="s">
        <v>159</v>
      </c>
      <c r="E17" s="93">
        <v>1000</v>
      </c>
      <c r="F17" s="92" t="s">
        <v>9</v>
      </c>
      <c r="G17" s="93"/>
    </row>
    <row r="18" spans="1:7" x14ac:dyDescent="0.25">
      <c r="A18" s="92" t="s">
        <v>423</v>
      </c>
      <c r="B18" s="90">
        <v>46154</v>
      </c>
      <c r="C18" s="91" t="s">
        <v>461</v>
      </c>
      <c r="D18" s="92" t="s">
        <v>159</v>
      </c>
      <c r="E18" s="93">
        <v>160</v>
      </c>
      <c r="F18" s="92" t="s">
        <v>9</v>
      </c>
      <c r="G18" s="93"/>
    </row>
    <row r="19" spans="1:7" x14ac:dyDescent="0.25">
      <c r="A19" s="92" t="s">
        <v>439</v>
      </c>
      <c r="B19" s="90">
        <v>46154</v>
      </c>
      <c r="C19" s="91" t="s">
        <v>443</v>
      </c>
      <c r="D19" s="92" t="s">
        <v>159</v>
      </c>
      <c r="E19" s="93">
        <v>66</v>
      </c>
      <c r="F19" s="92" t="s">
        <v>9</v>
      </c>
      <c r="G19" s="93"/>
    </row>
    <row r="20" spans="1:7" x14ac:dyDescent="0.25">
      <c r="A20" s="92" t="s">
        <v>440</v>
      </c>
      <c r="B20" s="90">
        <v>46154</v>
      </c>
      <c r="C20" s="91" t="s">
        <v>393</v>
      </c>
      <c r="D20" s="92" t="s">
        <v>159</v>
      </c>
      <c r="E20" s="93">
        <v>320</v>
      </c>
      <c r="F20" s="92" t="s">
        <v>9</v>
      </c>
      <c r="G20" s="93"/>
    </row>
    <row r="21" spans="1:7" x14ac:dyDescent="0.25">
      <c r="A21" s="92" t="s">
        <v>441</v>
      </c>
      <c r="B21" s="90">
        <v>46154</v>
      </c>
      <c r="C21" s="91" t="s">
        <v>444</v>
      </c>
      <c r="D21" s="92" t="s">
        <v>445</v>
      </c>
      <c r="E21" s="93">
        <v>70</v>
      </c>
      <c r="F21" s="92" t="s">
        <v>13</v>
      </c>
      <c r="G21" s="93" t="s">
        <v>447</v>
      </c>
    </row>
    <row r="22" spans="1:7" x14ac:dyDescent="0.25">
      <c r="A22" s="92" t="s">
        <v>440</v>
      </c>
      <c r="B22" s="90">
        <v>46154</v>
      </c>
      <c r="C22" s="91" t="s">
        <v>446</v>
      </c>
      <c r="D22" s="92" t="s">
        <v>445</v>
      </c>
      <c r="E22" s="93">
        <v>60</v>
      </c>
      <c r="F22" s="92" t="s">
        <v>13</v>
      </c>
      <c r="G22" s="93" t="s">
        <v>447</v>
      </c>
    </row>
    <row r="23" spans="1:7" x14ac:dyDescent="0.25">
      <c r="A23" s="92" t="s">
        <v>448</v>
      </c>
      <c r="B23" s="90">
        <v>46155</v>
      </c>
      <c r="C23" s="91" t="s">
        <v>449</v>
      </c>
      <c r="D23" s="92" t="s">
        <v>122</v>
      </c>
      <c r="E23" s="93">
        <v>300</v>
      </c>
      <c r="F23" s="92" t="s">
        <v>9</v>
      </c>
      <c r="G23" s="93"/>
    </row>
    <row r="24" spans="1:7" x14ac:dyDescent="0.25">
      <c r="A24" s="92" t="s">
        <v>453</v>
      </c>
      <c r="B24" s="90">
        <v>46156</v>
      </c>
      <c r="C24" s="91" t="s">
        <v>454</v>
      </c>
      <c r="D24" s="92" t="s">
        <v>445</v>
      </c>
      <c r="E24" s="93">
        <v>40</v>
      </c>
      <c r="F24" s="92" t="s">
        <v>13</v>
      </c>
      <c r="G24" s="93"/>
    </row>
    <row r="25" spans="1:7" x14ac:dyDescent="0.25">
      <c r="A25" s="92" t="s">
        <v>440</v>
      </c>
      <c r="B25" s="90">
        <v>46156</v>
      </c>
      <c r="C25" s="91" t="s">
        <v>454</v>
      </c>
      <c r="D25" s="92" t="s">
        <v>128</v>
      </c>
      <c r="E25" s="93">
        <v>300</v>
      </c>
      <c r="F25" s="92" t="s">
        <v>9</v>
      </c>
      <c r="G25" s="93"/>
    </row>
    <row r="26" spans="1:7" x14ac:dyDescent="0.25">
      <c r="A26" s="92" t="s">
        <v>440</v>
      </c>
      <c r="B26" s="90">
        <v>46156</v>
      </c>
      <c r="C26" s="91" t="s">
        <v>454</v>
      </c>
      <c r="D26" s="92" t="s">
        <v>46</v>
      </c>
      <c r="E26" s="93">
        <v>200</v>
      </c>
      <c r="F26" s="92" t="s">
        <v>9</v>
      </c>
      <c r="G26" s="93"/>
    </row>
    <row r="27" spans="1:7" x14ac:dyDescent="0.25">
      <c r="A27" s="92" t="s">
        <v>440</v>
      </c>
      <c r="B27" s="90">
        <v>46156</v>
      </c>
      <c r="C27" s="91" t="s">
        <v>454</v>
      </c>
      <c r="D27" s="92" t="s">
        <v>88</v>
      </c>
      <c r="E27" s="93">
        <v>40</v>
      </c>
      <c r="F27" s="92" t="s">
        <v>9</v>
      </c>
      <c r="G27" s="93"/>
    </row>
    <row r="28" spans="1:7" x14ac:dyDescent="0.25">
      <c r="A28" s="92" t="s">
        <v>440</v>
      </c>
      <c r="B28" s="90">
        <v>46156</v>
      </c>
      <c r="C28" s="91" t="s">
        <v>454</v>
      </c>
      <c r="D28" s="92" t="s">
        <v>122</v>
      </c>
      <c r="E28" s="93">
        <v>200</v>
      </c>
      <c r="F28" s="92" t="s">
        <v>9</v>
      </c>
      <c r="G28" s="93"/>
    </row>
    <row r="29" spans="1:7" x14ac:dyDescent="0.25">
      <c r="A29" s="92" t="s">
        <v>441</v>
      </c>
      <c r="B29" s="90">
        <v>46156</v>
      </c>
      <c r="C29" s="91" t="s">
        <v>455</v>
      </c>
      <c r="D29" s="92" t="s">
        <v>445</v>
      </c>
      <c r="E29" s="93">
        <v>150</v>
      </c>
      <c r="F29" s="92" t="s">
        <v>13</v>
      </c>
      <c r="G29" s="93" t="s">
        <v>447</v>
      </c>
    </row>
    <row r="30" spans="1:7" x14ac:dyDescent="0.25">
      <c r="A30" s="92" t="s">
        <v>441</v>
      </c>
      <c r="B30" s="90">
        <v>46156</v>
      </c>
      <c r="C30" s="91" t="s">
        <v>456</v>
      </c>
      <c r="D30" s="92" t="s">
        <v>445</v>
      </c>
      <c r="E30" s="93">
        <v>108</v>
      </c>
      <c r="F30" s="92" t="s">
        <v>13</v>
      </c>
      <c r="G30" s="93" t="s">
        <v>447</v>
      </c>
    </row>
    <row r="31" spans="1:7" x14ac:dyDescent="0.25">
      <c r="A31" s="92" t="s">
        <v>441</v>
      </c>
      <c r="B31" s="90">
        <v>46156</v>
      </c>
      <c r="C31" s="91" t="s">
        <v>457</v>
      </c>
      <c r="D31" s="92" t="s">
        <v>445</v>
      </c>
      <c r="E31" s="93">
        <v>30</v>
      </c>
      <c r="F31" s="92" t="s">
        <v>13</v>
      </c>
      <c r="G31" s="93" t="s">
        <v>447</v>
      </c>
    </row>
    <row r="32" spans="1:7" x14ac:dyDescent="0.25">
      <c r="A32" s="92" t="s">
        <v>421</v>
      </c>
      <c r="B32" s="90">
        <v>46157</v>
      </c>
      <c r="C32" s="91" t="s">
        <v>425</v>
      </c>
      <c r="D32" s="92" t="s">
        <v>118</v>
      </c>
      <c r="E32" s="93">
        <v>16.475000000000001</v>
      </c>
      <c r="F32" s="92" t="s">
        <v>9</v>
      </c>
      <c r="G32" s="93"/>
    </row>
    <row r="33" spans="1:7" x14ac:dyDescent="0.25">
      <c r="A33" s="92" t="s">
        <v>463</v>
      </c>
      <c r="B33" s="90">
        <v>46157</v>
      </c>
      <c r="C33" s="91" t="s">
        <v>465</v>
      </c>
      <c r="D33" s="92" t="s">
        <v>159</v>
      </c>
      <c r="E33" s="93">
        <v>66</v>
      </c>
      <c r="F33" s="92" t="s">
        <v>9</v>
      </c>
      <c r="G33" s="93"/>
    </row>
    <row r="34" spans="1:7" x14ac:dyDescent="0.25">
      <c r="A34" s="92" t="s">
        <v>464</v>
      </c>
      <c r="B34" s="90">
        <v>46157</v>
      </c>
      <c r="C34" s="91" t="s">
        <v>466</v>
      </c>
      <c r="D34" s="92" t="s">
        <v>467</v>
      </c>
      <c r="E34" s="93">
        <v>25</v>
      </c>
      <c r="F34" s="92" t="s">
        <v>9</v>
      </c>
      <c r="G34" s="93"/>
    </row>
    <row r="35" spans="1:7" x14ac:dyDescent="0.25">
      <c r="A35" s="92" t="s">
        <v>421</v>
      </c>
      <c r="B35" s="90">
        <v>46157</v>
      </c>
      <c r="C35" s="91" t="s">
        <v>468</v>
      </c>
      <c r="D35" s="92" t="s">
        <v>118</v>
      </c>
      <c r="E35" s="93">
        <v>64</v>
      </c>
      <c r="F35" s="92" t="s">
        <v>9</v>
      </c>
      <c r="G35" s="93"/>
    </row>
  </sheetData>
  <autoFilter ref="A1:G31">
    <sortState ref="A2:G65">
      <sortCondition ref="B1:B50"/>
    </sortState>
  </autoFilter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E3" sqref="E3"/>
    </sheetView>
  </sheetViews>
  <sheetFormatPr defaultRowHeight="15" x14ac:dyDescent="0.25"/>
  <cols>
    <col min="1" max="1" width="10.42578125" bestFit="1" customWidth="1"/>
    <col min="2" max="2" width="18.7109375" bestFit="1" customWidth="1"/>
    <col min="3" max="3" width="14.140625" bestFit="1" customWidth="1"/>
    <col min="4" max="4" width="9.7109375" bestFit="1" customWidth="1"/>
    <col min="5" max="5" width="10.140625" bestFit="1" customWidth="1"/>
    <col min="6" max="6" width="31.5703125" bestFit="1" customWidth="1"/>
    <col min="7" max="7" width="34" bestFit="1" customWidth="1"/>
  </cols>
  <sheetData>
    <row r="1" spans="1:10" x14ac:dyDescent="0.25">
      <c r="A1" s="88" t="s">
        <v>358</v>
      </c>
      <c r="B1" s="88" t="s">
        <v>234</v>
      </c>
      <c r="C1" s="88" t="s">
        <v>235</v>
      </c>
      <c r="D1" s="112" t="s">
        <v>236</v>
      </c>
      <c r="E1" s="112" t="s">
        <v>7</v>
      </c>
      <c r="F1" s="88" t="s">
        <v>237</v>
      </c>
      <c r="G1" s="34"/>
    </row>
    <row r="2" spans="1:10" x14ac:dyDescent="0.25">
      <c r="A2" s="90"/>
      <c r="B2" s="91" t="s">
        <v>243</v>
      </c>
      <c r="C2" s="92" t="s">
        <v>242</v>
      </c>
      <c r="D2" s="93">
        <v>940</v>
      </c>
      <c r="E2" s="93" t="s">
        <v>13</v>
      </c>
      <c r="F2" s="93" t="s">
        <v>256</v>
      </c>
      <c r="G2" s="113" t="s">
        <v>283</v>
      </c>
    </row>
    <row r="3" spans="1:10" x14ac:dyDescent="0.25">
      <c r="A3" s="90">
        <v>46098</v>
      </c>
      <c r="B3" s="91" t="s">
        <v>359</v>
      </c>
      <c r="C3" s="92" t="s">
        <v>159</v>
      </c>
      <c r="D3" s="93">
        <v>18000</v>
      </c>
      <c r="E3" s="92" t="s">
        <v>16</v>
      </c>
      <c r="F3" s="124" t="s">
        <v>360</v>
      </c>
      <c r="G3" s="124" t="s">
        <v>415</v>
      </c>
    </row>
    <row r="4" spans="1:10" x14ac:dyDescent="0.25">
      <c r="A4" s="90">
        <v>46099</v>
      </c>
      <c r="B4" s="91" t="s">
        <v>243</v>
      </c>
      <c r="C4" s="92" t="s">
        <v>88</v>
      </c>
      <c r="D4" s="93">
        <v>300</v>
      </c>
      <c r="E4" s="92" t="s">
        <v>348</v>
      </c>
      <c r="F4" s="93" t="s">
        <v>376</v>
      </c>
      <c r="G4" s="93"/>
    </row>
    <row r="8" spans="1:10" x14ac:dyDescent="0.25">
      <c r="I8" s="138"/>
      <c r="J8" s="138"/>
    </row>
    <row r="9" spans="1:10" x14ac:dyDescent="0.25">
      <c r="I9" s="138"/>
      <c r="J9" s="138"/>
    </row>
    <row r="10" spans="1:10" x14ac:dyDescent="0.25">
      <c r="I10" s="138"/>
      <c r="J10" s="138"/>
    </row>
  </sheetData>
  <autoFilter ref="B1:G2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7" sqref="F7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17-05-23</vt:lpstr>
      <vt:lpstr>16-05-2026</vt:lpstr>
      <vt:lpstr>17-05-23 (3)</vt:lpstr>
      <vt:lpstr>NEW VESSEL BOOKING</vt:lpstr>
      <vt:lpstr>CONTRACT SALES</vt:lpstr>
      <vt:lpstr>Sheet1</vt:lpstr>
      <vt:lpstr>'16-05-2026'!Print_Area</vt:lpstr>
      <vt:lpstr>'NEW VESSEL BOOKING'!Print_Area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Amit Gupta</cp:lastModifiedBy>
  <cp:lastPrinted>2026-05-13T07:39:22Z</cp:lastPrinted>
  <dcterms:created xsi:type="dcterms:W3CDTF">2023-05-08T12:49:43Z</dcterms:created>
  <dcterms:modified xsi:type="dcterms:W3CDTF">2026-05-19T10:12:55Z</dcterms:modified>
</cp:coreProperties>
</file>